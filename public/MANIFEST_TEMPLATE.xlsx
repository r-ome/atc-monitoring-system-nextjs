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10, 2026" sheetId="1" r:id="rId5"/>
    <sheet state="hidden" name="BIÑAN INFO" sheetId="2" r:id="rId6"/>
    <sheet state="hidden" name="DASMA INFO" sheetId="3" r:id="rId7"/>
    <sheet state="hidden" name="REGISTERED BIDDERS" sheetId="4" r:id="rId8"/>
    <sheet state="hidden" name="5%" sheetId="5" r:id="rId9"/>
  </sheets>
  <definedNames/>
  <calcPr/>
</workbook>
</file>

<file path=xl/sharedStrings.xml><?xml version="1.0" encoding="utf-8"?>
<sst xmlns="http://schemas.openxmlformats.org/spreadsheetml/2006/main" count="7544" uniqueCount="3878">
  <si>
    <t>TOTAL PRICE OF ITEMS:</t>
  </si>
  <si>
    <t>HIGHEST PRICE:</t>
  </si>
  <si>
    <t>NUMBER OF ITEMS</t>
  </si>
  <si>
    <t>MONITORING</t>
  </si>
  <si>
    <t>1</t>
  </si>
  <si>
    <t>BARCODE</t>
  </si>
  <si>
    <t>CONTROL #</t>
  </si>
  <si>
    <t>DESCRIPTION</t>
  </si>
  <si>
    <t>BIDDER #</t>
  </si>
  <si>
    <t>QTY</t>
  </si>
  <si>
    <t>PRICE</t>
  </si>
  <si>
    <t>MANIFEST NUMBER</t>
  </si>
  <si>
    <t>REMARKS</t>
  </si>
  <si>
    <t>DATE</t>
  </si>
  <si>
    <t>REFUND</t>
  </si>
  <si>
    <t>BIDDERS</t>
  </si>
  <si>
    <t>BIDDER NUMBER</t>
  </si>
  <si>
    <t>BIDDER INFORMATION</t>
  </si>
  <si>
    <t>REGISTRATION</t>
  </si>
  <si>
    <t>PALA-PALA BRANCH</t>
  </si>
  <si>
    <t>BIÑAN BRANCH</t>
  </si>
  <si>
    <t>BACOOR BRANCH</t>
  </si>
  <si>
    <t>FULL NAME</t>
  </si>
  <si>
    <t>FIRST NAME</t>
  </si>
  <si>
    <t>MIDDLE NAME</t>
  </si>
  <si>
    <t>LAST NAME</t>
  </si>
  <si>
    <t>INITIALS / OTHERS</t>
  </si>
  <si>
    <t>12%</t>
  </si>
  <si>
    <t>FEE</t>
  </si>
  <si>
    <t>DOCUMENTS SUBMITTED</t>
  </si>
  <si>
    <t>MONTH</t>
  </si>
  <si>
    <t>EXPIRED DATE</t>
  </si>
  <si>
    <t>REN-A-MARK</t>
  </si>
  <si>
    <t>BIÑAN</t>
  </si>
  <si>
    <t>JOANA</t>
  </si>
  <si>
    <t>MABEZA</t>
  </si>
  <si>
    <t>EDWARD</t>
  </si>
  <si>
    <t>BEDIA</t>
  </si>
  <si>
    <t>MICHAEL</t>
  </si>
  <si>
    <t>BASCON</t>
  </si>
  <si>
    <t>NEPTALY</t>
  </si>
  <si>
    <t>YATCO</t>
  </si>
  <si>
    <t>ROSEMARIE</t>
  </si>
  <si>
    <t>CANO</t>
  </si>
  <si>
    <t>SONNY</t>
  </si>
  <si>
    <t>MALAYAN</t>
  </si>
  <si>
    <t>IRENE</t>
  </si>
  <si>
    <t>BANES</t>
  </si>
  <si>
    <t>MA. LOURDES</t>
  </si>
  <si>
    <t>VILLADIEGO</t>
  </si>
  <si>
    <t>DTI</t>
  </si>
  <si>
    <t>NANETH</t>
  </si>
  <si>
    <t>LORENZANA</t>
  </si>
  <si>
    <t>RODOLFO</t>
  </si>
  <si>
    <t>ALMENANZA</t>
  </si>
  <si>
    <t>LENNY</t>
  </si>
  <si>
    <t>BERMUDO</t>
  </si>
  <si>
    <t>JIVAN</t>
  </si>
  <si>
    <t>MARY ANNE</t>
  </si>
  <si>
    <t>RELINGADO</t>
  </si>
  <si>
    <t>JASMIN</t>
  </si>
  <si>
    <t>ROSARIO</t>
  </si>
  <si>
    <t>ALDIN</t>
  </si>
  <si>
    <t>ALBURO</t>
  </si>
  <si>
    <t>IAN</t>
  </si>
  <si>
    <t>ABRASADO</t>
  </si>
  <si>
    <t>DIOSDADO</t>
  </si>
  <si>
    <t>BURGOS</t>
  </si>
  <si>
    <t>ORLANDO</t>
  </si>
  <si>
    <t>BERNABE</t>
  </si>
  <si>
    <t>ANA</t>
  </si>
  <si>
    <t>ROSAL</t>
  </si>
  <si>
    <t>ANAMARIA</t>
  </si>
  <si>
    <t>SOCORRO</t>
  </si>
  <si>
    <t>RAMOS</t>
  </si>
  <si>
    <t>NELIA</t>
  </si>
  <si>
    <t>ANTONIO</t>
  </si>
  <si>
    <t>MARK ANTHONY</t>
  </si>
  <si>
    <t>ALEJO</t>
  </si>
  <si>
    <t>MAUREEN</t>
  </si>
  <si>
    <t>CALDERON</t>
  </si>
  <si>
    <t>FEBRUARY</t>
  </si>
  <si>
    <t>ALEX</t>
  </si>
  <si>
    <t>BALAGTAS</t>
  </si>
  <si>
    <t>MARIVIC</t>
  </si>
  <si>
    <t>AMORIN</t>
  </si>
  <si>
    <t>MA. LEONORA</t>
  </si>
  <si>
    <t>BORNE</t>
  </si>
  <si>
    <t>PORCIANA</t>
  </si>
  <si>
    <t>NITA</t>
  </si>
  <si>
    <t>AMBATA</t>
  </si>
  <si>
    <t>GARY</t>
  </si>
  <si>
    <t>SAN PEDRO</t>
  </si>
  <si>
    <t>MAYORS PERMIT</t>
  </si>
  <si>
    <t>DEC</t>
  </si>
  <si>
    <t>EDSEL</t>
  </si>
  <si>
    <t>ALDANA</t>
  </si>
  <si>
    <t>JIRAH</t>
  </si>
  <si>
    <t>PALOMARES</t>
  </si>
  <si>
    <t>MARK</t>
  </si>
  <si>
    <t>VALERIO</t>
  </si>
  <si>
    <t>NAGUTOM</t>
  </si>
  <si>
    <t>EUFRONIA</t>
  </si>
  <si>
    <t>BATANGANTANG</t>
  </si>
  <si>
    <t>MA. ETHEL</t>
  </si>
  <si>
    <t>GOLAYAN</t>
  </si>
  <si>
    <t>01-21-17</t>
  </si>
  <si>
    <t>EMMANUEL</t>
  </si>
  <si>
    <t>MESINA</t>
  </si>
  <si>
    <t>AURORA</t>
  </si>
  <si>
    <t>ROXAS</t>
  </si>
  <si>
    <t>FLORDELIZA</t>
  </si>
  <si>
    <t>AMABA</t>
  </si>
  <si>
    <t>EUNICE</t>
  </si>
  <si>
    <t>ALANO</t>
  </si>
  <si>
    <t>FLORA</t>
  </si>
  <si>
    <t>JESSIE</t>
  </si>
  <si>
    <t>CAMAO</t>
  </si>
  <si>
    <t>EDWINA</t>
  </si>
  <si>
    <t>MARIETA</t>
  </si>
  <si>
    <t>BATINO</t>
  </si>
  <si>
    <t>BOYET</t>
  </si>
  <si>
    <t>REYES</t>
  </si>
  <si>
    <t>MELBA</t>
  </si>
  <si>
    <t>AGUILA</t>
  </si>
  <si>
    <t>WILFREDO</t>
  </si>
  <si>
    <t>ZENAIDA</t>
  </si>
  <si>
    <t>AGCAOILI</t>
  </si>
  <si>
    <t>JULIE ANNE</t>
  </si>
  <si>
    <t>BERNARDINO</t>
  </si>
  <si>
    <t>JOAN</t>
  </si>
  <si>
    <t>ROSELLE</t>
  </si>
  <si>
    <t>RETARDO</t>
  </si>
  <si>
    <t>01-07-17</t>
  </si>
  <si>
    <t>RONNELON</t>
  </si>
  <si>
    <t>MA. SHERRYL</t>
  </si>
  <si>
    <t>MOVILLON</t>
  </si>
  <si>
    <t>JOSEPHINE</t>
  </si>
  <si>
    <t>BRILLO</t>
  </si>
  <si>
    <t>AILLEN</t>
  </si>
  <si>
    <t>LETICIA</t>
  </si>
  <si>
    <t>IROG</t>
  </si>
  <si>
    <t>MEYORS PERMIT</t>
  </si>
  <si>
    <t>AILLENE</t>
  </si>
  <si>
    <t>MORENO</t>
  </si>
  <si>
    <t>RANDY</t>
  </si>
  <si>
    <t>VILLAMOR</t>
  </si>
  <si>
    <t>ELVIRA</t>
  </si>
  <si>
    <t>ELENITA</t>
  </si>
  <si>
    <t>GIMONGALA</t>
  </si>
  <si>
    <t>LANTICAN</t>
  </si>
  <si>
    <t>ANALYN</t>
  </si>
  <si>
    <t>ALBRECHT</t>
  </si>
  <si>
    <t>CRISPIN</t>
  </si>
  <si>
    <t>AVENDAÑO</t>
  </si>
  <si>
    <t>GEORGE</t>
  </si>
  <si>
    <t>SOBREMANTE</t>
  </si>
  <si>
    <t>BUSINESS PERMIT</t>
  </si>
  <si>
    <t>GARSON</t>
  </si>
  <si>
    <t>BAGOUD</t>
  </si>
  <si>
    <t>JAMES EARL</t>
  </si>
  <si>
    <t>BARITE</t>
  </si>
  <si>
    <t>DAISY</t>
  </si>
  <si>
    <t>DE LARA</t>
  </si>
  <si>
    <t>COY</t>
  </si>
  <si>
    <t>APPROVED BY SIR TOM</t>
  </si>
  <si>
    <t>ADOLFO</t>
  </si>
  <si>
    <t>ABELLA</t>
  </si>
  <si>
    <t>ILLHENNEY</t>
  </si>
  <si>
    <t>JANONE</t>
  </si>
  <si>
    <t>HAIDE</t>
  </si>
  <si>
    <t>BOREGON</t>
  </si>
  <si>
    <t>JENEFER</t>
  </si>
  <si>
    <t>FORNAL</t>
  </si>
  <si>
    <t>ARMANDO</t>
  </si>
  <si>
    <t>BARTOLO</t>
  </si>
  <si>
    <t>MERLIE</t>
  </si>
  <si>
    <t>ABAD</t>
  </si>
  <si>
    <t>JINDRA</t>
  </si>
  <si>
    <t>CHAVEZ</t>
  </si>
  <si>
    <t>MAR</t>
  </si>
  <si>
    <t>SINLAO</t>
  </si>
  <si>
    <t>DEXTER</t>
  </si>
  <si>
    <t>ENCARNADO</t>
  </si>
  <si>
    <t>FELIPE</t>
  </si>
  <si>
    <t>CABUGAO</t>
  </si>
  <si>
    <t>BENJAMIN</t>
  </si>
  <si>
    <t>ABADIER</t>
  </si>
  <si>
    <t>EVANGELINE</t>
  </si>
  <si>
    <t>SOYLON</t>
  </si>
  <si>
    <t>APPROVED MAM EMIE</t>
  </si>
  <si>
    <t>RAQUEL</t>
  </si>
  <si>
    <t>ONG</t>
  </si>
  <si>
    <t>BACHILLER</t>
  </si>
  <si>
    <t>CATALINO</t>
  </si>
  <si>
    <t>ROSELYN</t>
  </si>
  <si>
    <t>ARRESGADO</t>
  </si>
  <si>
    <t>ROBERTO</t>
  </si>
  <si>
    <t>ADTO</t>
  </si>
  <si>
    <t>RICAROMANA</t>
  </si>
  <si>
    <t>ASIS</t>
  </si>
  <si>
    <t>RENATO</t>
  </si>
  <si>
    <t>ANGELES</t>
  </si>
  <si>
    <t>VENUS</t>
  </si>
  <si>
    <t>SANTOS</t>
  </si>
  <si>
    <t>NESTOR</t>
  </si>
  <si>
    <t>TOLENTINO</t>
  </si>
  <si>
    <t>PAUL</t>
  </si>
  <si>
    <t>BAES</t>
  </si>
  <si>
    <t>ARLEEN</t>
  </si>
  <si>
    <t>ALIBUDBUD</t>
  </si>
  <si>
    <t>SHAN</t>
  </si>
  <si>
    <t>BENITO</t>
  </si>
  <si>
    <t>LUTGARDO</t>
  </si>
  <si>
    <t>ALMARINEZ</t>
  </si>
  <si>
    <t>BRYAN</t>
  </si>
  <si>
    <t>CARINO</t>
  </si>
  <si>
    <t>FIDEL</t>
  </si>
  <si>
    <t>AVILA</t>
  </si>
  <si>
    <t>ROMAR</t>
  </si>
  <si>
    <t>CAHILIG</t>
  </si>
  <si>
    <t>ELINORA</t>
  </si>
  <si>
    <t>ALAN</t>
  </si>
  <si>
    <t>DESIREA</t>
  </si>
  <si>
    <t>PERA</t>
  </si>
  <si>
    <t>SUSAN</t>
  </si>
  <si>
    <t>AÑONUEVO</t>
  </si>
  <si>
    <t>MARISSA</t>
  </si>
  <si>
    <t>TABORA</t>
  </si>
  <si>
    <t>EVELYN</t>
  </si>
  <si>
    <t>AMIDO</t>
  </si>
  <si>
    <t>MARILYN</t>
  </si>
  <si>
    <t>REGONDOLA</t>
  </si>
  <si>
    <t>RONIEL</t>
  </si>
  <si>
    <t>BUNGA</t>
  </si>
  <si>
    <t>ROSIE</t>
  </si>
  <si>
    <t>PEREZ</t>
  </si>
  <si>
    <t>ARIEL</t>
  </si>
  <si>
    <t>CARASCO</t>
  </si>
  <si>
    <t>MARUTA</t>
  </si>
  <si>
    <t>SHINJI</t>
  </si>
  <si>
    <t>JOHN HENRY</t>
  </si>
  <si>
    <t>OCOMA</t>
  </si>
  <si>
    <t>LEXTER JOY</t>
  </si>
  <si>
    <t>ALCURAN</t>
  </si>
  <si>
    <t>ARNOLD</t>
  </si>
  <si>
    <t>BALOGNADO</t>
  </si>
  <si>
    <t>AMELIA</t>
  </si>
  <si>
    <t>ARCON</t>
  </si>
  <si>
    <t>RONNIE</t>
  </si>
  <si>
    <t>PERIA</t>
  </si>
  <si>
    <t>DANILO</t>
  </si>
  <si>
    <t>MAPANOO</t>
  </si>
  <si>
    <t>GRACE ANN</t>
  </si>
  <si>
    <t>ALMINANZA</t>
  </si>
  <si>
    <t>ERICH</t>
  </si>
  <si>
    <t>BAYER</t>
  </si>
  <si>
    <t>RICA</t>
  </si>
  <si>
    <t>BARTOLOME</t>
  </si>
  <si>
    <t>JED</t>
  </si>
  <si>
    <t>R</t>
  </si>
  <si>
    <t>ORO</t>
  </si>
  <si>
    <t>CIPRIANO JR.</t>
  </si>
  <si>
    <t>BRUCAL</t>
  </si>
  <si>
    <t>ED</t>
  </si>
  <si>
    <t>BENDEJO</t>
  </si>
  <si>
    <t>OMAR</t>
  </si>
  <si>
    <t>ABION</t>
  </si>
  <si>
    <t>ARROLD</t>
  </si>
  <si>
    <t>BANASTA</t>
  </si>
  <si>
    <t>REIG</t>
  </si>
  <si>
    <t>DILAG</t>
  </si>
  <si>
    <t>JOJO</t>
  </si>
  <si>
    <t>CAMAGAY</t>
  </si>
  <si>
    <t>MONA</t>
  </si>
  <si>
    <t>BAUTISTA</t>
  </si>
  <si>
    <t>LORNA</t>
  </si>
  <si>
    <t>BORROMEO</t>
  </si>
  <si>
    <t>ABIGAEL</t>
  </si>
  <si>
    <t>ALONTE</t>
  </si>
  <si>
    <t>JULIETA</t>
  </si>
  <si>
    <t>BAGOBE</t>
  </si>
  <si>
    <t>ROMINA</t>
  </si>
  <si>
    <t>BERROYA</t>
  </si>
  <si>
    <t>ROWENA</t>
  </si>
  <si>
    <t>AMIL</t>
  </si>
  <si>
    <t>JORGE</t>
  </si>
  <si>
    <t>AGUILAR</t>
  </si>
  <si>
    <t>ANACEL</t>
  </si>
  <si>
    <t>BENEDITO</t>
  </si>
  <si>
    <t>JOCELYN</t>
  </si>
  <si>
    <t>BRIMUEZA</t>
  </si>
  <si>
    <t>LAUREN</t>
  </si>
  <si>
    <t>C/O KUYA ABET</t>
  </si>
  <si>
    <t>CRISTINA</t>
  </si>
  <si>
    <t>AUSTRIA</t>
  </si>
  <si>
    <t>NITO</t>
  </si>
  <si>
    <t>YU</t>
  </si>
  <si>
    <t>AILEEN</t>
  </si>
  <si>
    <t>E</t>
  </si>
  <si>
    <t>RUIZ</t>
  </si>
  <si>
    <t>FERNAN</t>
  </si>
  <si>
    <t>ARIQOLA</t>
  </si>
  <si>
    <t>JOSE</t>
  </si>
  <si>
    <t>CAMAONG</t>
  </si>
  <si>
    <t>ROMIRA</t>
  </si>
  <si>
    <t>CECILIA</t>
  </si>
  <si>
    <t>CAOILE</t>
  </si>
  <si>
    <t>MA. NYMFA</t>
  </si>
  <si>
    <t>NADEN</t>
  </si>
  <si>
    <t>BETOY</t>
  </si>
  <si>
    <t>JONATHAN</t>
  </si>
  <si>
    <t>ANGCAYA</t>
  </si>
  <si>
    <t>JULUIS</t>
  </si>
  <si>
    <t>AVENIDO</t>
  </si>
  <si>
    <t>JOSELITO</t>
  </si>
  <si>
    <t>LOPEZ</t>
  </si>
  <si>
    <t>LEONARD LESTER</t>
  </si>
  <si>
    <t>C</t>
  </si>
  <si>
    <t>CAMARINES</t>
  </si>
  <si>
    <t>ROBERT</t>
  </si>
  <si>
    <t>QUINTO</t>
  </si>
  <si>
    <t>MA ERMA</t>
  </si>
  <si>
    <t>BANGCOLA</t>
  </si>
  <si>
    <t>ABEGAIL</t>
  </si>
  <si>
    <t>BONOAN</t>
  </si>
  <si>
    <t>CHRISTOPER</t>
  </si>
  <si>
    <t>CALARA</t>
  </si>
  <si>
    <t>NERISSA</t>
  </si>
  <si>
    <t>MADRID</t>
  </si>
  <si>
    <t>BENIGNO</t>
  </si>
  <si>
    <t>AQUINO</t>
  </si>
  <si>
    <t>VERGINAIA</t>
  </si>
  <si>
    <t>IGNACIO</t>
  </si>
  <si>
    <t>WIFE OF SUPPLIER</t>
  </si>
  <si>
    <t>LORENA</t>
  </si>
  <si>
    <t>BARBOSA</t>
  </si>
  <si>
    <t>ROLANDO</t>
  </si>
  <si>
    <t>CUSTODIO</t>
  </si>
  <si>
    <t>GIRLY</t>
  </si>
  <si>
    <t>BALBUENA</t>
  </si>
  <si>
    <t>CRISANTA</t>
  </si>
  <si>
    <t>S</t>
  </si>
  <si>
    <t>TORRES</t>
  </si>
  <si>
    <t>CALMA</t>
  </si>
  <si>
    <t>DOREEN</t>
  </si>
  <si>
    <t>DELOS SANTOS</t>
  </si>
  <si>
    <t>ANGELO</t>
  </si>
  <si>
    <t>BUCALAN</t>
  </si>
  <si>
    <t>OLIVER</t>
  </si>
  <si>
    <t>ANTAZO</t>
  </si>
  <si>
    <t>MARY JANE</t>
  </si>
  <si>
    <t>BAYOT</t>
  </si>
  <si>
    <t>FELICISIMA</t>
  </si>
  <si>
    <t>COMIA</t>
  </si>
  <si>
    <t>RHEA</t>
  </si>
  <si>
    <t>CARTAGENA</t>
  </si>
  <si>
    <t>ROSCHEL</t>
  </si>
  <si>
    <t>BABY</t>
  </si>
  <si>
    <t>BARDEL</t>
  </si>
  <si>
    <t>ANTHONY</t>
  </si>
  <si>
    <t>ANNA</t>
  </si>
  <si>
    <t>CLAVANO</t>
  </si>
  <si>
    <t>MAYLENE</t>
  </si>
  <si>
    <t>AGREMANO</t>
  </si>
  <si>
    <t>MARIE</t>
  </si>
  <si>
    <t>FELICIANO</t>
  </si>
  <si>
    <t>LARRY</t>
  </si>
  <si>
    <t>PULIDO</t>
  </si>
  <si>
    <t>LINO</t>
  </si>
  <si>
    <t>MARK FRANCIS</t>
  </si>
  <si>
    <t>REDONDO</t>
  </si>
  <si>
    <t>CO ATE RICHEL</t>
  </si>
  <si>
    <t>NINETE</t>
  </si>
  <si>
    <t>ALIAZAS</t>
  </si>
  <si>
    <t>FLORENCIA</t>
  </si>
  <si>
    <t>BENDEL</t>
  </si>
  <si>
    <t>COASTAL</t>
  </si>
  <si>
    <t>ANALOU</t>
  </si>
  <si>
    <t>MARY ROSE</t>
  </si>
  <si>
    <t>ANDAYA</t>
  </si>
  <si>
    <t>RAYMOND</t>
  </si>
  <si>
    <t>BABANTO</t>
  </si>
  <si>
    <t>GEMIMA</t>
  </si>
  <si>
    <t>AGUIMAN</t>
  </si>
  <si>
    <t>BARTOLAZO</t>
  </si>
  <si>
    <t>SEMCON</t>
  </si>
  <si>
    <t>ANCHETA</t>
  </si>
  <si>
    <t>REGINA</t>
  </si>
  <si>
    <t>BEJASA</t>
  </si>
  <si>
    <t>NORMAN</t>
  </si>
  <si>
    <t>BARRETTO</t>
  </si>
  <si>
    <t>PABLO</t>
  </si>
  <si>
    <t>NOLEYA</t>
  </si>
  <si>
    <t>GONZALES</t>
  </si>
  <si>
    <t>BALBOA</t>
  </si>
  <si>
    <t>dti</t>
  </si>
  <si>
    <t>ANNA LEAH</t>
  </si>
  <si>
    <t>ALANDY-DY</t>
  </si>
  <si>
    <t>MA. CECILIA</t>
  </si>
  <si>
    <t>GREGORIO</t>
  </si>
  <si>
    <t>CABALUAN</t>
  </si>
  <si>
    <t>EDITHA</t>
  </si>
  <si>
    <t>JUAN</t>
  </si>
  <si>
    <t>JEANNY</t>
  </si>
  <si>
    <t>BALOCA</t>
  </si>
  <si>
    <t>SHERYL</t>
  </si>
  <si>
    <t>ALUMIA</t>
  </si>
  <si>
    <t>FLORINDA</t>
  </si>
  <si>
    <t>JIMMY</t>
  </si>
  <si>
    <t>ALEGRE</t>
  </si>
  <si>
    <t>IMELDA</t>
  </si>
  <si>
    <t>GUERRA</t>
  </si>
  <si>
    <t>BINAY</t>
  </si>
  <si>
    <t>FERNANDO</t>
  </si>
  <si>
    <t>AYANNA ROSE</t>
  </si>
  <si>
    <t>DIZON</t>
  </si>
  <si>
    <t>EUFEMIA</t>
  </si>
  <si>
    <t>ARANETA</t>
  </si>
  <si>
    <t>KENNETH</t>
  </si>
  <si>
    <t>BULAONG</t>
  </si>
  <si>
    <t>LUCITA</t>
  </si>
  <si>
    <t>TAN</t>
  </si>
  <si>
    <t>BOMOWEY</t>
  </si>
  <si>
    <t>EDWIN</t>
  </si>
  <si>
    <t>BALIBAY</t>
  </si>
  <si>
    <t>CHRISTIAN</t>
  </si>
  <si>
    <t>A</t>
  </si>
  <si>
    <t>TIMBOL</t>
  </si>
  <si>
    <t>AMATORIO</t>
  </si>
  <si>
    <t>LUZVIMINDA</t>
  </si>
  <si>
    <t>CADENAS</t>
  </si>
  <si>
    <t>MEREFE</t>
  </si>
  <si>
    <t>BALLESTA</t>
  </si>
  <si>
    <t>VIVINA</t>
  </si>
  <si>
    <t>BAGUER</t>
  </si>
  <si>
    <t>AISHA</t>
  </si>
  <si>
    <t>MANDELY</t>
  </si>
  <si>
    <t>FESAL</t>
  </si>
  <si>
    <t>MARY CRIS</t>
  </si>
  <si>
    <t>BALUTOT</t>
  </si>
  <si>
    <t>ROMEO</t>
  </si>
  <si>
    <t>BUMALAY</t>
  </si>
  <si>
    <t>11-26-2016</t>
  </si>
  <si>
    <t>DIAH</t>
  </si>
  <si>
    <t>HOCSON</t>
  </si>
  <si>
    <t>CAPILI</t>
  </si>
  <si>
    <t>LIBIAN</t>
  </si>
  <si>
    <t>BUSINESS LICENSE AND MAYORS PERMIT</t>
  </si>
  <si>
    <t xml:space="preserve"> </t>
  </si>
  <si>
    <t>DESIRIE</t>
  </si>
  <si>
    <t>ALVIN</t>
  </si>
  <si>
    <t>MANALANSAN</t>
  </si>
  <si>
    <t>MHAR</t>
  </si>
  <si>
    <t>VILLANUEVA</t>
  </si>
  <si>
    <t>VIVIEN</t>
  </si>
  <si>
    <t>LASERNA</t>
  </si>
  <si>
    <t>10-22-2016</t>
  </si>
  <si>
    <t>ELIZABETH</t>
  </si>
  <si>
    <t>HUBILLA</t>
  </si>
  <si>
    <t>09-10-2016</t>
  </si>
  <si>
    <t>CABADILLO</t>
  </si>
  <si>
    <t>JOHN MELSON</t>
  </si>
  <si>
    <t>JUSTO</t>
  </si>
  <si>
    <t>CAYABYAB</t>
  </si>
  <si>
    <t>MARCH</t>
  </si>
  <si>
    <t>DTI #835</t>
  </si>
  <si>
    <t>DIANA</t>
  </si>
  <si>
    <t>LAGRADILLA</t>
  </si>
  <si>
    <t>BETH</t>
  </si>
  <si>
    <t>DTI #828</t>
  </si>
  <si>
    <t>WILMA</t>
  </si>
  <si>
    <t>SALAYSAY</t>
  </si>
  <si>
    <t>ORLY</t>
  </si>
  <si>
    <t>MARY GRACE</t>
  </si>
  <si>
    <t>ARGANA</t>
  </si>
  <si>
    <t>MAXIMO</t>
  </si>
  <si>
    <t>RABY</t>
  </si>
  <si>
    <t>ELENA</t>
  </si>
  <si>
    <t>REVALDE</t>
  </si>
  <si>
    <t>JANUARY</t>
  </si>
  <si>
    <t>FEDELINA</t>
  </si>
  <si>
    <t>BAEZ</t>
  </si>
  <si>
    <t>06-04-2016</t>
  </si>
  <si>
    <t>ARTHUR</t>
  </si>
  <si>
    <t>TELEBRICO</t>
  </si>
  <si>
    <t>MERLITA</t>
  </si>
  <si>
    <t>NETTE</t>
  </si>
  <si>
    <t>CAGULADA</t>
  </si>
  <si>
    <t>AMY AURA</t>
  </si>
  <si>
    <t>MATUNOG</t>
  </si>
  <si>
    <t>ALELI</t>
  </si>
  <si>
    <t>ACOB</t>
  </si>
  <si>
    <t>BELMA</t>
  </si>
  <si>
    <t>RIVERA</t>
  </si>
  <si>
    <t>GARRIE LEO</t>
  </si>
  <si>
    <t>GARCIA</t>
  </si>
  <si>
    <t>DENNIS</t>
  </si>
  <si>
    <t>BAGUE</t>
  </si>
  <si>
    <t>MA. ASTRUDE</t>
  </si>
  <si>
    <t>07-09-2016</t>
  </si>
  <si>
    <t>JOY</t>
  </si>
  <si>
    <t>REYNOLD</t>
  </si>
  <si>
    <t>BEJADO</t>
  </si>
  <si>
    <t>EMELINDA</t>
  </si>
  <si>
    <t>CASTRO</t>
  </si>
  <si>
    <t>07-16-2016</t>
  </si>
  <si>
    <t>MANUEL</t>
  </si>
  <si>
    <t>CONCEPCION</t>
  </si>
  <si>
    <t>FRANCISCO</t>
  </si>
  <si>
    <t>LANIO</t>
  </si>
  <si>
    <t>09-24-2016</t>
  </si>
  <si>
    <t>MIGUEL</t>
  </si>
  <si>
    <t>P</t>
  </si>
  <si>
    <t>RAMIL</t>
  </si>
  <si>
    <t>MEDINA</t>
  </si>
  <si>
    <t>RAFAEL</t>
  </si>
  <si>
    <t>REBUGLO</t>
  </si>
  <si>
    <t>BLESSIE</t>
  </si>
  <si>
    <t>AGUNIAS</t>
  </si>
  <si>
    <t>JIMENEZ</t>
  </si>
  <si>
    <t>MARICAR</t>
  </si>
  <si>
    <t>MORAL</t>
  </si>
  <si>
    <t>EDIL</t>
  </si>
  <si>
    <t>LUYON</t>
  </si>
  <si>
    <t>CORAZON</t>
  </si>
  <si>
    <t>DELA ROSA</t>
  </si>
  <si>
    <t>EDNA</t>
  </si>
  <si>
    <t>LUMBRE</t>
  </si>
  <si>
    <t>BRGY. BUSINESS PERMIT / DTI</t>
  </si>
  <si>
    <t>GLENDA</t>
  </si>
  <si>
    <t>OLAÑO</t>
  </si>
  <si>
    <t>DIVINA</t>
  </si>
  <si>
    <t>MACASERO ONG</t>
  </si>
  <si>
    <t>NORWA</t>
  </si>
  <si>
    <t>GERAME</t>
  </si>
  <si>
    <t>TUDIO</t>
  </si>
  <si>
    <t>BIDDER IN PALAPALA</t>
  </si>
  <si>
    <t>MARILOU</t>
  </si>
  <si>
    <t>JULAO</t>
  </si>
  <si>
    <t>JENNY</t>
  </si>
  <si>
    <t>OLIVEROS</t>
  </si>
  <si>
    <t>THELMA</t>
  </si>
  <si>
    <t>MAIQUEZ</t>
  </si>
  <si>
    <t>JHUNALYN</t>
  </si>
  <si>
    <t>Q</t>
  </si>
  <si>
    <t>CAGUIOA</t>
  </si>
  <si>
    <t>ROLLY</t>
  </si>
  <si>
    <t>INDEMNE</t>
  </si>
  <si>
    <t>LURA</t>
  </si>
  <si>
    <t>GINA CENICA</t>
  </si>
  <si>
    <t>BAECKMAN</t>
  </si>
  <si>
    <t>LILIAN</t>
  </si>
  <si>
    <t>TUAZON</t>
  </si>
  <si>
    <t>MAREDEL</t>
  </si>
  <si>
    <t>ESCARO</t>
  </si>
  <si>
    <t>JANET</t>
  </si>
  <si>
    <t>RIZALIN</t>
  </si>
  <si>
    <t>DTI 2014-2019</t>
  </si>
  <si>
    <t>MARINO</t>
  </si>
  <si>
    <t>RUBIA</t>
  </si>
  <si>
    <t>EXPIRED DTI</t>
  </si>
  <si>
    <t>JAO</t>
  </si>
  <si>
    <t>DTI 2015-2020</t>
  </si>
  <si>
    <t>10--01-2016</t>
  </si>
  <si>
    <t>MARIA ANNABELLE</t>
  </si>
  <si>
    <t>ECHALLICE</t>
  </si>
  <si>
    <t>EXCARO</t>
  </si>
  <si>
    <t>10-29-2016</t>
  </si>
  <si>
    <t>DAVE</t>
  </si>
  <si>
    <t>FERRER</t>
  </si>
  <si>
    <t>DTI 2016-2021</t>
  </si>
  <si>
    <t>ALFONSO</t>
  </si>
  <si>
    <t>RONALD</t>
  </si>
  <si>
    <t>BATUL</t>
  </si>
  <si>
    <t>MINDORO / BIDDER IN PALAPALA</t>
  </si>
  <si>
    <t>OFELIA</t>
  </si>
  <si>
    <t>OLLERO</t>
  </si>
  <si>
    <t>MAICON</t>
  </si>
  <si>
    <t>RHODORA</t>
  </si>
  <si>
    <t>JAUM</t>
  </si>
  <si>
    <t>EXPIRED MAYORS PERMIT</t>
  </si>
  <si>
    <t>MARGIE</t>
  </si>
  <si>
    <t>GRAVITO</t>
  </si>
  <si>
    <t>MARIA CECILIA</t>
  </si>
  <si>
    <t>CASTELL</t>
  </si>
  <si>
    <t>MYRNA</t>
  </si>
  <si>
    <t>M</t>
  </si>
  <si>
    <t>BARBA</t>
  </si>
  <si>
    <t>RUEL</t>
  </si>
  <si>
    <t>SEBELLO</t>
  </si>
  <si>
    <t>JAYRIC</t>
  </si>
  <si>
    <t>MANGAHAS</t>
  </si>
  <si>
    <t>OCAÑA</t>
  </si>
  <si>
    <t>TACIANA</t>
  </si>
  <si>
    <t>EVALYN</t>
  </si>
  <si>
    <t>TIZON</t>
  </si>
  <si>
    <t>MA. CONCEPCION</t>
  </si>
  <si>
    <t>BAILON</t>
  </si>
  <si>
    <t>PALOMER</t>
  </si>
  <si>
    <t>GLENN</t>
  </si>
  <si>
    <t>DE VERA</t>
  </si>
  <si>
    <t>AZUCENA</t>
  </si>
  <si>
    <t>CONDE</t>
  </si>
  <si>
    <t>LUKBAN</t>
  </si>
  <si>
    <t>FLORES</t>
  </si>
  <si>
    <t>MA. PRITI</t>
  </si>
  <si>
    <t>BAG-AO</t>
  </si>
  <si>
    <t>AIRENE</t>
  </si>
  <si>
    <t>SISON</t>
  </si>
  <si>
    <t>WILLIAM</t>
  </si>
  <si>
    <t>LIM</t>
  </si>
  <si>
    <t>FRANK</t>
  </si>
  <si>
    <t>J</t>
  </si>
  <si>
    <t>WALKER</t>
  </si>
  <si>
    <t>MA CORAZON</t>
  </si>
  <si>
    <t>SALYO</t>
  </si>
  <si>
    <t>HELEN</t>
  </si>
  <si>
    <t>GONZALEZ</t>
  </si>
  <si>
    <t>PERLA</t>
  </si>
  <si>
    <t>V</t>
  </si>
  <si>
    <t>SUN</t>
  </si>
  <si>
    <t>MA CECILIA</t>
  </si>
  <si>
    <t>11-19-2016</t>
  </si>
  <si>
    <t>MYRA</t>
  </si>
  <si>
    <t>VILLAREAL</t>
  </si>
  <si>
    <t>LORETO</t>
  </si>
  <si>
    <t>B</t>
  </si>
  <si>
    <t>GRAJO</t>
  </si>
  <si>
    <t>JR</t>
  </si>
  <si>
    <t>PAMELA</t>
  </si>
  <si>
    <t>LUCASAN</t>
  </si>
  <si>
    <t>12-03-2016</t>
  </si>
  <si>
    <t>GRACIA</t>
  </si>
  <si>
    <t>O</t>
  </si>
  <si>
    <t>HERNANDEZ</t>
  </si>
  <si>
    <t>DELA CRUZ</t>
  </si>
  <si>
    <t>JUANITO</t>
  </si>
  <si>
    <t>RENALA</t>
  </si>
  <si>
    <t>GINALYN</t>
  </si>
  <si>
    <t>MARIA</t>
  </si>
  <si>
    <t>FE</t>
  </si>
  <si>
    <t>RUDY</t>
  </si>
  <si>
    <t>OLIVAREZ</t>
  </si>
  <si>
    <t>WENCESLAO Jr.</t>
  </si>
  <si>
    <t>CELESTIE</t>
  </si>
  <si>
    <t>HERRERA</t>
  </si>
  <si>
    <t>SHEREAN</t>
  </si>
  <si>
    <t>L</t>
  </si>
  <si>
    <t>RITUAL</t>
  </si>
  <si>
    <t>JEFFRY</t>
  </si>
  <si>
    <t>MARISCOTES</t>
  </si>
  <si>
    <t>HOMER</t>
  </si>
  <si>
    <t>DIAZ</t>
  </si>
  <si>
    <t>DECEMBER</t>
  </si>
  <si>
    <t>VIRGINIA</t>
  </si>
  <si>
    <t>DTI 2016-2021 (1265)</t>
  </si>
  <si>
    <t>01-13-2017</t>
  </si>
  <si>
    <t>CHRIS</t>
  </si>
  <si>
    <t>LILIA</t>
  </si>
  <si>
    <t>AMOR</t>
  </si>
  <si>
    <t>ROSELLON</t>
  </si>
  <si>
    <t>SALVE</t>
  </si>
  <si>
    <t>ALPAÑO</t>
  </si>
  <si>
    <t>OLBA</t>
  </si>
  <si>
    <t>LIDWELYN</t>
  </si>
  <si>
    <t>LEA</t>
  </si>
  <si>
    <t>BRABANTE</t>
  </si>
  <si>
    <t>BAUDIN</t>
  </si>
  <si>
    <t>SUSANA</t>
  </si>
  <si>
    <t>SABANAL</t>
  </si>
  <si>
    <t xml:space="preserve">BIDDER 064 </t>
  </si>
  <si>
    <t>GERARDO</t>
  </si>
  <si>
    <t>ROGER PERLAS</t>
  </si>
  <si>
    <t>CARTAGENIA</t>
  </si>
  <si>
    <t>WILLY</t>
  </si>
  <si>
    <t>CRUZ</t>
  </si>
  <si>
    <t>EVA</t>
  </si>
  <si>
    <t>CABRERA</t>
  </si>
  <si>
    <t>MARK PAUL</t>
  </si>
  <si>
    <t>GALSANAO</t>
  </si>
  <si>
    <t>DANUS</t>
  </si>
  <si>
    <t>NILO</t>
  </si>
  <si>
    <t>DE LIMA</t>
  </si>
  <si>
    <t>DTI (264)</t>
  </si>
  <si>
    <t>MARLON</t>
  </si>
  <si>
    <t>ROSALES</t>
  </si>
  <si>
    <t>ECALME</t>
  </si>
  <si>
    <t>DTI (976)</t>
  </si>
  <si>
    <t>DIMPLE</t>
  </si>
  <si>
    <t>DOLOGAN</t>
  </si>
  <si>
    <t>C/O MAM NITZ</t>
  </si>
  <si>
    <t>CESAR</t>
  </si>
  <si>
    <t>ROSAL Jr.</t>
  </si>
  <si>
    <t>ESTOESTA</t>
  </si>
  <si>
    <t>01-28-17</t>
  </si>
  <si>
    <t>ZARINA</t>
  </si>
  <si>
    <t>DIMAANO</t>
  </si>
  <si>
    <t>SHARIE BETH</t>
  </si>
  <si>
    <t>INDENNE</t>
  </si>
  <si>
    <t>01/21/17</t>
  </si>
  <si>
    <t>ARMINDA</t>
  </si>
  <si>
    <t>DAQUILOS</t>
  </si>
  <si>
    <t>CARPIO</t>
  </si>
  <si>
    <t>NINO</t>
  </si>
  <si>
    <t>OBISPO</t>
  </si>
  <si>
    <t>AIJA</t>
  </si>
  <si>
    <t>RELYN</t>
  </si>
  <si>
    <t>MANDAP</t>
  </si>
  <si>
    <t>DINDO</t>
  </si>
  <si>
    <t>DAN</t>
  </si>
  <si>
    <t>FONTANILLA</t>
  </si>
  <si>
    <t>CARE</t>
  </si>
  <si>
    <t>DL</t>
  </si>
  <si>
    <t>AMADOR</t>
  </si>
  <si>
    <t>MA. THERESA</t>
  </si>
  <si>
    <t>RAMIREZ</t>
  </si>
  <si>
    <t>RAMIDO</t>
  </si>
  <si>
    <t>NONOY</t>
  </si>
  <si>
    <t>PAGSUGUERON</t>
  </si>
  <si>
    <t>DE MATA</t>
  </si>
  <si>
    <t>RAPHY</t>
  </si>
  <si>
    <t>ISIDRO</t>
  </si>
  <si>
    <t>HEMEDES JR.</t>
  </si>
  <si>
    <t>FRANCES</t>
  </si>
  <si>
    <t>NOVA</t>
  </si>
  <si>
    <t>FRAULEIN</t>
  </si>
  <si>
    <t>DELOS REYES</t>
  </si>
  <si>
    <t>BENITEZ</t>
  </si>
  <si>
    <t>JOSEPH</t>
  </si>
  <si>
    <t>RESURIGA</t>
  </si>
  <si>
    <t>CASTANEDA</t>
  </si>
  <si>
    <t>MELANIS</t>
  </si>
  <si>
    <t>LIEZL</t>
  </si>
  <si>
    <t>RIBBON</t>
  </si>
  <si>
    <t>RONGUILLO</t>
  </si>
  <si>
    <t>MA CARMINA</t>
  </si>
  <si>
    <t>MA. CONSUELO</t>
  </si>
  <si>
    <t>ILAGAN</t>
  </si>
  <si>
    <t>WILSON</t>
  </si>
  <si>
    <t>BACSA</t>
  </si>
  <si>
    <t>DE GUZMAN</t>
  </si>
  <si>
    <t>MA THERESA</t>
  </si>
  <si>
    <t>PONCE</t>
  </si>
  <si>
    <t>CARDINO</t>
  </si>
  <si>
    <t>CANTUBA</t>
  </si>
  <si>
    <t>ANATACIO</t>
  </si>
  <si>
    <t>ROGELIO</t>
  </si>
  <si>
    <t>RECHIREI</t>
  </si>
  <si>
    <t>LOLITO</t>
  </si>
  <si>
    <t>ROA</t>
  </si>
  <si>
    <t>MARQUEZ</t>
  </si>
  <si>
    <t>T</t>
  </si>
  <si>
    <t>DIONIO</t>
  </si>
  <si>
    <t>SOFIA</t>
  </si>
  <si>
    <t>CATHLYN</t>
  </si>
  <si>
    <t>ANDALLON</t>
  </si>
  <si>
    <t>PILAR</t>
  </si>
  <si>
    <t>LITO</t>
  </si>
  <si>
    <t>JEROSS</t>
  </si>
  <si>
    <t>ELYNARDO</t>
  </si>
  <si>
    <t>AQUILINO</t>
  </si>
  <si>
    <t>FERNANDEZ</t>
  </si>
  <si>
    <t>ERLIE</t>
  </si>
  <si>
    <t>LARA</t>
  </si>
  <si>
    <t>MA LUZZETTE</t>
  </si>
  <si>
    <t>OLANIO</t>
  </si>
  <si>
    <t>I</t>
  </si>
  <si>
    <t>ROMER</t>
  </si>
  <si>
    <t>SEÑA</t>
  </si>
  <si>
    <t>BARIAS</t>
  </si>
  <si>
    <t>JULIUS</t>
  </si>
  <si>
    <t>ISLETI</t>
  </si>
  <si>
    <t>NICOLASA</t>
  </si>
  <si>
    <t>RONNEL</t>
  </si>
  <si>
    <t>MENDOZA</t>
  </si>
  <si>
    <t>AVANELLE</t>
  </si>
  <si>
    <t>CUBE</t>
  </si>
  <si>
    <t>DICK</t>
  </si>
  <si>
    <t>GUEVERRA</t>
  </si>
  <si>
    <t>ROSALIE</t>
  </si>
  <si>
    <t>ARIONES</t>
  </si>
  <si>
    <t>HAN</t>
  </si>
  <si>
    <t>CORDERO</t>
  </si>
  <si>
    <t>NOEL</t>
  </si>
  <si>
    <t>TEJADA</t>
  </si>
  <si>
    <t>EXPIRED</t>
  </si>
  <si>
    <t>LECHICO</t>
  </si>
  <si>
    <t>RODRIGO</t>
  </si>
  <si>
    <t>PICARDAL</t>
  </si>
  <si>
    <t>LEONARDO</t>
  </si>
  <si>
    <t>VIADO</t>
  </si>
  <si>
    <t>LUIS</t>
  </si>
  <si>
    <t>VERGEL</t>
  </si>
  <si>
    <t>BAYUGO</t>
  </si>
  <si>
    <t>BEAULAH</t>
  </si>
  <si>
    <t>CANAMA</t>
  </si>
  <si>
    <t>WIFE OF 1172</t>
  </si>
  <si>
    <t>ARLEN</t>
  </si>
  <si>
    <t>BLANCO</t>
  </si>
  <si>
    <t>LUISTRO</t>
  </si>
  <si>
    <t>THOMAS</t>
  </si>
  <si>
    <t>DANICO</t>
  </si>
  <si>
    <t>JESUS</t>
  </si>
  <si>
    <t>PERLITA</t>
  </si>
  <si>
    <t>DOMAR</t>
  </si>
  <si>
    <t>SEBUADO</t>
  </si>
  <si>
    <t>ANNIE</t>
  </si>
  <si>
    <t>JULY</t>
  </si>
  <si>
    <t>MARVIN</t>
  </si>
  <si>
    <t>YABUT</t>
  </si>
  <si>
    <t>MARIAN</t>
  </si>
  <si>
    <t>IMPERIAL</t>
  </si>
  <si>
    <t>SILVERIO</t>
  </si>
  <si>
    <t>LUISA</t>
  </si>
  <si>
    <t>GERONIMO</t>
  </si>
  <si>
    <t>OCTOBER</t>
  </si>
  <si>
    <t>DECKER</t>
  </si>
  <si>
    <t>DARBEL</t>
  </si>
  <si>
    <t>RICARDO</t>
  </si>
  <si>
    <t>MAGANA</t>
  </si>
  <si>
    <t>MA TERESA</t>
  </si>
  <si>
    <t>MARCELIANO</t>
  </si>
  <si>
    <t>LUISITO</t>
  </si>
  <si>
    <t>OLAZO</t>
  </si>
  <si>
    <t>KENETH</t>
  </si>
  <si>
    <t>QUEZADA</t>
  </si>
  <si>
    <t>GENCIANO</t>
  </si>
  <si>
    <t>HEREDIA</t>
  </si>
  <si>
    <t>APILAN</t>
  </si>
  <si>
    <t>RUBEN</t>
  </si>
  <si>
    <t>MARTINEZ</t>
  </si>
  <si>
    <t>PEDRITO</t>
  </si>
  <si>
    <t>PURA</t>
  </si>
  <si>
    <t>MARY ANN</t>
  </si>
  <si>
    <t>PADRILANAN</t>
  </si>
  <si>
    <t>TILO</t>
  </si>
  <si>
    <t>ENCONTRO</t>
  </si>
  <si>
    <t>BETTY</t>
  </si>
  <si>
    <t>CASPE</t>
  </si>
  <si>
    <t>MERCADO</t>
  </si>
  <si>
    <t>LAGASPI</t>
  </si>
  <si>
    <t>ALMARIO</t>
  </si>
  <si>
    <t>CARAG</t>
  </si>
  <si>
    <t>CANOY</t>
  </si>
  <si>
    <t>MALLILIN</t>
  </si>
  <si>
    <t>JOEL</t>
  </si>
  <si>
    <t>JUCUTAN</t>
  </si>
  <si>
    <t>EMPLOMA</t>
  </si>
  <si>
    <t>NANCY</t>
  </si>
  <si>
    <t>UY</t>
  </si>
  <si>
    <t>ABELLANIDA</t>
  </si>
  <si>
    <t>APRIL</t>
  </si>
  <si>
    <t>LEE</t>
  </si>
  <si>
    <t>AWID</t>
  </si>
  <si>
    <t>ORNOFIA</t>
  </si>
  <si>
    <t>MAY</t>
  </si>
  <si>
    <t>JOANNE CORIE</t>
  </si>
  <si>
    <t>SIGNO</t>
  </si>
  <si>
    <t>CARINA</t>
  </si>
  <si>
    <t>ESCUETA</t>
  </si>
  <si>
    <t>AMAR</t>
  </si>
  <si>
    <t>CANDELARIA</t>
  </si>
  <si>
    <t>VIDAD</t>
  </si>
  <si>
    <t>HINOJALES</t>
  </si>
  <si>
    <t>JEREMIAS</t>
  </si>
  <si>
    <t>EDEN</t>
  </si>
  <si>
    <t>PETALIO</t>
  </si>
  <si>
    <t>BENIGNA</t>
  </si>
  <si>
    <t>EDGARDO</t>
  </si>
  <si>
    <t>GUILLERMO</t>
  </si>
  <si>
    <t>FERNADO</t>
  </si>
  <si>
    <t>JULIO</t>
  </si>
  <si>
    <t>MATANGUIHAN</t>
  </si>
  <si>
    <t>MARY JOY</t>
  </si>
  <si>
    <t>BANDIAN</t>
  </si>
  <si>
    <t>TERESITA</t>
  </si>
  <si>
    <t>BULABUENA</t>
  </si>
  <si>
    <t>SEC REGISTRATION</t>
  </si>
  <si>
    <t>ALBERTO</t>
  </si>
  <si>
    <t>MARIFFE</t>
  </si>
  <si>
    <t>AGUIRE</t>
  </si>
  <si>
    <t>LESTER ALVIN</t>
  </si>
  <si>
    <t>DE CASTRO</t>
  </si>
  <si>
    <t>HEATH CLIFFE</t>
  </si>
  <si>
    <t>BARGARIENTO</t>
  </si>
  <si>
    <t>MARLORENEVIN</t>
  </si>
  <si>
    <t>JANICE</t>
  </si>
  <si>
    <t>MALINAO</t>
  </si>
  <si>
    <t>RIO ANGELES</t>
  </si>
  <si>
    <t>PURIFICACION</t>
  </si>
  <si>
    <t>ERWIN</t>
  </si>
  <si>
    <t>MARITES</t>
  </si>
  <si>
    <t>TUMLAD</t>
  </si>
  <si>
    <t>MYLES</t>
  </si>
  <si>
    <t>MORALES</t>
  </si>
  <si>
    <t>LIWAG</t>
  </si>
  <si>
    <t>KRIZEL</t>
  </si>
  <si>
    <t>VALENCIA</t>
  </si>
  <si>
    <t>JOHNVER</t>
  </si>
  <si>
    <t>SALVADOR</t>
  </si>
  <si>
    <t>DOLORES</t>
  </si>
  <si>
    <t>CALVEZ</t>
  </si>
  <si>
    <t>JENIFER</t>
  </si>
  <si>
    <t>ZIMORA</t>
  </si>
  <si>
    <t>EMMA</t>
  </si>
  <si>
    <t>VICMUDO</t>
  </si>
  <si>
    <t>OBNAMIA</t>
  </si>
  <si>
    <t>PAR</t>
  </si>
  <si>
    <t>ARIAN</t>
  </si>
  <si>
    <t>LACERNA</t>
  </si>
  <si>
    <t>CONRADO</t>
  </si>
  <si>
    <t>JOANNE</t>
  </si>
  <si>
    <t>NALAM</t>
  </si>
  <si>
    <t>MARY-ANN</t>
  </si>
  <si>
    <t>APACHAY</t>
  </si>
  <si>
    <t>BIR</t>
  </si>
  <si>
    <t>CELEDONIA</t>
  </si>
  <si>
    <t>PANGANIBAN</t>
  </si>
  <si>
    <t>ALDRIN RIEL</t>
  </si>
  <si>
    <t>TABUYAO</t>
  </si>
  <si>
    <t>BOYANO</t>
  </si>
  <si>
    <t>DIÑA</t>
  </si>
  <si>
    <t>BELL GEM RACHEL</t>
  </si>
  <si>
    <t>COTONER</t>
  </si>
  <si>
    <t>RONNALYN</t>
  </si>
  <si>
    <t>DICTADO</t>
  </si>
  <si>
    <t>ABCHERANISEL</t>
  </si>
  <si>
    <t>ESPIÑA</t>
  </si>
  <si>
    <t>KELLY</t>
  </si>
  <si>
    <t>JUSTINIANI</t>
  </si>
  <si>
    <t>RACHEL</t>
  </si>
  <si>
    <t>ANGULO</t>
  </si>
  <si>
    <t>LOVELY RESEFAITH</t>
  </si>
  <si>
    <t>FERNADEZ</t>
  </si>
  <si>
    <t>FELIMON</t>
  </si>
  <si>
    <t>BUSTAMANTE</t>
  </si>
  <si>
    <t>MIQUEAS</t>
  </si>
  <si>
    <t>TUMULAK</t>
  </si>
  <si>
    <t>WARLITO</t>
  </si>
  <si>
    <t>ROSALINDA</t>
  </si>
  <si>
    <t>DIMAUNAHAN</t>
  </si>
  <si>
    <t>JIMSON</t>
  </si>
  <si>
    <t>CLADERA</t>
  </si>
  <si>
    <t>AQUILINA</t>
  </si>
  <si>
    <t>GODITO</t>
  </si>
  <si>
    <t xml:space="preserve">DIT ON PALA PALA </t>
  </si>
  <si>
    <t>MARK VAL</t>
  </si>
  <si>
    <t>SANTIAGO</t>
  </si>
  <si>
    <t>MANEJERO</t>
  </si>
  <si>
    <t>DASMA</t>
  </si>
  <si>
    <t>BRANCH</t>
  </si>
  <si>
    <t>REN A MARK</t>
  </si>
  <si>
    <t>DRIVER'S LICENSE ID, OTHER ID</t>
  </si>
  <si>
    <t>NIDO</t>
  </si>
  <si>
    <t>SALADAR</t>
  </si>
  <si>
    <t>PABLITO</t>
  </si>
  <si>
    <t>ALCUARAN</t>
  </si>
  <si>
    <t>LEANDRO JIVAN</t>
  </si>
  <si>
    <t>BERMUNDO</t>
  </si>
  <si>
    <t>VOTER'S ID</t>
  </si>
  <si>
    <t>YOLANDA</t>
  </si>
  <si>
    <t>PASTORPIDE</t>
  </si>
  <si>
    <t>UNIFIED MULTI-PURPOSE ID</t>
  </si>
  <si>
    <t>JENNIFER</t>
  </si>
  <si>
    <t>MABANSAG</t>
  </si>
  <si>
    <t>ESTER</t>
  </si>
  <si>
    <t>OGANG</t>
  </si>
  <si>
    <t>DRIVER'S LICENSE ID</t>
  </si>
  <si>
    <t>NORLYN</t>
  </si>
  <si>
    <t>JENNELYN</t>
  </si>
  <si>
    <t>LAURICE</t>
  </si>
  <si>
    <t>VIANZON</t>
  </si>
  <si>
    <t>TING</t>
  </si>
  <si>
    <t>SHIELA</t>
  </si>
  <si>
    <t>LUTGARDA</t>
  </si>
  <si>
    <t>LILIMAN</t>
  </si>
  <si>
    <t>ROMMEL</t>
  </si>
  <si>
    <t>HIDALGO</t>
  </si>
  <si>
    <t>ESTEVE</t>
  </si>
  <si>
    <t>MATA</t>
  </si>
  <si>
    <t>PANDIÑO</t>
  </si>
  <si>
    <t>CANAYNAY</t>
  </si>
  <si>
    <t>SSS ID, TIN ID</t>
  </si>
  <si>
    <t>JENTABAN</t>
  </si>
  <si>
    <t>BIRGITA</t>
  </si>
  <si>
    <t>TOPACIO</t>
  </si>
  <si>
    <t>JENTABAL</t>
  </si>
  <si>
    <t>EMERSON</t>
  </si>
  <si>
    <t>CURIOSO</t>
  </si>
  <si>
    <t>SHARON</t>
  </si>
  <si>
    <t>JULIE</t>
  </si>
  <si>
    <t>IBANEZ</t>
  </si>
  <si>
    <t>CHENG</t>
  </si>
  <si>
    <t>NENITA</t>
  </si>
  <si>
    <t>ANNALITA</t>
  </si>
  <si>
    <t>VELASCO</t>
  </si>
  <si>
    <t>EVANGELIO</t>
  </si>
  <si>
    <t>ESPINAS</t>
  </si>
  <si>
    <t>OLAES</t>
  </si>
  <si>
    <t>CRUZEM</t>
  </si>
  <si>
    <t>MARK LLOYD</t>
  </si>
  <si>
    <t>PRESTO</t>
  </si>
  <si>
    <t>TIN ID, DRIVER'S LICENSE ID</t>
  </si>
  <si>
    <t xml:space="preserve">ARLENE </t>
  </si>
  <si>
    <t>DANTE</t>
  </si>
  <si>
    <t>VERANO</t>
  </si>
  <si>
    <t>EDUARDO</t>
  </si>
  <si>
    <t>APUYAN</t>
  </si>
  <si>
    <t>EDWARDO</t>
  </si>
  <si>
    <t>ALMACEN</t>
  </si>
  <si>
    <t>LINDA</t>
  </si>
  <si>
    <t>LIMPIADA</t>
  </si>
  <si>
    <t>EFREN</t>
  </si>
  <si>
    <t>LANUGO</t>
  </si>
  <si>
    <t>VICAR</t>
  </si>
  <si>
    <t>DUALAN</t>
  </si>
  <si>
    <t>OTHER ID</t>
  </si>
  <si>
    <t>MIRRIAM</t>
  </si>
  <si>
    <t>SICO</t>
  </si>
  <si>
    <t>DEXTER LEE</t>
  </si>
  <si>
    <t>MARCELO</t>
  </si>
  <si>
    <t>FUGOSO</t>
  </si>
  <si>
    <t>ANTE</t>
  </si>
  <si>
    <t xml:space="preserve">ANNABELLE </t>
  </si>
  <si>
    <t>AZNAR</t>
  </si>
  <si>
    <t>MARIUS</t>
  </si>
  <si>
    <t>VIOLAGO</t>
  </si>
  <si>
    <t>REYNALDO</t>
  </si>
  <si>
    <t>DIO</t>
  </si>
  <si>
    <t>FREDERICK</t>
  </si>
  <si>
    <t>MA ETHEL</t>
  </si>
  <si>
    <t>G</t>
  </si>
  <si>
    <t>BUANAFE</t>
  </si>
  <si>
    <t>CORTEZ</t>
  </si>
  <si>
    <t>MA.</t>
  </si>
  <si>
    <t>TABLADA</t>
  </si>
  <si>
    <t>VIRGIE</t>
  </si>
  <si>
    <t>PHOTOCOPY OF PASSPORT</t>
  </si>
  <si>
    <t>RICHARD</t>
  </si>
  <si>
    <t>DETABLAN</t>
  </si>
  <si>
    <t>VALDERAMA</t>
  </si>
  <si>
    <t>FELIX</t>
  </si>
  <si>
    <t>ASTILLO</t>
  </si>
  <si>
    <t>JADE</t>
  </si>
  <si>
    <t>RABINO</t>
  </si>
  <si>
    <t>TONGGOL</t>
  </si>
  <si>
    <t>REY</t>
  </si>
  <si>
    <t>PALALOM</t>
  </si>
  <si>
    <t>BACULPO</t>
  </si>
  <si>
    <t>VICTORINA</t>
  </si>
  <si>
    <t>MARLYN</t>
  </si>
  <si>
    <t>GEPES</t>
  </si>
  <si>
    <t>SSS ID</t>
  </si>
  <si>
    <t>KAREN</t>
  </si>
  <si>
    <t>CELSO</t>
  </si>
  <si>
    <t>ALMA</t>
  </si>
  <si>
    <t>CERRADA</t>
  </si>
  <si>
    <t>RINA</t>
  </si>
  <si>
    <t>GUYAMIN</t>
  </si>
  <si>
    <t>MERLYN</t>
  </si>
  <si>
    <t>PONTEJOS</t>
  </si>
  <si>
    <t>BAYANI</t>
  </si>
  <si>
    <t>SEKINE</t>
  </si>
  <si>
    <t>AYLEN</t>
  </si>
  <si>
    <t>CAPUNO</t>
  </si>
  <si>
    <t>TIN ID, OTHER ID</t>
  </si>
  <si>
    <t>ZINETH</t>
  </si>
  <si>
    <t>DE TORRES</t>
  </si>
  <si>
    <t>REA</t>
  </si>
  <si>
    <t>SAPATUA</t>
  </si>
  <si>
    <t>JANE</t>
  </si>
  <si>
    <t>COLLINS</t>
  </si>
  <si>
    <t>VIRGILIO</t>
  </si>
  <si>
    <t>OCAMPO</t>
  </si>
  <si>
    <t>BISO</t>
  </si>
  <si>
    <t>MA. CHICKY LOU</t>
  </si>
  <si>
    <t>STA. ROSA</t>
  </si>
  <si>
    <t>D</t>
  </si>
  <si>
    <t>BORJA</t>
  </si>
  <si>
    <t>RUTH</t>
  </si>
  <si>
    <t>LESAGIS</t>
  </si>
  <si>
    <t>POSTAL I.D.</t>
  </si>
  <si>
    <t>IAN CARLO</t>
  </si>
  <si>
    <t>CARREON</t>
  </si>
  <si>
    <t>CRISTY</t>
  </si>
  <si>
    <t>JOEMAR</t>
  </si>
  <si>
    <t>DAHE</t>
  </si>
  <si>
    <t>TITO</t>
  </si>
  <si>
    <t>DELO SANTOS</t>
  </si>
  <si>
    <t>CHENEE</t>
  </si>
  <si>
    <t>ARINO</t>
  </si>
  <si>
    <t>LEN</t>
  </si>
  <si>
    <t>LAROSA</t>
  </si>
  <si>
    <t>VASQUEZ</t>
  </si>
  <si>
    <t>NLIA</t>
  </si>
  <si>
    <t>MARISA</t>
  </si>
  <si>
    <t>VAGADO</t>
  </si>
  <si>
    <t>MELLY</t>
  </si>
  <si>
    <t>BARMO</t>
  </si>
  <si>
    <t>HONEY LYN</t>
  </si>
  <si>
    <t>CHRISTOPHER</t>
  </si>
  <si>
    <t>FESALBON</t>
  </si>
  <si>
    <t>GINA</t>
  </si>
  <si>
    <t>DEFANTE</t>
  </si>
  <si>
    <t>OMA</t>
  </si>
  <si>
    <t>MALOU</t>
  </si>
  <si>
    <t>TRINIDAD</t>
  </si>
  <si>
    <t>LEAH</t>
  </si>
  <si>
    <t>CATINGCO</t>
  </si>
  <si>
    <t>SALVACION</t>
  </si>
  <si>
    <t>ZUBIAGA</t>
  </si>
  <si>
    <t>MA. MILAGROS</t>
  </si>
  <si>
    <t>ALBUS</t>
  </si>
  <si>
    <t>STO. DOMINGO</t>
  </si>
  <si>
    <t>JOY-ANN</t>
  </si>
  <si>
    <t>TRAJANCO</t>
  </si>
  <si>
    <t>EMALY</t>
  </si>
  <si>
    <t>ELORDE</t>
  </si>
  <si>
    <t>CALISIN</t>
  </si>
  <si>
    <t>SHERMAN</t>
  </si>
  <si>
    <t>ELIJAH</t>
  </si>
  <si>
    <t>BUNAO</t>
  </si>
  <si>
    <t>REX</t>
  </si>
  <si>
    <t>ROYLA</t>
  </si>
  <si>
    <t>ALONA</t>
  </si>
  <si>
    <t>SARRIA</t>
  </si>
  <si>
    <t>ANALIE</t>
  </si>
  <si>
    <t>PANNZEK</t>
  </si>
  <si>
    <t>ELSIE</t>
  </si>
  <si>
    <t>PANAGSAGAN</t>
  </si>
  <si>
    <t>POSTAL ID</t>
  </si>
  <si>
    <t>JEFFSY</t>
  </si>
  <si>
    <t>TRAMPE</t>
  </si>
  <si>
    <t>BAIS</t>
  </si>
  <si>
    <t>PAULO</t>
  </si>
  <si>
    <t>DE LEON</t>
  </si>
  <si>
    <t>HILDA</t>
  </si>
  <si>
    <t>CONTAPAY</t>
  </si>
  <si>
    <t>VALLADO</t>
  </si>
  <si>
    <t>CABIL</t>
  </si>
  <si>
    <t>EDRALIN</t>
  </si>
  <si>
    <t>LAILA</t>
  </si>
  <si>
    <t>TURREDA</t>
  </si>
  <si>
    <t>TIN ID</t>
  </si>
  <si>
    <t>AMANSEC</t>
  </si>
  <si>
    <t>AFP ID, OTHER ID</t>
  </si>
  <si>
    <t>MELANIE</t>
  </si>
  <si>
    <t>BALADJAY</t>
  </si>
  <si>
    <t>EDUARTE</t>
  </si>
  <si>
    <t>SHYRIE</t>
  </si>
  <si>
    <t>EDILBERTO</t>
  </si>
  <si>
    <t>DONIZO</t>
  </si>
  <si>
    <t>ROSITA</t>
  </si>
  <si>
    <t>N</t>
  </si>
  <si>
    <t>DELA CUESTA</t>
  </si>
  <si>
    <t>SENIOR CITIZEN ID</t>
  </si>
  <si>
    <t>CYNTHIA</t>
  </si>
  <si>
    <t>LAGO</t>
  </si>
  <si>
    <t>TANYA</t>
  </si>
  <si>
    <t>CORNELIO</t>
  </si>
  <si>
    <t>NORONA</t>
  </si>
  <si>
    <t>ARWIN</t>
  </si>
  <si>
    <t>MARIVIL</t>
  </si>
  <si>
    <t>VALENTINO</t>
  </si>
  <si>
    <t>PANES</t>
  </si>
  <si>
    <t>JET</t>
  </si>
  <si>
    <t>NENA</t>
  </si>
  <si>
    <t>OLVINA</t>
  </si>
  <si>
    <t>EDMAR</t>
  </si>
  <si>
    <t>ALDAY</t>
  </si>
  <si>
    <t>ADRIAN</t>
  </si>
  <si>
    <t>CUENCA</t>
  </si>
  <si>
    <t>HERMINIANO</t>
  </si>
  <si>
    <t>LAURADA</t>
  </si>
  <si>
    <t>GERALDINE</t>
  </si>
  <si>
    <t>JOYCE</t>
  </si>
  <si>
    <t>MELODILLAR</t>
  </si>
  <si>
    <t>DANILLO</t>
  </si>
  <si>
    <t>MISUMI</t>
  </si>
  <si>
    <t>FELICITAS</t>
  </si>
  <si>
    <t>VERONICA</t>
  </si>
  <si>
    <t>CUETO</t>
  </si>
  <si>
    <t>MAYANNE</t>
  </si>
  <si>
    <t>CASTILLO</t>
  </si>
  <si>
    <t>TORREDA</t>
  </si>
  <si>
    <t>MALBA</t>
  </si>
  <si>
    <t>SSS ID, VOTER'S ID</t>
  </si>
  <si>
    <t>LIAN JANELLE</t>
  </si>
  <si>
    <t>MISHYL</t>
  </si>
  <si>
    <t>ALBASIN</t>
  </si>
  <si>
    <t>MITCHIE</t>
  </si>
  <si>
    <t>JAVINES</t>
  </si>
  <si>
    <t>ARMUNDO</t>
  </si>
  <si>
    <t>DIMAGULA</t>
  </si>
  <si>
    <t>SALVACIL</t>
  </si>
  <si>
    <t>ADOYOGAN</t>
  </si>
  <si>
    <t>EDDIE</t>
  </si>
  <si>
    <t>DEMETRIAL</t>
  </si>
  <si>
    <t>DY</t>
  </si>
  <si>
    <t>NIDA</t>
  </si>
  <si>
    <t>CALLEJA</t>
  </si>
  <si>
    <t>SSS ID, TIN ID, STUDENT LICENSE ID</t>
  </si>
  <si>
    <t>PRECONCILLO</t>
  </si>
  <si>
    <t>MA. MICHELLE</t>
  </si>
  <si>
    <t>VIERNES</t>
  </si>
  <si>
    <t>ALVAREZ</t>
  </si>
  <si>
    <t>ALONZOSANA</t>
  </si>
  <si>
    <t>MA. CYNTHIA</t>
  </si>
  <si>
    <t>ANDRADE</t>
  </si>
  <si>
    <t>GAZEL</t>
  </si>
  <si>
    <t>JANIFEL</t>
  </si>
  <si>
    <t>MANDAYA</t>
  </si>
  <si>
    <t>TESSA</t>
  </si>
  <si>
    <t>DORINA</t>
  </si>
  <si>
    <t>ROMANO</t>
  </si>
  <si>
    <t>JENY</t>
  </si>
  <si>
    <t>FIL</t>
  </si>
  <si>
    <t>CAMULTE</t>
  </si>
  <si>
    <t>EMY</t>
  </si>
  <si>
    <t>SAMONTE</t>
  </si>
  <si>
    <t>CARMEN</t>
  </si>
  <si>
    <t>GEMMA</t>
  </si>
  <si>
    <t>VILLAFLOR</t>
  </si>
  <si>
    <t>ALICIA</t>
  </si>
  <si>
    <t>VEJERANO</t>
  </si>
  <si>
    <t>RICO</t>
  </si>
  <si>
    <t>MACAPUGAS</t>
  </si>
  <si>
    <t>MERCEDES</t>
  </si>
  <si>
    <t>GUZMAN</t>
  </si>
  <si>
    <t>KRISTINA KAREN</t>
  </si>
  <si>
    <t>DRIVER'S LICENSE ID, PHILHEALTH ID</t>
  </si>
  <si>
    <t>REYNALLY</t>
  </si>
  <si>
    <t>ARENAS</t>
  </si>
  <si>
    <t>DARLENE</t>
  </si>
  <si>
    <t>MELISSA</t>
  </si>
  <si>
    <t>MELAD</t>
  </si>
  <si>
    <t>VANESSA</t>
  </si>
  <si>
    <t>CONTRERAS</t>
  </si>
  <si>
    <t>NEVIN</t>
  </si>
  <si>
    <t>MALDAMER</t>
  </si>
  <si>
    <t>JESSNARD</t>
  </si>
  <si>
    <t>HANSVON</t>
  </si>
  <si>
    <t>PRESEDA</t>
  </si>
  <si>
    <t>MOSCATILES</t>
  </si>
  <si>
    <t>SABAL</t>
  </si>
  <si>
    <t>LILIBETH</t>
  </si>
  <si>
    <t>PAJANOSTAN</t>
  </si>
  <si>
    <t>EVANGELISTA</t>
  </si>
  <si>
    <t>BEVERLY JANE</t>
  </si>
  <si>
    <t>SUGANO</t>
  </si>
  <si>
    <t>SABIO</t>
  </si>
  <si>
    <t>LEILANI</t>
  </si>
  <si>
    <t>BASILAN</t>
  </si>
  <si>
    <t>MARIO</t>
  </si>
  <si>
    <t>MIRANDA</t>
  </si>
  <si>
    <t>AGUSTINO</t>
  </si>
  <si>
    <t>VISTA</t>
  </si>
  <si>
    <t>LEO</t>
  </si>
  <si>
    <t>NONO</t>
  </si>
  <si>
    <t>ALMODIENTE</t>
  </si>
  <si>
    <t>ORDILLO</t>
  </si>
  <si>
    <t>JUAN MIGUEL</t>
  </si>
  <si>
    <t>MARG PAUL</t>
  </si>
  <si>
    <t>AMITH</t>
  </si>
  <si>
    <t>DTI, SSS ID, OTHER ID</t>
  </si>
  <si>
    <t>EMIL</t>
  </si>
  <si>
    <t>LIWAN</t>
  </si>
  <si>
    <t>JURADO</t>
  </si>
  <si>
    <t>LUZ</t>
  </si>
  <si>
    <t>ALCALA</t>
  </si>
  <si>
    <t>MOQUIRING</t>
  </si>
  <si>
    <t xml:space="preserve">JERRY </t>
  </si>
  <si>
    <t>ROLDES</t>
  </si>
  <si>
    <t>ROBLES NIECEL</t>
  </si>
  <si>
    <t>TUGANO</t>
  </si>
  <si>
    <t>DRIVERS LICENSE</t>
  </si>
  <si>
    <t>ERIC</t>
  </si>
  <si>
    <t>STA ANA</t>
  </si>
  <si>
    <t>JAMES</t>
  </si>
  <si>
    <t>ANG</t>
  </si>
  <si>
    <t>GOMEZ</t>
  </si>
  <si>
    <t>CIRICO</t>
  </si>
  <si>
    <t>APPLES</t>
  </si>
  <si>
    <t>DIPALAC</t>
  </si>
  <si>
    <t>BRENDA</t>
  </si>
  <si>
    <t>SEVERINO</t>
  </si>
  <si>
    <t>SARAH</t>
  </si>
  <si>
    <t>SUAREZ</t>
  </si>
  <si>
    <t>SISTER</t>
  </si>
  <si>
    <t>MA.FATIMA</t>
  </si>
  <si>
    <t>ANITA</t>
  </si>
  <si>
    <t>OBAL</t>
  </si>
  <si>
    <t>ROSIFO</t>
  </si>
  <si>
    <t>RISNONO</t>
  </si>
  <si>
    <t>BABY ROSE</t>
  </si>
  <si>
    <t>PIANA</t>
  </si>
  <si>
    <t>CAILA</t>
  </si>
  <si>
    <t>DAYRIT</t>
  </si>
  <si>
    <t>SHERWIN</t>
  </si>
  <si>
    <t>TOLEDO</t>
  </si>
  <si>
    <t>LORILLA</t>
  </si>
  <si>
    <t>SALONGA</t>
  </si>
  <si>
    <t>JOHN</t>
  </si>
  <si>
    <t>PONSARAN</t>
  </si>
  <si>
    <t>FLORESITA</t>
  </si>
  <si>
    <t>REALOSA</t>
  </si>
  <si>
    <t>ANGELICA</t>
  </si>
  <si>
    <t>ISLES</t>
  </si>
  <si>
    <t>SM</t>
  </si>
  <si>
    <t>HWANG</t>
  </si>
  <si>
    <t>ALBAY</t>
  </si>
  <si>
    <t>FRANCIS</t>
  </si>
  <si>
    <t>LOZADA</t>
  </si>
  <si>
    <t>ARDIVELA</t>
  </si>
  <si>
    <t>REYNOSO</t>
  </si>
  <si>
    <t>LAREDE</t>
  </si>
  <si>
    <t>ARMOANDO</t>
  </si>
  <si>
    <t>BATETOLO</t>
  </si>
  <si>
    <t>MARIUS ALEXANDER</t>
  </si>
  <si>
    <t>AMBION</t>
  </si>
  <si>
    <t>GUEVARRA</t>
  </si>
  <si>
    <t>MAJORIE</t>
  </si>
  <si>
    <t>CALONG</t>
  </si>
  <si>
    <t>BATARINA</t>
  </si>
  <si>
    <t>OTHER ID (SR. CITIZEN)</t>
  </si>
  <si>
    <t>MARIBETH</t>
  </si>
  <si>
    <t>JONNEL</t>
  </si>
  <si>
    <t>MALAYA</t>
  </si>
  <si>
    <t>NINORA</t>
  </si>
  <si>
    <t>MERLE</t>
  </si>
  <si>
    <t>DOMINGO</t>
  </si>
  <si>
    <t>GONZAGA</t>
  </si>
  <si>
    <t>VERGARA</t>
  </si>
  <si>
    <t>MILAN</t>
  </si>
  <si>
    <t>MANINTAG</t>
  </si>
  <si>
    <t>DIANE</t>
  </si>
  <si>
    <t>FEDULNI</t>
  </si>
  <si>
    <t>JERRYL</t>
  </si>
  <si>
    <t>BACO</t>
  </si>
  <si>
    <t>OFFERY</t>
  </si>
  <si>
    <t>SAULOG</t>
  </si>
  <si>
    <t>JOSIFINA</t>
  </si>
  <si>
    <t>TRAVINA</t>
  </si>
  <si>
    <t>SELING</t>
  </si>
  <si>
    <t>JONILYN</t>
  </si>
  <si>
    <t>ARTUZ</t>
  </si>
  <si>
    <t>ABDULA</t>
  </si>
  <si>
    <t>TINASAS</t>
  </si>
  <si>
    <t>EDJOSEF</t>
  </si>
  <si>
    <t>CABANILLA</t>
  </si>
  <si>
    <t>UNIFIED MULTI-PURPOSE ID, OTHER ID</t>
  </si>
  <si>
    <t>MAGSINO</t>
  </si>
  <si>
    <t>VENAN</t>
  </si>
  <si>
    <t>ESPALTO</t>
  </si>
  <si>
    <t>DELFIN</t>
  </si>
  <si>
    <t>JOSON</t>
  </si>
  <si>
    <t>EDITA</t>
  </si>
  <si>
    <t>LINARES</t>
  </si>
  <si>
    <t>SAN</t>
  </si>
  <si>
    <t>MA.ELENA</t>
  </si>
  <si>
    <t>ODESA</t>
  </si>
  <si>
    <t>CORPUZ</t>
  </si>
  <si>
    <t>TANAKA</t>
  </si>
  <si>
    <t>ROBER</t>
  </si>
  <si>
    <t>JIMELO</t>
  </si>
  <si>
    <t>RESTY</t>
  </si>
  <si>
    <t>MANAYAW</t>
  </si>
  <si>
    <t>JULIAN</t>
  </si>
  <si>
    <t>PATRICK</t>
  </si>
  <si>
    <t>REGALADO</t>
  </si>
  <si>
    <t>NICK ANGELO</t>
  </si>
  <si>
    <t>BONY</t>
  </si>
  <si>
    <t>THERESA</t>
  </si>
  <si>
    <t>TABLANG</t>
  </si>
  <si>
    <t>DTI, BRGY. BUS. CLEARANCE, SSS ID, DRIVER'S LIC. ID</t>
  </si>
  <si>
    <t>EGLECERIA</t>
  </si>
  <si>
    <t>BROZO</t>
  </si>
  <si>
    <t>MARILES</t>
  </si>
  <si>
    <t>SIJARES</t>
  </si>
  <si>
    <t>HERMINIO (COY)</t>
  </si>
  <si>
    <t>MILAGROS</t>
  </si>
  <si>
    <t>MALAPIT</t>
  </si>
  <si>
    <t>ELLIE</t>
  </si>
  <si>
    <t>AMES</t>
  </si>
  <si>
    <t>MILDRED</t>
  </si>
  <si>
    <t>GABATIN</t>
  </si>
  <si>
    <t>CHITO</t>
  </si>
  <si>
    <t>JOAN GRACE</t>
  </si>
  <si>
    <t>RANOY</t>
  </si>
  <si>
    <t>DIALINO</t>
  </si>
  <si>
    <t>YONGMO</t>
  </si>
  <si>
    <t>KIM</t>
  </si>
  <si>
    <t>RENZ</t>
  </si>
  <si>
    <t>ALGIN</t>
  </si>
  <si>
    <t>SULIMA</t>
  </si>
  <si>
    <t>QUESTIN</t>
  </si>
  <si>
    <t>RAMON</t>
  </si>
  <si>
    <t>MASA</t>
  </si>
  <si>
    <t>SINDO</t>
  </si>
  <si>
    <t>TANFELIX</t>
  </si>
  <si>
    <t>ESLAVA</t>
  </si>
  <si>
    <t>ARTHURO</t>
  </si>
  <si>
    <t>JEMIMAH</t>
  </si>
  <si>
    <t>CARLOS</t>
  </si>
  <si>
    <t>EMELYN</t>
  </si>
  <si>
    <t>DUBLIN</t>
  </si>
  <si>
    <t>YAN LAI</t>
  </si>
  <si>
    <t>CHEN</t>
  </si>
  <si>
    <t>JOSIE</t>
  </si>
  <si>
    <t>GO</t>
  </si>
  <si>
    <t>JURIVIC</t>
  </si>
  <si>
    <t>CABATIAN</t>
  </si>
  <si>
    <t>NACIONALES</t>
  </si>
  <si>
    <t>DTI, OTHER ID</t>
  </si>
  <si>
    <t>AMERLITA</t>
  </si>
  <si>
    <t>PEÑALARA</t>
  </si>
  <si>
    <t>MALIBIRAN</t>
  </si>
  <si>
    <t>DONNA</t>
  </si>
  <si>
    <t>NAZARIA</t>
  </si>
  <si>
    <t>ROSETES</t>
  </si>
  <si>
    <t>TIN ID, SENIOR CITIZEN ID</t>
  </si>
  <si>
    <t>MERCY</t>
  </si>
  <si>
    <t>SERVIDA</t>
  </si>
  <si>
    <t>ALLEN</t>
  </si>
  <si>
    <t>MARTIREZ</t>
  </si>
  <si>
    <t>AGNES</t>
  </si>
  <si>
    <t>CANATRANCA</t>
  </si>
  <si>
    <t>TERESA</t>
  </si>
  <si>
    <t>MORA</t>
  </si>
  <si>
    <t>RUSTICO</t>
  </si>
  <si>
    <t>VARALLERO</t>
  </si>
  <si>
    <t>DE</t>
  </si>
  <si>
    <t>ALDECOA</t>
  </si>
  <si>
    <t>AGUILLAR</t>
  </si>
  <si>
    <t>DEMI</t>
  </si>
  <si>
    <t>TAYAG</t>
  </si>
  <si>
    <t>ROMELA</t>
  </si>
  <si>
    <t>RAGAS</t>
  </si>
  <si>
    <t>EZRA</t>
  </si>
  <si>
    <t>VALERO</t>
  </si>
  <si>
    <t>LORIE</t>
  </si>
  <si>
    <t>MANAHAN</t>
  </si>
  <si>
    <t>DARJUN</t>
  </si>
  <si>
    <t>AVRELO</t>
  </si>
  <si>
    <t>FERRY</t>
  </si>
  <si>
    <t>MARIANO</t>
  </si>
  <si>
    <t>JAVIER</t>
  </si>
  <si>
    <t>VENA</t>
  </si>
  <si>
    <t>MAGNAYI</t>
  </si>
  <si>
    <t>JARIN</t>
  </si>
  <si>
    <t>SABA</t>
  </si>
  <si>
    <t>RAUL</t>
  </si>
  <si>
    <t>SEDURIFA</t>
  </si>
  <si>
    <t>SOLITARIO</t>
  </si>
  <si>
    <t>QUIOCHO</t>
  </si>
  <si>
    <t>MA. LOLITA</t>
  </si>
  <si>
    <t>BATULAN</t>
  </si>
  <si>
    <t>MARICEL</t>
  </si>
  <si>
    <t>VOTER'S ID, PHOTOCOPY OF PASSPORT</t>
  </si>
  <si>
    <t>MANATA</t>
  </si>
  <si>
    <t>ALICE JANE</t>
  </si>
  <si>
    <t>FABUL</t>
  </si>
  <si>
    <t>BERNIE</t>
  </si>
  <si>
    <t>MINGOY</t>
  </si>
  <si>
    <t>LUANSING</t>
  </si>
  <si>
    <t>EGANGAN</t>
  </si>
  <si>
    <t>JERALDEN</t>
  </si>
  <si>
    <t>GOTANGCO</t>
  </si>
  <si>
    <t>MICHELLE</t>
  </si>
  <si>
    <t>QUIERREZ</t>
  </si>
  <si>
    <t>LOWIECES</t>
  </si>
  <si>
    <t>COLLADO</t>
  </si>
  <si>
    <t>MARIE ANN</t>
  </si>
  <si>
    <t>VILLAFUERTE</t>
  </si>
  <si>
    <t>SSS ID, DRIVER'S LICENSE ID</t>
  </si>
  <si>
    <t>DAYON</t>
  </si>
  <si>
    <t>MILEN</t>
  </si>
  <si>
    <t>IGON IGON</t>
  </si>
  <si>
    <t>NICANRITA</t>
  </si>
  <si>
    <t>BONIEL</t>
  </si>
  <si>
    <t>RAMOL</t>
  </si>
  <si>
    <t>DEMMARK</t>
  </si>
  <si>
    <t>TADASHI</t>
  </si>
  <si>
    <t>SAGI</t>
  </si>
  <si>
    <t>RONENA</t>
  </si>
  <si>
    <t>TIN ID, SSS ID</t>
  </si>
  <si>
    <t>PETER</t>
  </si>
  <si>
    <t>TINA</t>
  </si>
  <si>
    <t>KU</t>
  </si>
  <si>
    <t>VICENTE</t>
  </si>
  <si>
    <t>RUGAN</t>
  </si>
  <si>
    <t>VIOLENDA</t>
  </si>
  <si>
    <t>ALEXANDER</t>
  </si>
  <si>
    <t>ELO</t>
  </si>
  <si>
    <t>BANZUELO</t>
  </si>
  <si>
    <t>FELIX ROMEO</t>
  </si>
  <si>
    <t>TOGLE</t>
  </si>
  <si>
    <t>ROCKY</t>
  </si>
  <si>
    <t>NABONG</t>
  </si>
  <si>
    <t>JESSA</t>
  </si>
  <si>
    <t>CHUN</t>
  </si>
  <si>
    <t>PHILIP</t>
  </si>
  <si>
    <t>TIBAYAN</t>
  </si>
  <si>
    <t>ENANU</t>
  </si>
  <si>
    <t>ALLANS</t>
  </si>
  <si>
    <t>SASIS</t>
  </si>
  <si>
    <t>EVI</t>
  </si>
  <si>
    <t>YNCLINO</t>
  </si>
  <si>
    <t>VILMA</t>
  </si>
  <si>
    <t>HAYDEE</t>
  </si>
  <si>
    <t>MARANAN</t>
  </si>
  <si>
    <t>EDGE</t>
  </si>
  <si>
    <t>LIBED</t>
  </si>
  <si>
    <t>RYSN</t>
  </si>
  <si>
    <t>NOCITE</t>
  </si>
  <si>
    <t>RYAN</t>
  </si>
  <si>
    <t>ORTUYO</t>
  </si>
  <si>
    <t>DE GRANO</t>
  </si>
  <si>
    <t>BAUIT</t>
  </si>
  <si>
    <t>ISABELITA</t>
  </si>
  <si>
    <t>ESCALA</t>
  </si>
  <si>
    <t>MAICET</t>
  </si>
  <si>
    <t>DOCTOR</t>
  </si>
  <si>
    <t>DALLIFE</t>
  </si>
  <si>
    <t>VILLAROMAN</t>
  </si>
  <si>
    <t>OLIVIA</t>
  </si>
  <si>
    <t>FONTAMILLA</t>
  </si>
  <si>
    <t>CHARLENE</t>
  </si>
  <si>
    <t>AMORES</t>
  </si>
  <si>
    <t>GLWNN TITO</t>
  </si>
  <si>
    <t>ESPEJO</t>
  </si>
  <si>
    <t>DEL MUNDO</t>
  </si>
  <si>
    <t>ERLINDA</t>
  </si>
  <si>
    <t>PEREA</t>
  </si>
  <si>
    <t>RACHELE</t>
  </si>
  <si>
    <t>ARCEGA</t>
  </si>
  <si>
    <t>REBECCA</t>
  </si>
  <si>
    <t>ARCILLA</t>
  </si>
  <si>
    <t>HAZEL</t>
  </si>
  <si>
    <t>ROMAN</t>
  </si>
  <si>
    <t>NOLINA</t>
  </si>
  <si>
    <t>PEÑANO</t>
  </si>
  <si>
    <t>ENRICO</t>
  </si>
  <si>
    <t>MANALO</t>
  </si>
  <si>
    <t>PANTI</t>
  </si>
  <si>
    <t>FELECITAS</t>
  </si>
  <si>
    <t>JACQUELINE</t>
  </si>
  <si>
    <t>TRAQUINA</t>
  </si>
  <si>
    <t>QUIBUYEN</t>
  </si>
  <si>
    <t>JOHN TEEJAY</t>
  </si>
  <si>
    <t>TIN ID, VOTER'S ID</t>
  </si>
  <si>
    <t>WELMER</t>
  </si>
  <si>
    <t>EBUENGA</t>
  </si>
  <si>
    <t>SABALLA</t>
  </si>
  <si>
    <t>VOTER'S ID, OTHER ID</t>
  </si>
  <si>
    <t>DE JESUS</t>
  </si>
  <si>
    <t>ERICK</t>
  </si>
  <si>
    <t>ARELLANO</t>
  </si>
  <si>
    <t>GARRY</t>
  </si>
  <si>
    <t>PETER PAUL</t>
  </si>
  <si>
    <t>LANDO</t>
  </si>
  <si>
    <t>ROUZON</t>
  </si>
  <si>
    <t>POTINO</t>
  </si>
  <si>
    <t>HUFAVAR JR</t>
  </si>
  <si>
    <t>BASADA</t>
  </si>
  <si>
    <t>GLORIA</t>
  </si>
  <si>
    <t>DUNNE</t>
  </si>
  <si>
    <t>ARLENE</t>
  </si>
  <si>
    <t>VEGA</t>
  </si>
  <si>
    <t>SIDNEY</t>
  </si>
  <si>
    <t>CAMPOS</t>
  </si>
  <si>
    <t>VILMER</t>
  </si>
  <si>
    <t>DIÑO</t>
  </si>
  <si>
    <t>RYOTELL</t>
  </si>
  <si>
    <t>TERILLO</t>
  </si>
  <si>
    <t>DESAVILLE</t>
  </si>
  <si>
    <t>JEFFREY</t>
  </si>
  <si>
    <t>CUERDO</t>
  </si>
  <si>
    <t>ERNESTO</t>
  </si>
  <si>
    <t>MAGTANGOB</t>
  </si>
  <si>
    <t>DENN</t>
  </si>
  <si>
    <t>TUVERA</t>
  </si>
  <si>
    <t>TABISNAO</t>
  </si>
  <si>
    <t>EDGAR</t>
  </si>
  <si>
    <t>CHAVES</t>
  </si>
  <si>
    <t>EMERLITO REY</t>
  </si>
  <si>
    <t>ANNALIZA</t>
  </si>
  <si>
    <t>REPIL</t>
  </si>
  <si>
    <t>TRINITAS</t>
  </si>
  <si>
    <t>UHOMOIBHI</t>
  </si>
  <si>
    <t>CAMIL</t>
  </si>
  <si>
    <t>CAÑETE</t>
  </si>
  <si>
    <t>AIDA</t>
  </si>
  <si>
    <t>KITANE</t>
  </si>
  <si>
    <t>BITAVARRA</t>
  </si>
  <si>
    <t>PHILHEALTH ID</t>
  </si>
  <si>
    <t>ELVA</t>
  </si>
  <si>
    <t>GASPI</t>
  </si>
  <si>
    <t>HINA SHELLA</t>
  </si>
  <si>
    <t>MANZANERO</t>
  </si>
  <si>
    <t>MIKE</t>
  </si>
  <si>
    <t>JAY</t>
  </si>
  <si>
    <t>RANIL</t>
  </si>
  <si>
    <t>JIANZON</t>
  </si>
  <si>
    <t>ZOE</t>
  </si>
  <si>
    <t>HAPPY</t>
  </si>
  <si>
    <t>MCILHENNEY</t>
  </si>
  <si>
    <t>JEAN</t>
  </si>
  <si>
    <t>SUDA</t>
  </si>
  <si>
    <t>CHRISDUNLER</t>
  </si>
  <si>
    <t>JOHN ERIC</t>
  </si>
  <si>
    <t>MERLYNDA</t>
  </si>
  <si>
    <t>MANRIQUE</t>
  </si>
  <si>
    <t>SANDRA</t>
  </si>
  <si>
    <t>LAXAMANA</t>
  </si>
  <si>
    <t>SHEENA</t>
  </si>
  <si>
    <t>ENRIQUEZ</t>
  </si>
  <si>
    <t>LINTAG</t>
  </si>
  <si>
    <t>DURENDES</t>
  </si>
  <si>
    <t>CAMAÑAG</t>
  </si>
  <si>
    <t>KEMBY</t>
  </si>
  <si>
    <t>DELA PENA</t>
  </si>
  <si>
    <t>PACHECO</t>
  </si>
  <si>
    <t>JENELITO</t>
  </si>
  <si>
    <t>RUAYA</t>
  </si>
  <si>
    <t>BENNY</t>
  </si>
  <si>
    <t>AVELINDA</t>
  </si>
  <si>
    <t>U</t>
  </si>
  <si>
    <t>SENSON</t>
  </si>
  <si>
    <t>LOIDA</t>
  </si>
  <si>
    <t>GASO</t>
  </si>
  <si>
    <t>CERELINO</t>
  </si>
  <si>
    <t>PALGAN</t>
  </si>
  <si>
    <t>GING</t>
  </si>
  <si>
    <t>STOKES</t>
  </si>
  <si>
    <t>FAIRY PEARL</t>
  </si>
  <si>
    <t>MASIGLA</t>
  </si>
  <si>
    <t>JACK</t>
  </si>
  <si>
    <t>GALLARDO</t>
  </si>
  <si>
    <t>CARANITO</t>
  </si>
  <si>
    <t>PRAYCO</t>
  </si>
  <si>
    <t>CIRILO</t>
  </si>
  <si>
    <t>VICKY</t>
  </si>
  <si>
    <t>ARQUILLO</t>
  </si>
  <si>
    <t>MACARIO</t>
  </si>
  <si>
    <t>AMULONG</t>
  </si>
  <si>
    <t>LOUIE</t>
  </si>
  <si>
    <t>PANGAYAN</t>
  </si>
  <si>
    <t>GALVEZ</t>
  </si>
  <si>
    <t>NADINE KARLA</t>
  </si>
  <si>
    <t>DE ROXAS</t>
  </si>
  <si>
    <t>DTI, BUSINESS PERMIT, OTHER ID</t>
  </si>
  <si>
    <t>JOVEN</t>
  </si>
  <si>
    <t>LADINES</t>
  </si>
  <si>
    <t>BOLAÑOS</t>
  </si>
  <si>
    <t>DULCE</t>
  </si>
  <si>
    <t>SUDARIA</t>
  </si>
  <si>
    <t>DELSEREY</t>
  </si>
  <si>
    <t>ANTICUANDO</t>
  </si>
  <si>
    <t>ADEL</t>
  </si>
  <si>
    <t>RIGUER</t>
  </si>
  <si>
    <t>DONATA</t>
  </si>
  <si>
    <t>RECILLA</t>
  </si>
  <si>
    <t>ROSIL</t>
  </si>
  <si>
    <t>ALBARICO</t>
  </si>
  <si>
    <t>PORTO</t>
  </si>
  <si>
    <t>EXEQUIEL</t>
  </si>
  <si>
    <t>CASIMSIMAN</t>
  </si>
  <si>
    <t>SAM</t>
  </si>
  <si>
    <t>CAROLYN</t>
  </si>
  <si>
    <t>GABRIEL</t>
  </si>
  <si>
    <t>LOLITA</t>
  </si>
  <si>
    <t>FANDIÑOLA</t>
  </si>
  <si>
    <t>EMERENCIANO</t>
  </si>
  <si>
    <t>MARELYN</t>
  </si>
  <si>
    <t>YAMBA</t>
  </si>
  <si>
    <t>LIZA</t>
  </si>
  <si>
    <t>VENTURA</t>
  </si>
  <si>
    <t>ALICE</t>
  </si>
  <si>
    <t>CABERO</t>
  </si>
  <si>
    <t>FLORENTINO</t>
  </si>
  <si>
    <t>ANNA MARIE</t>
  </si>
  <si>
    <t>JIN</t>
  </si>
  <si>
    <t>MORANTE</t>
  </si>
  <si>
    <t>LORELIE ANN</t>
  </si>
  <si>
    <t>PAREJA</t>
  </si>
  <si>
    <t>JOEMEL</t>
  </si>
  <si>
    <t>CABALLERO</t>
  </si>
  <si>
    <t>PEUERTO</t>
  </si>
  <si>
    <t>TERO</t>
  </si>
  <si>
    <t>MURIEL</t>
  </si>
  <si>
    <t>BENDOL</t>
  </si>
  <si>
    <t>BARCELIZA</t>
  </si>
  <si>
    <t>ENCISO</t>
  </si>
  <si>
    <t>MARDAVE</t>
  </si>
  <si>
    <t>BOLALIN</t>
  </si>
  <si>
    <t>MARIA NOVE</t>
  </si>
  <si>
    <t>ESPIRITU</t>
  </si>
  <si>
    <t>IFURUNG</t>
  </si>
  <si>
    <t>CARLOS ANTHONY</t>
  </si>
  <si>
    <t>FRIAS</t>
  </si>
  <si>
    <t>GOLFO</t>
  </si>
  <si>
    <t>JOTAM</t>
  </si>
  <si>
    <t>CELESTE</t>
  </si>
  <si>
    <t>JUNN</t>
  </si>
  <si>
    <t>TORRALBA</t>
  </si>
  <si>
    <t>MARIA MAJEL</t>
  </si>
  <si>
    <t>AMPARO</t>
  </si>
  <si>
    <t>JOVAN</t>
  </si>
  <si>
    <t>MAGYAYA</t>
  </si>
  <si>
    <t>DEL ROSARIO</t>
  </si>
  <si>
    <t>MARIE JEAN</t>
  </si>
  <si>
    <t>ARROYO</t>
  </si>
  <si>
    <t>CARMELITA</t>
  </si>
  <si>
    <t>TELMO</t>
  </si>
  <si>
    <t>JOEY</t>
  </si>
  <si>
    <t>ESTORQUE</t>
  </si>
  <si>
    <t>GEREMILLO</t>
  </si>
  <si>
    <t>FR RITO</t>
  </si>
  <si>
    <t>YBAÑEZ</t>
  </si>
  <si>
    <t>LESLIE ANN</t>
  </si>
  <si>
    <t>YASIS</t>
  </si>
  <si>
    <t>BASCO</t>
  </si>
  <si>
    <t>GRACE</t>
  </si>
  <si>
    <t>DUPA</t>
  </si>
  <si>
    <t>JACKLYN</t>
  </si>
  <si>
    <t>OLIVA</t>
  </si>
  <si>
    <t>SAGPAO</t>
  </si>
  <si>
    <t>JOANNA LIZA</t>
  </si>
  <si>
    <t>DUCUSIN</t>
  </si>
  <si>
    <t>NIMFA</t>
  </si>
  <si>
    <t>LEILA</t>
  </si>
  <si>
    <t>DTI, TIN ID</t>
  </si>
  <si>
    <t>JESSICA</t>
  </si>
  <si>
    <t>BAUSIM</t>
  </si>
  <si>
    <t>AMIAN</t>
  </si>
  <si>
    <t>DIOMEDES</t>
  </si>
  <si>
    <t>F</t>
  </si>
  <si>
    <t>SAEZ</t>
  </si>
  <si>
    <t>CHARLES</t>
  </si>
  <si>
    <t>MANAS</t>
  </si>
  <si>
    <t>JULIA</t>
  </si>
  <si>
    <t>REFORMADO</t>
  </si>
  <si>
    <t>MA MAGDALENA</t>
  </si>
  <si>
    <t>SANTOSILDES</t>
  </si>
  <si>
    <t>MOLARTO</t>
  </si>
  <si>
    <t>VOTER'S ID, PHILHEALTH ID</t>
  </si>
  <si>
    <t>POSTAL ID, OTHER ID</t>
  </si>
  <si>
    <t>RABANAL</t>
  </si>
  <si>
    <t>GUILLERMA</t>
  </si>
  <si>
    <t>BERLYN</t>
  </si>
  <si>
    <t xml:space="preserve">DE MONTEVERDE </t>
  </si>
  <si>
    <t>GERSON</t>
  </si>
  <si>
    <t>BAGOOD</t>
  </si>
  <si>
    <t>PASCUA</t>
  </si>
  <si>
    <t>VENUZ</t>
  </si>
  <si>
    <t>VINCENT</t>
  </si>
  <si>
    <t>LAMPA</t>
  </si>
  <si>
    <t>CAYMO</t>
  </si>
  <si>
    <t>MARIA ERMA</t>
  </si>
  <si>
    <t>RISDY</t>
  </si>
  <si>
    <t>ANDEO</t>
  </si>
  <si>
    <t>WESTHIUS</t>
  </si>
  <si>
    <t>NATIVIDAD</t>
  </si>
  <si>
    <t>MELEGRITO</t>
  </si>
  <si>
    <t>NOYA</t>
  </si>
  <si>
    <t>DAYAO</t>
  </si>
  <si>
    <t>JERALD</t>
  </si>
  <si>
    <t>CALAGUING</t>
  </si>
  <si>
    <t>EUGENIA</t>
  </si>
  <si>
    <t>REMEDIOS</t>
  </si>
  <si>
    <t>MAGLEO</t>
  </si>
  <si>
    <t>FREDERIC</t>
  </si>
  <si>
    <t>ALTEJOS</t>
  </si>
  <si>
    <t>DTI, POSTAL ID</t>
  </si>
  <si>
    <t>JESSLE</t>
  </si>
  <si>
    <t>LINGLING</t>
  </si>
  <si>
    <t>DOCTORA</t>
  </si>
  <si>
    <t>ACHILUS</t>
  </si>
  <si>
    <t>ANTIGUA</t>
  </si>
  <si>
    <t>GLENDOLF</t>
  </si>
  <si>
    <t>RESURRECION</t>
  </si>
  <si>
    <t>SALAZAR</t>
  </si>
  <si>
    <t>EDUARD</t>
  </si>
  <si>
    <t>APRILLE</t>
  </si>
  <si>
    <t>CARINGAL</t>
  </si>
  <si>
    <t>FUKURO</t>
  </si>
  <si>
    <t>IPPONYARI</t>
  </si>
  <si>
    <t>STEPHEN</t>
  </si>
  <si>
    <t>GALA</t>
  </si>
  <si>
    <t>KATHLEEN</t>
  </si>
  <si>
    <t>CHOPCHOPEN</t>
  </si>
  <si>
    <t>MATSUMURA</t>
  </si>
  <si>
    <t>MARC DOMINIC</t>
  </si>
  <si>
    <t>ROSEMILA</t>
  </si>
  <si>
    <t>DE CHAVEZ</t>
  </si>
  <si>
    <t>GALARAGA</t>
  </si>
  <si>
    <t>JEANNE LEE</t>
  </si>
  <si>
    <t>JIN SOOK CHANG</t>
  </si>
  <si>
    <t>RAMIL GIL</t>
  </si>
  <si>
    <t>ASILO</t>
  </si>
  <si>
    <t>NORA</t>
  </si>
  <si>
    <t>HENRICH</t>
  </si>
  <si>
    <t>VICTOR</t>
  </si>
  <si>
    <t>CHANCHICO</t>
  </si>
  <si>
    <t>KARIM/JAMES/ANALIZA</t>
  </si>
  <si>
    <t>SOCO</t>
  </si>
  <si>
    <t>POSTAL ID OF ANALIZA</t>
  </si>
  <si>
    <t>MARYLIN</t>
  </si>
  <si>
    <t>BOSTRILLO</t>
  </si>
  <si>
    <t>VIVIAN</t>
  </si>
  <si>
    <t>BALDE</t>
  </si>
  <si>
    <t xml:space="preserve">TONY </t>
  </si>
  <si>
    <t>JUMANTOC MARIA IRENE</t>
  </si>
  <si>
    <t>NOMBRADO</t>
  </si>
  <si>
    <t>UMID ID</t>
  </si>
  <si>
    <t>MA. FE</t>
  </si>
  <si>
    <t>BONTILAO</t>
  </si>
  <si>
    <t>ARACELI</t>
  </si>
  <si>
    <t>SENIOR CITIZEN ID, OTHER ID</t>
  </si>
  <si>
    <t>RONA</t>
  </si>
  <si>
    <t>CARIAZO</t>
  </si>
  <si>
    <t>RONN BRYAN</t>
  </si>
  <si>
    <t>DE SALIT</t>
  </si>
  <si>
    <t>ROCHELLE</t>
  </si>
  <si>
    <t>SISMUNDO</t>
  </si>
  <si>
    <t>VIOLETA</t>
  </si>
  <si>
    <t>PAZ</t>
  </si>
  <si>
    <t>AMMUGUAN</t>
  </si>
  <si>
    <t>CARABALLOS</t>
  </si>
  <si>
    <t>CHRISTIAN BERNARD</t>
  </si>
  <si>
    <t>NUELAN</t>
  </si>
  <si>
    <t>SUANSING</t>
  </si>
  <si>
    <t>MELANDRO</t>
  </si>
  <si>
    <t>MANZANO</t>
  </si>
  <si>
    <t>DRIVER'S LICENSE ID, BRGY. BUSINESS CLEARANCE</t>
  </si>
  <si>
    <t>COSIO</t>
  </si>
  <si>
    <t>GENE SAMPSON</t>
  </si>
  <si>
    <t>SSS ID, OTHER ID</t>
  </si>
  <si>
    <t>DAVID</t>
  </si>
  <si>
    <t xml:space="preserve">ALLAN </t>
  </si>
  <si>
    <t>BULILAN</t>
  </si>
  <si>
    <t>EUGENE</t>
  </si>
  <si>
    <t>SAROMO</t>
  </si>
  <si>
    <t>VINOYA</t>
  </si>
  <si>
    <t>JACKIELOU</t>
  </si>
  <si>
    <t>TANEZA</t>
  </si>
  <si>
    <t xml:space="preserve">JONG </t>
  </si>
  <si>
    <t>DALENA</t>
  </si>
  <si>
    <t>ERLYN</t>
  </si>
  <si>
    <t>BESANA</t>
  </si>
  <si>
    <t>ELIAS</t>
  </si>
  <si>
    <t>ALCANTARA</t>
  </si>
  <si>
    <t>JENELYN</t>
  </si>
  <si>
    <t>DACUBA</t>
  </si>
  <si>
    <t>AMON</t>
  </si>
  <si>
    <t>JONA</t>
  </si>
  <si>
    <t>FRANCISO</t>
  </si>
  <si>
    <t>ZENY</t>
  </si>
  <si>
    <t>ROYAS</t>
  </si>
  <si>
    <t>ALBAS</t>
  </si>
  <si>
    <t>QUISTO</t>
  </si>
  <si>
    <t>CABANTAC</t>
  </si>
  <si>
    <t>BONDITO</t>
  </si>
  <si>
    <t>DELA PAZ</t>
  </si>
  <si>
    <t>JOSEFINA</t>
  </si>
  <si>
    <t>LATELLA</t>
  </si>
  <si>
    <t>DONNABELLE</t>
  </si>
  <si>
    <t>REFORZADO</t>
  </si>
  <si>
    <t>ESGUERRA</t>
  </si>
  <si>
    <t>LUCES</t>
  </si>
  <si>
    <t>ARLINE</t>
  </si>
  <si>
    <t>MABEL</t>
  </si>
  <si>
    <t>LEONAR</t>
  </si>
  <si>
    <t>KING KELVIN</t>
  </si>
  <si>
    <t>TOPASIR</t>
  </si>
  <si>
    <t>BUSINESS PERMIT, DRIVER'S LICENSE ID</t>
  </si>
  <si>
    <t>MAYOR'S PERMIT, OTHER ID</t>
  </si>
  <si>
    <t>JONAMAY</t>
  </si>
  <si>
    <t>AGUIRRE</t>
  </si>
  <si>
    <t>MA. VIOLETA</t>
  </si>
  <si>
    <t>MYLENE</t>
  </si>
  <si>
    <t>LINGCORAN</t>
  </si>
  <si>
    <t>GATICALES</t>
  </si>
  <si>
    <t>CALPO</t>
  </si>
  <si>
    <t>ROSARIA</t>
  </si>
  <si>
    <t>MARRY FEL</t>
  </si>
  <si>
    <t>DUA DUA</t>
  </si>
  <si>
    <t>DE GUIA</t>
  </si>
  <si>
    <t>OLA</t>
  </si>
  <si>
    <t>ZUÑIGA</t>
  </si>
  <si>
    <t>WEREN</t>
  </si>
  <si>
    <t>NOGA</t>
  </si>
  <si>
    <t>BORDEOS</t>
  </si>
  <si>
    <t>LOCVERIA</t>
  </si>
  <si>
    <t>JUN</t>
  </si>
  <si>
    <t>SCARP</t>
  </si>
  <si>
    <t>ZARAGOZA</t>
  </si>
  <si>
    <t>MIGUEL CAQUILALA</t>
  </si>
  <si>
    <t>(RHONA)</t>
  </si>
  <si>
    <t>ROSEVELINDA</t>
  </si>
  <si>
    <t>ACUSAR</t>
  </si>
  <si>
    <t>MERLINDA</t>
  </si>
  <si>
    <t>FORTUNADO</t>
  </si>
  <si>
    <t>ROSANO</t>
  </si>
  <si>
    <t>JERICO JAMES</t>
  </si>
  <si>
    <t>DTI, PHOTOCOPY OF PASSPORT</t>
  </si>
  <si>
    <t>PANLILION</t>
  </si>
  <si>
    <t>RINO</t>
  </si>
  <si>
    <t>CABAS</t>
  </si>
  <si>
    <t>MORAN</t>
  </si>
  <si>
    <t>DTI, TIN ID, PHILHEALTH ID</t>
  </si>
  <si>
    <t>SUBION</t>
  </si>
  <si>
    <t>PADILLA</t>
  </si>
  <si>
    <t>RESURIANO</t>
  </si>
  <si>
    <t>BATACLAN</t>
  </si>
  <si>
    <t>EPHRAEM</t>
  </si>
  <si>
    <t>DAGATAN</t>
  </si>
  <si>
    <t>BALOGNAPO</t>
  </si>
  <si>
    <t>DANNY</t>
  </si>
  <si>
    <t>REDOSENDR</t>
  </si>
  <si>
    <t>TABAYAN</t>
  </si>
  <si>
    <t>CELESTINA</t>
  </si>
  <si>
    <t>PARDUCHO</t>
  </si>
  <si>
    <t>PAMINTUAN</t>
  </si>
  <si>
    <t>ARGUILLA</t>
  </si>
  <si>
    <t>SALVAN</t>
  </si>
  <si>
    <t>DALUMPINES</t>
  </si>
  <si>
    <t>LAIRADY</t>
  </si>
  <si>
    <t>SAPATNA</t>
  </si>
  <si>
    <t>AMORINE</t>
  </si>
  <si>
    <t>ANNA MAE</t>
  </si>
  <si>
    <t>JHASMIN</t>
  </si>
  <si>
    <t>PIDO</t>
  </si>
  <si>
    <t>JOSIELYN</t>
  </si>
  <si>
    <t>DENESI</t>
  </si>
  <si>
    <t>MERAVIL</t>
  </si>
  <si>
    <t>DTI, BUSINESS PERMIT, TIN ID</t>
  </si>
  <si>
    <t>CARANTO</t>
  </si>
  <si>
    <t>ACENITA</t>
  </si>
  <si>
    <t>JOAHAN</t>
  </si>
  <si>
    <t>CANTIMBUHAN</t>
  </si>
  <si>
    <t>LORAINE</t>
  </si>
  <si>
    <t>CHUA</t>
  </si>
  <si>
    <t>LOUIS ALFREN</t>
  </si>
  <si>
    <t>DESTAJO</t>
  </si>
  <si>
    <t>ELEGIO</t>
  </si>
  <si>
    <t>CALCOG</t>
  </si>
  <si>
    <t>CECILLE</t>
  </si>
  <si>
    <t>LACON</t>
  </si>
  <si>
    <t>ALLAIN</t>
  </si>
  <si>
    <t>GATMAITAN</t>
  </si>
  <si>
    <t>FERMIN</t>
  </si>
  <si>
    <t>PAGINIGIM</t>
  </si>
  <si>
    <t>MANNY</t>
  </si>
  <si>
    <t>NAVOA</t>
  </si>
  <si>
    <t>DELMA</t>
  </si>
  <si>
    <t>SUNSHINE</t>
  </si>
  <si>
    <t>JONALYN</t>
  </si>
  <si>
    <t>TOROTORO</t>
  </si>
  <si>
    <t>NUEGA</t>
  </si>
  <si>
    <t>LUBYADA</t>
  </si>
  <si>
    <t>SANCHIE</t>
  </si>
  <si>
    <t>AVENDANO</t>
  </si>
  <si>
    <t>RAYMUNDO</t>
  </si>
  <si>
    <t>ELLO</t>
  </si>
  <si>
    <t>BUSINESS PERMIT, OTHER ID</t>
  </si>
  <si>
    <t>ARMI</t>
  </si>
  <si>
    <t>MADRIGAL</t>
  </si>
  <si>
    <t>KATIGBAK</t>
  </si>
  <si>
    <t>LORENZANA NANETH</t>
  </si>
  <si>
    <t>BIR ID / POSTAL ID / DTI / BRGY PERMIT</t>
  </si>
  <si>
    <t>MANUELITO</t>
  </si>
  <si>
    <t>CASAS</t>
  </si>
  <si>
    <t>BANEZ</t>
  </si>
  <si>
    <t>LIQUIGAN</t>
  </si>
  <si>
    <t>SARROCA</t>
  </si>
  <si>
    <t>RONALDO</t>
  </si>
  <si>
    <t>LOCSIN</t>
  </si>
  <si>
    <t>VICTORIANO</t>
  </si>
  <si>
    <t>MANDI</t>
  </si>
  <si>
    <t>WINNIE</t>
  </si>
  <si>
    <t>STA. ROMANA</t>
  </si>
  <si>
    <t>VALERA</t>
  </si>
  <si>
    <t>NORWELYN</t>
  </si>
  <si>
    <t>GALAPIN</t>
  </si>
  <si>
    <t>NORIE</t>
  </si>
  <si>
    <t>BUHAYANG</t>
  </si>
  <si>
    <t>CALUMADA</t>
  </si>
  <si>
    <t>JERRY</t>
  </si>
  <si>
    <t>ALBIS</t>
  </si>
  <si>
    <t>AMAMIYA</t>
  </si>
  <si>
    <t>LIN</t>
  </si>
  <si>
    <t>MENG XIANG</t>
  </si>
  <si>
    <t>JENNETH</t>
  </si>
  <si>
    <t>PAMATPAT</t>
  </si>
  <si>
    <t>PEÑALBA</t>
  </si>
  <si>
    <t>ATENCIO DANILO</t>
  </si>
  <si>
    <t>CAROLINO</t>
  </si>
  <si>
    <t>UMID ID / DRIVERS LICENSE</t>
  </si>
  <si>
    <t>MARGARITA</t>
  </si>
  <si>
    <t>PERLAS</t>
  </si>
  <si>
    <t>MARYJANE</t>
  </si>
  <si>
    <t>BUQUID</t>
  </si>
  <si>
    <t>MILA</t>
  </si>
  <si>
    <t>POLIDARIN</t>
  </si>
  <si>
    <t>SHIRLEY</t>
  </si>
  <si>
    <t>DEREQUITO</t>
  </si>
  <si>
    <t>BANQUIAO</t>
  </si>
  <si>
    <t>CULANCULAN</t>
  </si>
  <si>
    <t>SUPANG</t>
  </si>
  <si>
    <t>ABUNDA</t>
  </si>
  <si>
    <t>LEONCIO</t>
  </si>
  <si>
    <t>KHO</t>
  </si>
  <si>
    <t>DIONISIA</t>
  </si>
  <si>
    <t>SABLAN</t>
  </si>
  <si>
    <t>MALAONG</t>
  </si>
  <si>
    <t>ASUQUE</t>
  </si>
  <si>
    <t>MA. ARMIDA</t>
  </si>
  <si>
    <t>MONTAÑEZ</t>
  </si>
  <si>
    <t>BRIONES</t>
  </si>
  <si>
    <t>DTI, BIR REGISTRATION, POSTAL ID</t>
  </si>
  <si>
    <t>ENRIQUE</t>
  </si>
  <si>
    <t>VENTA</t>
  </si>
  <si>
    <t>ROXANNE</t>
  </si>
  <si>
    <t>BONDOC</t>
  </si>
  <si>
    <t>PRC ID</t>
  </si>
  <si>
    <t>FREMEL</t>
  </si>
  <si>
    <t>SOSA RAMON</t>
  </si>
  <si>
    <t>PACUMIO</t>
  </si>
  <si>
    <t>PALIZA</t>
  </si>
  <si>
    <t>MASHIBA</t>
  </si>
  <si>
    <t>SOLAIMAN</t>
  </si>
  <si>
    <t>ESTELITO</t>
  </si>
  <si>
    <t>COMENDADOR</t>
  </si>
  <si>
    <t>MA. TERESA</t>
  </si>
  <si>
    <t>JOHNATAN</t>
  </si>
  <si>
    <t>EUGENIO</t>
  </si>
  <si>
    <t>DE QUIROZ</t>
  </si>
  <si>
    <t>DEL PILAR</t>
  </si>
  <si>
    <t>JOANNAH</t>
  </si>
  <si>
    <t>ISAGANI</t>
  </si>
  <si>
    <t>AVINANTE</t>
  </si>
  <si>
    <t>DESACULA</t>
  </si>
  <si>
    <t>DTI, BRGY. CLEARANCE</t>
  </si>
  <si>
    <t>MALABANAN</t>
  </si>
  <si>
    <t>BELARO</t>
  </si>
  <si>
    <t>BURCE</t>
  </si>
  <si>
    <t>LAUGI</t>
  </si>
  <si>
    <t>NILA</t>
  </si>
  <si>
    <t>CAUSING</t>
  </si>
  <si>
    <t>GUITO</t>
  </si>
  <si>
    <t>SHIRLIE</t>
  </si>
  <si>
    <t>LAPIDARIO</t>
  </si>
  <si>
    <t>GUMBAN</t>
  </si>
  <si>
    <t>BERNARD</t>
  </si>
  <si>
    <t>BOCALAN</t>
  </si>
  <si>
    <t>ROLANDI</t>
  </si>
  <si>
    <t>BACOS</t>
  </si>
  <si>
    <t>NOVELIO</t>
  </si>
  <si>
    <t>BUCAGO</t>
  </si>
  <si>
    <t>LOYOLA</t>
  </si>
  <si>
    <t>JAIME</t>
  </si>
  <si>
    <t>GABUCAYAB</t>
  </si>
  <si>
    <t>LAMBINO</t>
  </si>
  <si>
    <t>RIDAL</t>
  </si>
  <si>
    <t>SHAY</t>
  </si>
  <si>
    <t>RELUCANO</t>
  </si>
  <si>
    <t>JELL</t>
  </si>
  <si>
    <t>CATABAY</t>
  </si>
  <si>
    <t>ALFARO</t>
  </si>
  <si>
    <t>ABANES</t>
  </si>
  <si>
    <t>ALBERT</t>
  </si>
  <si>
    <t>ROLLZON</t>
  </si>
  <si>
    <t>LILO-AN</t>
  </si>
  <si>
    <t>AGUSTINA</t>
  </si>
  <si>
    <t>JOSE JESIE</t>
  </si>
  <si>
    <t>CULIO</t>
  </si>
  <si>
    <t>JOVENAL</t>
  </si>
  <si>
    <t>TORREDES</t>
  </si>
  <si>
    <t>VIDAL</t>
  </si>
  <si>
    <t>JAN CHERRY</t>
  </si>
  <si>
    <t>ARNEL</t>
  </si>
  <si>
    <t>OTANEZ</t>
  </si>
  <si>
    <t>PAREDES</t>
  </si>
  <si>
    <t>KLYD</t>
  </si>
  <si>
    <t>BOLOCON</t>
  </si>
  <si>
    <t>CERVANTES</t>
  </si>
  <si>
    <t>LABRADOR</t>
  </si>
  <si>
    <t>VALDEZ</t>
  </si>
  <si>
    <t>MACAPAGAL</t>
  </si>
  <si>
    <t>BERTSON</t>
  </si>
  <si>
    <t>JOEZEL</t>
  </si>
  <si>
    <t>PERADILLA</t>
  </si>
  <si>
    <t>KARENINA</t>
  </si>
  <si>
    <t>BARI</t>
  </si>
  <si>
    <t>JORGINA</t>
  </si>
  <si>
    <t>DARIANO</t>
  </si>
  <si>
    <t>MAYLINE</t>
  </si>
  <si>
    <t>CADEVILLE</t>
  </si>
  <si>
    <t>NORMITA</t>
  </si>
  <si>
    <t>ESTRADA</t>
  </si>
  <si>
    <t>DTI, DRIVER'S LICENSE ID</t>
  </si>
  <si>
    <t>MEDEA</t>
  </si>
  <si>
    <t>MUNOZ</t>
  </si>
  <si>
    <t>NELLIA</t>
  </si>
  <si>
    <t>MAGBOO</t>
  </si>
  <si>
    <t>JOZAN</t>
  </si>
  <si>
    <t>RONAN</t>
  </si>
  <si>
    <t>MYLYN</t>
  </si>
  <si>
    <t>GAMO</t>
  </si>
  <si>
    <t>SARE</t>
  </si>
  <si>
    <t>CARDIENTE</t>
  </si>
  <si>
    <t>SIPE</t>
  </si>
  <si>
    <t>CAMILLE</t>
  </si>
  <si>
    <t>DELACANO</t>
  </si>
  <si>
    <t>CHAM</t>
  </si>
  <si>
    <t>FLANDEZ</t>
  </si>
  <si>
    <t>BELLANE</t>
  </si>
  <si>
    <t>ESTRERA</t>
  </si>
  <si>
    <t>DON</t>
  </si>
  <si>
    <t>RABULAM</t>
  </si>
  <si>
    <t>FULLOM</t>
  </si>
  <si>
    <t>MEDIDA</t>
  </si>
  <si>
    <t>MAYOR'S PERMIT (UNDER THE NAME OF BIDDER 963 MELCHOR'S SIS) PRC ID</t>
  </si>
  <si>
    <t>EVE</t>
  </si>
  <si>
    <t>JULIEVIC</t>
  </si>
  <si>
    <t>DIGNA</t>
  </si>
  <si>
    <t>MERCEDITA</t>
  </si>
  <si>
    <t>GALANGCO</t>
  </si>
  <si>
    <t>LACOSTE</t>
  </si>
  <si>
    <t>MARRY JOY</t>
  </si>
  <si>
    <t>LAMBERTO</t>
  </si>
  <si>
    <t>CAMANCE</t>
  </si>
  <si>
    <t>DARWIN</t>
  </si>
  <si>
    <t>DUARAN</t>
  </si>
  <si>
    <t>SERRANDO</t>
  </si>
  <si>
    <t>LYDIA</t>
  </si>
  <si>
    <t>W</t>
  </si>
  <si>
    <t>FANDINO</t>
  </si>
  <si>
    <t>GATCHALIAN</t>
  </si>
  <si>
    <t>ISRAEL</t>
  </si>
  <si>
    <t>CAMUS</t>
  </si>
  <si>
    <t>SADDUL</t>
  </si>
  <si>
    <t>DOROTHY</t>
  </si>
  <si>
    <t>GILMORE</t>
  </si>
  <si>
    <t>ADORACION</t>
  </si>
  <si>
    <t>LONTOC</t>
  </si>
  <si>
    <t>MALABAG</t>
  </si>
  <si>
    <t>CARMELA ANNE</t>
  </si>
  <si>
    <t>LAWAS</t>
  </si>
  <si>
    <t>UNIFIED MULTI-PURPOSE ID / DTI</t>
  </si>
  <si>
    <t>JAYSON</t>
  </si>
  <si>
    <t>MAGNOLIA</t>
  </si>
  <si>
    <t>ZANTURA</t>
  </si>
  <si>
    <t>ANALIZA</t>
  </si>
  <si>
    <t>DTI, MAYOR'S PERMIT, UNIFIED MULTI-PURPOSE ID</t>
  </si>
  <si>
    <t>BALINGIT</t>
  </si>
  <si>
    <t>OLGA</t>
  </si>
  <si>
    <t>HARA</t>
  </si>
  <si>
    <t>SOBREMONTE</t>
  </si>
  <si>
    <t>MELCHOR</t>
  </si>
  <si>
    <t>MAYOR'S PERMIT (UNDER THE NAME OF MELCHOR'S SIS) DRIVER'S LICENSE ID, POSTAL ID</t>
  </si>
  <si>
    <t>MA LOURDES</t>
  </si>
  <si>
    <t>CASBADILLO</t>
  </si>
  <si>
    <t>APPROVED BY MAM. EMIE 07-07-2017</t>
  </si>
  <si>
    <t>LEOPOLDO</t>
  </si>
  <si>
    <t>DAJAO</t>
  </si>
  <si>
    <t>VERAME</t>
  </si>
  <si>
    <t>DTI, VOTER'S ID</t>
  </si>
  <si>
    <t>ROSALINO</t>
  </si>
  <si>
    <t>URMATAM</t>
  </si>
  <si>
    <t>ACE JOSHUA</t>
  </si>
  <si>
    <t>MANANSALA</t>
  </si>
  <si>
    <t>PERLADO</t>
  </si>
  <si>
    <t>UNIFIED MULTI PURPOSE ID</t>
  </si>
  <si>
    <t>NORALYN</t>
  </si>
  <si>
    <t>GUERRERO</t>
  </si>
  <si>
    <t>PARK</t>
  </si>
  <si>
    <t>INBOK</t>
  </si>
  <si>
    <t>CORDER</t>
  </si>
  <si>
    <t>SEDAN</t>
  </si>
  <si>
    <t>GEOVANI</t>
  </si>
  <si>
    <t>CALAR</t>
  </si>
  <si>
    <t>DTI, BUSINESS PERMIT &amp; DRIVER'S LICENSE I.D.</t>
  </si>
  <si>
    <t>BRIDGET</t>
  </si>
  <si>
    <t>CENA</t>
  </si>
  <si>
    <t>JANLEY</t>
  </si>
  <si>
    <t>DELA TORRE</t>
  </si>
  <si>
    <t>GINA MAY</t>
  </si>
  <si>
    <t>MINA</t>
  </si>
  <si>
    <t>JOYCE ANN</t>
  </si>
  <si>
    <t>BUNAG</t>
  </si>
  <si>
    <t>ELAINE</t>
  </si>
  <si>
    <t>MONTENEGRO</t>
  </si>
  <si>
    <t>PULARON</t>
  </si>
  <si>
    <t>ADELLA</t>
  </si>
  <si>
    <t>ROSH</t>
  </si>
  <si>
    <t>GRANDE</t>
  </si>
  <si>
    <t>ALEXIS</t>
  </si>
  <si>
    <t>BOLANOS</t>
  </si>
  <si>
    <t>XEROX PASSPORT</t>
  </si>
  <si>
    <t>NORMA</t>
  </si>
  <si>
    <t>PLENTY</t>
  </si>
  <si>
    <t>NISPEROS</t>
  </si>
  <si>
    <t>TIJONES</t>
  </si>
  <si>
    <t>PONCIANO</t>
  </si>
  <si>
    <t>RANA</t>
  </si>
  <si>
    <t>COSTELO</t>
  </si>
  <si>
    <t>YGUBARY</t>
  </si>
  <si>
    <t>GATAN</t>
  </si>
  <si>
    <t>DTI, TIN ID, &amp; DRIVER'S LICENSE ID</t>
  </si>
  <si>
    <t>MON</t>
  </si>
  <si>
    <t>TUSAI</t>
  </si>
  <si>
    <t>LIBERTY</t>
  </si>
  <si>
    <t>CASIANO</t>
  </si>
  <si>
    <t>ANGIE</t>
  </si>
  <si>
    <t>DTI, BUSINESS REGISTRATION, POSTAL ID</t>
  </si>
  <si>
    <t>NEPLTALIE</t>
  </si>
  <si>
    <t>LAGRIMAS</t>
  </si>
  <si>
    <t>SANNY</t>
  </si>
  <si>
    <t>NANETTE</t>
  </si>
  <si>
    <t>MONARES</t>
  </si>
  <si>
    <t>CHARIFE</t>
  </si>
  <si>
    <t>ACEBES</t>
  </si>
  <si>
    <t>DIONISIO</t>
  </si>
  <si>
    <t>BIRAO</t>
  </si>
  <si>
    <t>PARIENTES</t>
  </si>
  <si>
    <t>KAMIL ANGELO</t>
  </si>
  <si>
    <t>AMOROSO</t>
  </si>
  <si>
    <t>JULIET</t>
  </si>
  <si>
    <t>CANDIZ</t>
  </si>
  <si>
    <t>LAMSIN</t>
  </si>
  <si>
    <t>MARCELINO</t>
  </si>
  <si>
    <t>DUSARAN</t>
  </si>
  <si>
    <t>DYESEBEL</t>
  </si>
  <si>
    <t>PADALA</t>
  </si>
  <si>
    <t>BRGY. BUSINESS CLEARANCE, TIN ID</t>
  </si>
  <si>
    <t>JOSEPH ANGELO</t>
  </si>
  <si>
    <t>CABUG</t>
  </si>
  <si>
    <t>PRESCILLA</t>
  </si>
  <si>
    <t>ALCARAZ</t>
  </si>
  <si>
    <t>ASUNCION</t>
  </si>
  <si>
    <t>EDNACO</t>
  </si>
  <si>
    <t>RAPADAS</t>
  </si>
  <si>
    <t>CARIZA</t>
  </si>
  <si>
    <t>NAGAPUJI</t>
  </si>
  <si>
    <t>REN</t>
  </si>
  <si>
    <t>HENRY</t>
  </si>
  <si>
    <t>REVILLO</t>
  </si>
  <si>
    <t>FRANCIA</t>
  </si>
  <si>
    <t>REODIQUE</t>
  </si>
  <si>
    <t>GERRY</t>
  </si>
  <si>
    <t>CORREO</t>
  </si>
  <si>
    <t>K</t>
  </si>
  <si>
    <t>PANGAN</t>
  </si>
  <si>
    <t>GWANGSAN</t>
  </si>
  <si>
    <t>SANG</t>
  </si>
  <si>
    <t>RYOU</t>
  </si>
  <si>
    <t>GERTIZA</t>
  </si>
  <si>
    <t>ARVIN</t>
  </si>
  <si>
    <t>DELLA</t>
  </si>
  <si>
    <t>RENE</t>
  </si>
  <si>
    <t>ARAUJO</t>
  </si>
  <si>
    <t>SHEILA</t>
  </si>
  <si>
    <t>PINEDA</t>
  </si>
  <si>
    <t>LUCY</t>
  </si>
  <si>
    <t>UZARAGA</t>
  </si>
  <si>
    <t>FORFIEDA</t>
  </si>
  <si>
    <t>BOLARIO</t>
  </si>
  <si>
    <t>SERGIO</t>
  </si>
  <si>
    <t>ZULUETA</t>
  </si>
  <si>
    <t>JON JON</t>
  </si>
  <si>
    <t>NARCIDA</t>
  </si>
  <si>
    <t>ARISTON</t>
  </si>
  <si>
    <t>BUNGABONG</t>
  </si>
  <si>
    <t>HERMINIO BAYBAY</t>
  </si>
  <si>
    <t>RELLAMA</t>
  </si>
  <si>
    <t>REGIE</t>
  </si>
  <si>
    <t>AMAT</t>
  </si>
  <si>
    <t>TUMALOS</t>
  </si>
  <si>
    <t>SIBAYAN</t>
  </si>
  <si>
    <t>CHERRIE</t>
  </si>
  <si>
    <t>GUARINO</t>
  </si>
  <si>
    <t>GLAIZA MAE</t>
  </si>
  <si>
    <t>HERERRA</t>
  </si>
  <si>
    <t>JOMAR</t>
  </si>
  <si>
    <t>MAYATI</t>
  </si>
  <si>
    <t>ESTRELLA</t>
  </si>
  <si>
    <t>EDELMAR</t>
  </si>
  <si>
    <t>GILBERT</t>
  </si>
  <si>
    <t>RUPERTO</t>
  </si>
  <si>
    <t>SAIYOT</t>
  </si>
  <si>
    <t>MICAELA</t>
  </si>
  <si>
    <t>ASERATE</t>
  </si>
  <si>
    <t xml:space="preserve">ZENY </t>
  </si>
  <si>
    <t>EVELEYN</t>
  </si>
  <si>
    <t>BIÑAN BIDDER</t>
  </si>
  <si>
    <t>ZALDY</t>
  </si>
  <si>
    <t>RAGALA</t>
  </si>
  <si>
    <t>EDMUNDO</t>
  </si>
  <si>
    <t>HAYAG</t>
  </si>
  <si>
    <t>DARA</t>
  </si>
  <si>
    <t>DTI, BRGY. REGISTRATION PERMIT</t>
  </si>
  <si>
    <t>NIKKO</t>
  </si>
  <si>
    <t>JHOANNA</t>
  </si>
  <si>
    <t>DTI, BUSINESS PERMIT</t>
  </si>
  <si>
    <t>LEONILA</t>
  </si>
  <si>
    <t>DIOLATA</t>
  </si>
  <si>
    <t>MOJADO</t>
  </si>
  <si>
    <t>DESERIE</t>
  </si>
  <si>
    <t>SAYAPAL</t>
  </si>
  <si>
    <t>ROMO</t>
  </si>
  <si>
    <t>GARREON</t>
  </si>
  <si>
    <t>MA SHERRYL</t>
  </si>
  <si>
    <t>DTI, BRGY. BUSINESS CLEARANCE, SSS ID, OTHER ID</t>
  </si>
  <si>
    <t>LOURDES</t>
  </si>
  <si>
    <t>VELAZCO</t>
  </si>
  <si>
    <t>NAVARRA</t>
  </si>
  <si>
    <t>MA EMELDA</t>
  </si>
  <si>
    <t>SERRANO</t>
  </si>
  <si>
    <t>ARABEL</t>
  </si>
  <si>
    <t>AWAREZ</t>
  </si>
  <si>
    <t>ABARRO</t>
  </si>
  <si>
    <t>SHIELA MAE</t>
  </si>
  <si>
    <t>NANQUIL</t>
  </si>
  <si>
    <t>ESSIE</t>
  </si>
  <si>
    <t>CAMARADOR</t>
  </si>
  <si>
    <t>JOBANIL</t>
  </si>
  <si>
    <t>CHOI</t>
  </si>
  <si>
    <t>FABULA</t>
  </si>
  <si>
    <t>NANQUL</t>
  </si>
  <si>
    <t>GHAROL</t>
  </si>
  <si>
    <t>MALLARI</t>
  </si>
  <si>
    <t>SSS ID, DRIVER'S LICENSE ID / DTI</t>
  </si>
  <si>
    <t>MARIN</t>
  </si>
  <si>
    <t>MAYOR'S PERMIT, SSS ID</t>
  </si>
  <si>
    <t>SHELA</t>
  </si>
  <si>
    <t>SHERILYN</t>
  </si>
  <si>
    <t>TANYAMOR</t>
  </si>
  <si>
    <t>12-15-2016</t>
  </si>
  <si>
    <t>RUTH JOY</t>
  </si>
  <si>
    <t>CUYA</t>
  </si>
  <si>
    <t>TOMAS</t>
  </si>
  <si>
    <t>MENESES</t>
  </si>
  <si>
    <t>ALI</t>
  </si>
  <si>
    <t>SAYAM</t>
  </si>
  <si>
    <t>FLOCERFIDA</t>
  </si>
  <si>
    <t>GERANCE</t>
  </si>
  <si>
    <t>CELINA</t>
  </si>
  <si>
    <t>UJIKE</t>
  </si>
  <si>
    <t>CORA</t>
  </si>
  <si>
    <t>VENUA</t>
  </si>
  <si>
    <t>BRGY. ID</t>
  </si>
  <si>
    <t>ALTHER</t>
  </si>
  <si>
    <t>DTI, DRIVER'S LICENSE</t>
  </si>
  <si>
    <t>RUBILYN</t>
  </si>
  <si>
    <t>PAROJINOE</t>
  </si>
  <si>
    <t>PAENG</t>
  </si>
  <si>
    <t>SUPREMO</t>
  </si>
  <si>
    <t>AURELO</t>
  </si>
  <si>
    <t>CLODUALDO</t>
  </si>
  <si>
    <t>NARCISO</t>
  </si>
  <si>
    <t>MACABENTE</t>
  </si>
  <si>
    <t>DTI, MAYOR'S PERMIT</t>
  </si>
  <si>
    <t>KOSE</t>
  </si>
  <si>
    <t>BANGILAN</t>
  </si>
  <si>
    <t>ROY</t>
  </si>
  <si>
    <t>ROSATASE</t>
  </si>
  <si>
    <t>MA KLARIZ</t>
  </si>
  <si>
    <t>PAGUIBITAN</t>
  </si>
  <si>
    <t>BELTRAN</t>
  </si>
  <si>
    <t>RANNIER</t>
  </si>
  <si>
    <t>CITA</t>
  </si>
  <si>
    <t>BARON</t>
  </si>
  <si>
    <t>FILIN</t>
  </si>
  <si>
    <t>FLONENCIO</t>
  </si>
  <si>
    <t>LEONARD</t>
  </si>
  <si>
    <t>UNDAG</t>
  </si>
  <si>
    <t>IRISH</t>
  </si>
  <si>
    <t>ALDEPOLLA</t>
  </si>
  <si>
    <t>SALVANA</t>
  </si>
  <si>
    <t>SHIRLEY/ARNOLD</t>
  </si>
  <si>
    <t>DRIVER'S LICENSE ID, SSS ID</t>
  </si>
  <si>
    <t>BEBBOT</t>
  </si>
  <si>
    <t>BERNADETH</t>
  </si>
  <si>
    <t>LERMA</t>
  </si>
  <si>
    <t>SAN LUIS</t>
  </si>
  <si>
    <t>DTI, BRGY. BUSINESS CLEARANCE, PHILHEALTH ID, DRIVER'S LICENSE ID</t>
  </si>
  <si>
    <t>JINGLE</t>
  </si>
  <si>
    <t>BRANDON</t>
  </si>
  <si>
    <t>SHERRYL</t>
  </si>
  <si>
    <t>ORTIZ</t>
  </si>
  <si>
    <t>BUSINESS PERMIT &amp; LICENSE, TIN ID</t>
  </si>
  <si>
    <t>SALAMAT</t>
  </si>
  <si>
    <t>DIOSALYN</t>
  </si>
  <si>
    <t>DOMONDON</t>
  </si>
  <si>
    <t>TYU</t>
  </si>
  <si>
    <t>ROWEEN</t>
  </si>
  <si>
    <t>CUNANAN</t>
  </si>
  <si>
    <t>ESPINELI</t>
  </si>
  <si>
    <t>DTI, BRGY. BUSINESS CLEARANCE, SSS ID</t>
  </si>
  <si>
    <t>ELEAZAR</t>
  </si>
  <si>
    <t>LAZARO</t>
  </si>
  <si>
    <t>MIRAFLORES</t>
  </si>
  <si>
    <t>SAN JUAN</t>
  </si>
  <si>
    <t>MATEO</t>
  </si>
  <si>
    <t>LIWANAG</t>
  </si>
  <si>
    <t>TAPAWAN</t>
  </si>
  <si>
    <t>DIA GRACIA</t>
  </si>
  <si>
    <t>ENGUERRA</t>
  </si>
  <si>
    <t>RIZEL</t>
  </si>
  <si>
    <t>DESIERTO</t>
  </si>
  <si>
    <t>SEC, MAYOR'S PERMIT</t>
  </si>
  <si>
    <t>GUDOFREDO</t>
  </si>
  <si>
    <t>PASUMBAL</t>
  </si>
  <si>
    <t>CRISLEN</t>
  </si>
  <si>
    <t>GAHUMAN</t>
  </si>
  <si>
    <t>JOSEAL</t>
  </si>
  <si>
    <t>CRISOSTOMO</t>
  </si>
  <si>
    <t>ROBERTSON</t>
  </si>
  <si>
    <t>BALLADO</t>
  </si>
  <si>
    <t>PRC ID, DRIVER'S LICENSE ID</t>
  </si>
  <si>
    <t>ALLAN</t>
  </si>
  <si>
    <t>ARBOLEDA</t>
  </si>
  <si>
    <t>GARRY LOUIE</t>
  </si>
  <si>
    <t>GERELA</t>
  </si>
  <si>
    <t>DRIVER'S LICENSE ID / DTI</t>
  </si>
  <si>
    <t>ANN</t>
  </si>
  <si>
    <t>MENCHAVEZ</t>
  </si>
  <si>
    <t>WENDY</t>
  </si>
  <si>
    <t>SESANTE</t>
  </si>
  <si>
    <t>OMELGO</t>
  </si>
  <si>
    <t>DTI, TIN ID, DRIVER'S LICENSE ID</t>
  </si>
  <si>
    <t>POSTAL ID, VOTER'S ID</t>
  </si>
  <si>
    <t>RAGA</t>
  </si>
  <si>
    <t>DTI, VOTER'S ID, DRIVER'S LICENSE ID</t>
  </si>
  <si>
    <t>GLADYS</t>
  </si>
  <si>
    <t>UNLAYAO</t>
  </si>
  <si>
    <t>CANDIDA</t>
  </si>
  <si>
    <t>ALVIN VINCENT</t>
  </si>
  <si>
    <t>MAYOR'S PERMIT, TIN ID, DRIVER'S LICENSE ID</t>
  </si>
  <si>
    <t>GWENDOLYN</t>
  </si>
  <si>
    <t>PAHAYAG</t>
  </si>
  <si>
    <t>MA CRISTINA</t>
  </si>
  <si>
    <t>WIFE OF 703</t>
  </si>
  <si>
    <t>LENON</t>
  </si>
  <si>
    <t>SANCHEZ</t>
  </si>
  <si>
    <t>ELLEN</t>
  </si>
  <si>
    <t>JEROME</t>
  </si>
  <si>
    <t>TAMON</t>
  </si>
  <si>
    <t>SHARITA</t>
  </si>
  <si>
    <t>GANAGE</t>
  </si>
  <si>
    <t>SHERLY</t>
  </si>
  <si>
    <t>BRGY. BUS. CLEARANCE, TIN ID, DRIVER'S LICENSE ID</t>
  </si>
  <si>
    <t>MAYETTE</t>
  </si>
  <si>
    <t>XAVIER</t>
  </si>
  <si>
    <t>VIRTUCIO</t>
  </si>
  <si>
    <t>LESLIE</t>
  </si>
  <si>
    <t>VELARDE</t>
  </si>
  <si>
    <t>LAILANI</t>
  </si>
  <si>
    <t>MOJICA</t>
  </si>
  <si>
    <t>BEVERLY</t>
  </si>
  <si>
    <t>MANGADLAO</t>
  </si>
  <si>
    <t>FELY</t>
  </si>
  <si>
    <t>ROSE</t>
  </si>
  <si>
    <t>BARBADILLO</t>
  </si>
  <si>
    <t>BRGY. BUSINESS CLEARANCE, BRGY. RESIDENT ID</t>
  </si>
  <si>
    <t>BELINDA</t>
  </si>
  <si>
    <t>SARRENE</t>
  </si>
  <si>
    <t>ELVIS</t>
  </si>
  <si>
    <t>CLEMENTIR</t>
  </si>
  <si>
    <t>LABAYAN</t>
  </si>
  <si>
    <t>CAMANA</t>
  </si>
  <si>
    <t>MIRIAM</t>
  </si>
  <si>
    <t>CERDA</t>
  </si>
  <si>
    <t>LEGASPI</t>
  </si>
  <si>
    <t>NELI</t>
  </si>
  <si>
    <t>OGOTI</t>
  </si>
  <si>
    <t>JOHN KELVIN</t>
  </si>
  <si>
    <t>MIGUELITO</t>
  </si>
  <si>
    <t>PADLAN</t>
  </si>
  <si>
    <t>SHELDON</t>
  </si>
  <si>
    <t>BENDER</t>
  </si>
  <si>
    <t>ALBINA</t>
  </si>
  <si>
    <t>LABUTAP</t>
  </si>
  <si>
    <t>PASSPORT, UNIFIED MULTI-PURPOSE ID</t>
  </si>
  <si>
    <t>DRIVER'S LICENSE ID, UNIFIED MULTI-PURPOSE ID</t>
  </si>
  <si>
    <t>DICHE</t>
  </si>
  <si>
    <t>DARYL</t>
  </si>
  <si>
    <t>CINDY</t>
  </si>
  <si>
    <t>ALIAS</t>
  </si>
  <si>
    <t>JOSE MANUEL</t>
  </si>
  <si>
    <t>RESURRECCION</t>
  </si>
  <si>
    <t>ANA NELIE</t>
  </si>
  <si>
    <t>PEROS</t>
  </si>
  <si>
    <t>BAGAFORO</t>
  </si>
  <si>
    <t>AMALIA</t>
  </si>
  <si>
    <t>UNIFIED MULTI-PURPOSE ID, VOTER'S ID</t>
  </si>
  <si>
    <t>MA SUZETTE</t>
  </si>
  <si>
    <t>RICAFRENTE</t>
  </si>
  <si>
    <t>DTI, BUSINESS PERMIT, POSTAL ID, DRIVER'S LIC. ID</t>
  </si>
  <si>
    <t>HARVEY CRIS</t>
  </si>
  <si>
    <t>VIRATA</t>
  </si>
  <si>
    <t>DARLEN</t>
  </si>
  <si>
    <t>DAGUIO</t>
  </si>
  <si>
    <t>JUSTINIANO</t>
  </si>
  <si>
    <t>ANGOLLUAN</t>
  </si>
  <si>
    <t>PRC ID, PHILHEALTH ID</t>
  </si>
  <si>
    <t>ELY</t>
  </si>
  <si>
    <t>GUINA</t>
  </si>
  <si>
    <t>DONNA LEANNE</t>
  </si>
  <si>
    <t>ATANACIO</t>
  </si>
  <si>
    <t>DRIVER'S LICENSE ID, VOTER'S ID / DTI</t>
  </si>
  <si>
    <t>12-20-2016</t>
  </si>
  <si>
    <t>ROSALINA</t>
  </si>
  <si>
    <t>TIN ID, POSTAL ID</t>
  </si>
  <si>
    <t>MARIA TERESA</t>
  </si>
  <si>
    <t>PADAWIL</t>
  </si>
  <si>
    <t>DRIVER'S LICENSE ID, POSTAL ID</t>
  </si>
  <si>
    <t>ANGELA JHIN</t>
  </si>
  <si>
    <t>OBINA</t>
  </si>
  <si>
    <t>PRC ID, PHOTOCOPY OF PASSPORT</t>
  </si>
  <si>
    <t>WILBERT</t>
  </si>
  <si>
    <t>ZSACHILEEN ECKLES</t>
  </si>
  <si>
    <t>AJES</t>
  </si>
  <si>
    <t>PRC ID, UNIFIED MULTI-PURPOSE ID / DTI</t>
  </si>
  <si>
    <t>MARIA LOURDES</t>
  </si>
  <si>
    <t>BAS</t>
  </si>
  <si>
    <t>ROEL</t>
  </si>
  <si>
    <t>DRIVER'S LICENSE, OTHER ID</t>
  </si>
  <si>
    <t>ANASTACIO</t>
  </si>
  <si>
    <t>VICTORIA</t>
  </si>
  <si>
    <t>OJOS</t>
  </si>
  <si>
    <t>11-04-2016</t>
  </si>
  <si>
    <t>VERGILIA</t>
  </si>
  <si>
    <t>H</t>
  </si>
  <si>
    <t>OTHER IDs</t>
  </si>
  <si>
    <t>ESPEDIDO</t>
  </si>
  <si>
    <t>UNIFIED MULTI-PURPOSE ID, BRGY. ID</t>
  </si>
  <si>
    <t>DAGS</t>
  </si>
  <si>
    <t>REGENTE</t>
  </si>
  <si>
    <t>LERIN</t>
  </si>
  <si>
    <t>DRIVER'S LICENSE ID, COMPANY ID</t>
  </si>
  <si>
    <t>GASGA</t>
  </si>
  <si>
    <t>MARIA THERESA</t>
  </si>
  <si>
    <t>DRIVER'S LICENSE ID, PASSPORT</t>
  </si>
  <si>
    <t>RHEAN</t>
  </si>
  <si>
    <t>JUACALLA</t>
  </si>
  <si>
    <t>IM</t>
  </si>
  <si>
    <t>SUNG</t>
  </si>
  <si>
    <t>JAE</t>
  </si>
  <si>
    <t>MACARIA</t>
  </si>
  <si>
    <t>BARBON</t>
  </si>
  <si>
    <t>BYUNG</t>
  </si>
  <si>
    <t>YOON</t>
  </si>
  <si>
    <t>ACR ID, DRIVER'S LICENSE ID</t>
  </si>
  <si>
    <t>MALIWAT</t>
  </si>
  <si>
    <t>BUYOC</t>
  </si>
  <si>
    <t>BELEN</t>
  </si>
  <si>
    <t>DRIVER'S LICENSE</t>
  </si>
  <si>
    <t>AMELITA</t>
  </si>
  <si>
    <t>CAABAY</t>
  </si>
  <si>
    <t>ARNOLD / RAQUEL</t>
  </si>
  <si>
    <t>DTI, PHILHEALTH &amp; POSTAL ID</t>
  </si>
  <si>
    <t>BUISING</t>
  </si>
  <si>
    <t>TALAGTAG</t>
  </si>
  <si>
    <t>KIERLUF JHOY</t>
  </si>
  <si>
    <t>YEPEZ</t>
  </si>
  <si>
    <t>MA FAY</t>
  </si>
  <si>
    <t>DA</t>
  </si>
  <si>
    <t>MELINDA</t>
  </si>
  <si>
    <t>CUSTORIO</t>
  </si>
  <si>
    <t>PAG-IBIG ID, OTHER ID / DTI</t>
  </si>
  <si>
    <t>SEAN</t>
  </si>
  <si>
    <t>UNIZETH</t>
  </si>
  <si>
    <t>SECRETO</t>
  </si>
  <si>
    <t>SIETERALES</t>
  </si>
  <si>
    <t>PEPITO</t>
  </si>
  <si>
    <t>VALENTIN</t>
  </si>
  <si>
    <t>MA RIZALYN</t>
  </si>
  <si>
    <t>CARAMPOT</t>
  </si>
  <si>
    <t>RAMIRO</t>
  </si>
  <si>
    <t>DTI (EXPIRED), BFAD PERMIT, BRGY. BUS. CLEARANCE</t>
  </si>
  <si>
    <t>DILAG/ALAN</t>
  </si>
  <si>
    <t>DTI, DRIVER'S LICENSE ID, OTHER ID</t>
  </si>
  <si>
    <t>BALBERDE</t>
  </si>
  <si>
    <t>SYLVIA</t>
  </si>
  <si>
    <t>BERTULFO</t>
  </si>
  <si>
    <t>TIN ID, UNIFIED MULTI-PURPOSE ID</t>
  </si>
  <si>
    <t>VERA</t>
  </si>
  <si>
    <t>IAN WILFRED</t>
  </si>
  <si>
    <t>UNSANA</t>
  </si>
  <si>
    <t>SEC REGIST., SCHOOL ID, VOTER'S ID</t>
  </si>
  <si>
    <t>EMELITA</t>
  </si>
  <si>
    <t>DADOBO</t>
  </si>
  <si>
    <t>MAD</t>
  </si>
  <si>
    <t>BUSINESS LICENSE IN PALAU, DRIVER'S LICENSE ID / DTI</t>
  </si>
  <si>
    <t>DRIVER'S LICENSE ID, VOTER'S ID</t>
  </si>
  <si>
    <t>VALERIANA</t>
  </si>
  <si>
    <t>BALAORO</t>
  </si>
  <si>
    <t>OTHER ID, SENIOR CITIZEN ID</t>
  </si>
  <si>
    <t>KEVIN LEONARDO</t>
  </si>
  <si>
    <t>DE CERDA</t>
  </si>
  <si>
    <t>DTI, SEC REGIST., PHILHEALTH ID, OTHER ID</t>
  </si>
  <si>
    <t>ARIGOLA</t>
  </si>
  <si>
    <t>LEXTER JAY</t>
  </si>
  <si>
    <t>VOTER'S ID, UNIFIED MULTI-PURPOSE ID</t>
  </si>
  <si>
    <t>NINA JEWELS</t>
  </si>
  <si>
    <t>JUDGE</t>
  </si>
  <si>
    <t>PASSPORT, TEMP. DRIVER'S LICENSE ID</t>
  </si>
  <si>
    <t>MA GOYENA</t>
  </si>
  <si>
    <t>DELFINO</t>
  </si>
  <si>
    <t>NOLASCO</t>
  </si>
  <si>
    <t>PEDRO</t>
  </si>
  <si>
    <t>JULIA NOEMI</t>
  </si>
  <si>
    <t>DEL</t>
  </si>
  <si>
    <t>CARAAN</t>
  </si>
  <si>
    <t>PAG-IBIG ID, PHILHEALTH ID</t>
  </si>
  <si>
    <t>CHERRY</t>
  </si>
  <si>
    <t>PAWIG</t>
  </si>
  <si>
    <t>DTI, DRIVER'S LICENSE ID, PHILHEALTH ID</t>
  </si>
  <si>
    <t>JOHN ROBERT</t>
  </si>
  <si>
    <t>LINGON</t>
  </si>
  <si>
    <t>DTI, PHILHEALTH ID</t>
  </si>
  <si>
    <t>MYLEN</t>
  </si>
  <si>
    <t>VOTER'S ID, DRIVER'S LICENSE ID</t>
  </si>
  <si>
    <t>MARIA JOSEFA</t>
  </si>
  <si>
    <t>OCOP</t>
  </si>
  <si>
    <t>DTI, SSS ID, VOTER'S ID</t>
  </si>
  <si>
    <t>ANA MARIA</t>
  </si>
  <si>
    <t>DENIS LLOYD</t>
  </si>
  <si>
    <t>LALAMONAN</t>
  </si>
  <si>
    <t>DTI, BRGY. CLEARANCE, DRIVER'S LICENSE ID, OTHER ID</t>
  </si>
  <si>
    <t>JENNYLYN</t>
  </si>
  <si>
    <t>PITARGUE</t>
  </si>
  <si>
    <t>TIMARAO</t>
  </si>
  <si>
    <t>FERWIN</t>
  </si>
  <si>
    <t>AKIM</t>
  </si>
  <si>
    <t>VOTER'S ID / MAYORS PERMIT 2017</t>
  </si>
  <si>
    <t>BAYOG</t>
  </si>
  <si>
    <t>BRGY. BUSINESS CLEARANCE, SSS ID</t>
  </si>
  <si>
    <t>BANJO</t>
  </si>
  <si>
    <t>RAMONCHITO</t>
  </si>
  <si>
    <t>SARNO</t>
  </si>
  <si>
    <t>II</t>
  </si>
  <si>
    <t>MAYOR'S PERMIT, DRIVER'S LICENSE ID</t>
  </si>
  <si>
    <t>MELDRICK</t>
  </si>
  <si>
    <t>JOHNSON</t>
  </si>
  <si>
    <t>FIGUERAS</t>
  </si>
  <si>
    <t>DTI, MAYOR'S PERMIT, DRIVER'S LICENSE ID, OTHER ID</t>
  </si>
  <si>
    <t>DTI, POSTAL ID, DRIVER'S LICENSE ID</t>
  </si>
  <si>
    <t>RAMIR</t>
  </si>
  <si>
    <t>LEPARDO</t>
  </si>
  <si>
    <t>LORENZO</t>
  </si>
  <si>
    <t>LUCILA</t>
  </si>
  <si>
    <t>RAVANERA</t>
  </si>
  <si>
    <t>SOLOREN</t>
  </si>
  <si>
    <t>PADERES</t>
  </si>
  <si>
    <t>VOTER'S ID, POSTAL ID</t>
  </si>
  <si>
    <t>DTI, PHILHEALTH ID, OTHER ID</t>
  </si>
  <si>
    <t>SSS ID, PAG-IBIG ID</t>
  </si>
  <si>
    <t>ALFREDO</t>
  </si>
  <si>
    <t>PENA</t>
  </si>
  <si>
    <t>PAOLA</t>
  </si>
  <si>
    <t>BIANCA</t>
  </si>
  <si>
    <t>TIN ID, PHILHEALTH ID</t>
  </si>
  <si>
    <t>NOCEJA</t>
  </si>
  <si>
    <t>UNIFIED MULTI-PURPOSE ID, TEMP. DRIVER'S LICENSE ID</t>
  </si>
  <si>
    <t>ERNANCITA</t>
  </si>
  <si>
    <t>CIAR</t>
  </si>
  <si>
    <t>UNIFIED MULTI-PURPOSE ID, DRIVER'S LICENSE ID</t>
  </si>
  <si>
    <t>Z</t>
  </si>
  <si>
    <t>CLARO</t>
  </si>
  <si>
    <t>MARIA VICTORIA</t>
  </si>
  <si>
    <t>LEDESMA</t>
  </si>
  <si>
    <t>JAN</t>
  </si>
  <si>
    <t>LESACA</t>
  </si>
  <si>
    <t xml:space="preserve">DTI, PASSPORT </t>
  </si>
  <si>
    <t>ACOSTA</t>
  </si>
  <si>
    <t>CLEOFE</t>
  </si>
  <si>
    <t>ORONG</t>
  </si>
  <si>
    <t>JEMUEL</t>
  </si>
  <si>
    <t>MORADA</t>
  </si>
  <si>
    <t>CHRISTINA</t>
  </si>
  <si>
    <t>RUBI</t>
  </si>
  <si>
    <t>PATENA</t>
  </si>
  <si>
    <t>VITERBO</t>
  </si>
  <si>
    <t>ELISEA</t>
  </si>
  <si>
    <t>RASAY</t>
  </si>
  <si>
    <t>LIGAYA</t>
  </si>
  <si>
    <t>RIVAS</t>
  </si>
  <si>
    <t>PASSPORT, VOTER'S ID</t>
  </si>
  <si>
    <t>DTI, BUSINESS PERMIT, &amp; DRIVER'S LICENSE ID</t>
  </si>
  <si>
    <t>RODEL</t>
  </si>
  <si>
    <t>SARMIENTO</t>
  </si>
  <si>
    <t>LAMAIN</t>
  </si>
  <si>
    <t>MARIDEL</t>
  </si>
  <si>
    <t>RODRIGUEZ</t>
  </si>
  <si>
    <t>TIN ID, DRIVER'S LICENSE ID / DTI</t>
  </si>
  <si>
    <t>LANIE</t>
  </si>
  <si>
    <t>BETITO</t>
  </si>
  <si>
    <t>PASSPORT</t>
  </si>
  <si>
    <t>SEOUNG</t>
  </si>
  <si>
    <t>CHON</t>
  </si>
  <si>
    <t>ACR ID</t>
  </si>
  <si>
    <t>DTI, UNIFIED MULTI-PURPOSE ID</t>
  </si>
  <si>
    <t>ANDY</t>
  </si>
  <si>
    <t>TALAVERA</t>
  </si>
  <si>
    <t>FILIPINA</t>
  </si>
  <si>
    <t>DUMDUM</t>
  </si>
  <si>
    <t>LAILANIE</t>
  </si>
  <si>
    <t>MANLAPAZ</t>
  </si>
  <si>
    <t>PHILHEALTH ID / DTI</t>
  </si>
  <si>
    <t>IBANALO</t>
  </si>
  <si>
    <t>BERNADETTE</t>
  </si>
  <si>
    <t>POLO</t>
  </si>
  <si>
    <t>JAMES ARNOLD</t>
  </si>
  <si>
    <t>SISNO</t>
  </si>
  <si>
    <t>VILLALOBOS</t>
  </si>
  <si>
    <t>DTI, DRIVER'S LICENSE ID, SENIOR CITIZEN ID</t>
  </si>
  <si>
    <t>LUDY KO</t>
  </si>
  <si>
    <t>DTI (UNDER GINA KO NAME), DRIVER'S LICENSE ID</t>
  </si>
  <si>
    <t>JAZMIN</t>
  </si>
  <si>
    <t>BRINGAS</t>
  </si>
  <si>
    <t>DTI (WIFE'S NAME), DRIVER'S LICENSE ID, OTHER ID</t>
  </si>
  <si>
    <t>RAIHAN SHARIF</t>
  </si>
  <si>
    <t>CANDAO</t>
  </si>
  <si>
    <t>LIMOSNERO</t>
  </si>
  <si>
    <t>OTHER ID (BRGY. ID) dti</t>
  </si>
  <si>
    <t>RACELINE</t>
  </si>
  <si>
    <t>NONITA</t>
  </si>
  <si>
    <t>MURILLO</t>
  </si>
  <si>
    <t>DARYLLE ANNE</t>
  </si>
  <si>
    <t>GJIANNE VERA</t>
  </si>
  <si>
    <t>PIANO</t>
  </si>
  <si>
    <t>OTHER ID (SCHOOL ID)</t>
  </si>
  <si>
    <t>ALYSSA MARIE</t>
  </si>
  <si>
    <t>CRISPINA</t>
  </si>
  <si>
    <t>ACCAD</t>
  </si>
  <si>
    <t>OTHER ID (BRGY. ID)</t>
  </si>
  <si>
    <t>JANELA</t>
  </si>
  <si>
    <t>FERDINAND</t>
  </si>
  <si>
    <t>KO</t>
  </si>
  <si>
    <t>DTI, SSS ID</t>
  </si>
  <si>
    <t>TENORIO</t>
  </si>
  <si>
    <t>OTHER ID (SR. CITIZEN ID)</t>
  </si>
  <si>
    <t>CLARITA</t>
  </si>
  <si>
    <t>GUIRIT</t>
  </si>
  <si>
    <t>ZERNANDO</t>
  </si>
  <si>
    <t>ANNA LIZA</t>
  </si>
  <si>
    <t>RUFINO</t>
  </si>
  <si>
    <t>ARTURO</t>
  </si>
  <si>
    <t>MONTILLANO</t>
  </si>
  <si>
    <t>DRIVER'S LICENSE ID, OTHER ID (AFP ID)</t>
  </si>
  <si>
    <t>MEDELITO</t>
  </si>
  <si>
    <t>AGRIMANO</t>
  </si>
  <si>
    <t>DTI (FATHER'S NAME), DRIVER'S LICENSE ID</t>
  </si>
  <si>
    <t>ARCIGAL</t>
  </si>
  <si>
    <t>ZANTUA</t>
  </si>
  <si>
    <t>ARCONTICA</t>
  </si>
  <si>
    <t>JOJIE</t>
  </si>
  <si>
    <t>MA GRACIA</t>
  </si>
  <si>
    <t>PNP ID</t>
  </si>
  <si>
    <t>ANGELITA</t>
  </si>
  <si>
    <t>DECINO</t>
  </si>
  <si>
    <t>CRUZADA</t>
  </si>
  <si>
    <t>ROSIFE</t>
  </si>
  <si>
    <t>RENONO</t>
  </si>
  <si>
    <t>ROGER</t>
  </si>
  <si>
    <t>MALVAR</t>
  </si>
  <si>
    <t>BUEN ALEX</t>
  </si>
  <si>
    <t>PHILHEALTH ID, XEROX PASSPORT</t>
  </si>
  <si>
    <t>CHAN</t>
  </si>
  <si>
    <t>MANALASTAS</t>
  </si>
  <si>
    <t>ROSELL</t>
  </si>
  <si>
    <t>BABAUTA</t>
  </si>
  <si>
    <t>TIN ID, OTHER ID (5% approved by Sir Tom)</t>
  </si>
  <si>
    <t>FUNAYAMA</t>
  </si>
  <si>
    <t>MAZA</t>
  </si>
  <si>
    <t>DTI, MAYOR'S PERMIT, DRIVER'S LICENSE ID</t>
  </si>
  <si>
    <t>JULIENE</t>
  </si>
  <si>
    <t>JOEMARIE</t>
  </si>
  <si>
    <t>JAPITANA</t>
  </si>
  <si>
    <t>PEROL</t>
  </si>
  <si>
    <t>GERON</t>
  </si>
  <si>
    <t>OWIN</t>
  </si>
  <si>
    <t>CARDENAS</t>
  </si>
  <si>
    <t>ARNULFO</t>
  </si>
  <si>
    <t>RODELAS</t>
  </si>
  <si>
    <t>RALPH MARTIN</t>
  </si>
  <si>
    <t>LIGON</t>
  </si>
  <si>
    <t>SSS ID (5% approved by Mam Emie)</t>
  </si>
  <si>
    <t>TRAQUENA</t>
  </si>
  <si>
    <t>BAQUER</t>
  </si>
  <si>
    <t>DTI, TIN ID, OTHER ID</t>
  </si>
  <si>
    <t>SY</t>
  </si>
  <si>
    <t>GAWARAN</t>
  </si>
  <si>
    <t>ELADIO</t>
  </si>
  <si>
    <t>BATONGBACAL</t>
  </si>
  <si>
    <t>DIVINO</t>
  </si>
  <si>
    <t>MAYOR'S PERMIT, VOTER'S ID, DRIVER'S LICENSE ID</t>
  </si>
  <si>
    <t>SENEN</t>
  </si>
  <si>
    <t>PHOTOCOPIED PASSPORT, DRIVER'S LICENSE ID</t>
  </si>
  <si>
    <t>AUXILLUM</t>
  </si>
  <si>
    <t>LISING</t>
  </si>
  <si>
    <t>SOFRONIO</t>
  </si>
  <si>
    <t>TEODOSIO</t>
  </si>
  <si>
    <t>FLORENCIO</t>
  </si>
  <si>
    <t>MIRANO</t>
  </si>
  <si>
    <t>DTI (WIFE'S NAME), VOTER'S ID, TIN ID</t>
  </si>
  <si>
    <t>JOAN LUISE</t>
  </si>
  <si>
    <t>CU</t>
  </si>
  <si>
    <t>CATIGUM</t>
  </si>
  <si>
    <t>MAYOR'S PERMIT, TIN ID</t>
  </si>
  <si>
    <t>ANDES</t>
  </si>
  <si>
    <t>TABUCO</t>
  </si>
  <si>
    <t xml:space="preserve">OTHER ID </t>
  </si>
  <si>
    <t>RACHEL JOY</t>
  </si>
  <si>
    <t>BALICANO</t>
  </si>
  <si>
    <t>DADOR</t>
  </si>
  <si>
    <r>
      <rPr>
        <rFont val="Arial"/>
        <color theme="1"/>
        <sz val="12.0"/>
      </rPr>
      <t>DRIVER'S LICENSE ID</t>
    </r>
    <r>
      <rPr>
        <rFont val="Arial"/>
        <b/>
        <color theme="1"/>
        <sz val="12.0"/>
      </rPr>
      <t xml:space="preserve"> (REFER BY JUN TORRALBA)</t>
    </r>
  </si>
  <si>
    <r>
      <rPr>
        <rFont val="Arial"/>
        <color theme="1"/>
        <sz val="12.0"/>
      </rPr>
      <t xml:space="preserve">DRIVER'S LICENSE ID </t>
    </r>
    <r>
      <rPr>
        <rFont val="Arial"/>
        <b/>
        <color theme="1"/>
        <sz val="12.0"/>
      </rPr>
      <t>(REFER BY JUN TORRALBA)</t>
    </r>
  </si>
  <si>
    <t>BANEL</t>
  </si>
  <si>
    <t>DTI, BRGY. BUSINESS CLEARANCE, PHILHEALTH ID</t>
  </si>
  <si>
    <t>MANDEELI</t>
  </si>
  <si>
    <t>MODESTA</t>
  </si>
  <si>
    <t>CAUDILLA</t>
  </si>
  <si>
    <t>ZONDRIE</t>
  </si>
  <si>
    <t>ROSENDA</t>
  </si>
  <si>
    <t>CONNIE</t>
  </si>
  <si>
    <t>WILFRELYN</t>
  </si>
  <si>
    <t>GUIYAB</t>
  </si>
  <si>
    <t>XEROX PASSPORT, DRIVER'S LICENSE ID</t>
  </si>
  <si>
    <t>MA VICTORIA</t>
  </si>
  <si>
    <t>VARGAS</t>
  </si>
  <si>
    <t>CUARESMA</t>
  </si>
  <si>
    <t>CALE</t>
  </si>
  <si>
    <t>HERMAN BENEDICT</t>
  </si>
  <si>
    <t>NINON</t>
  </si>
  <si>
    <t>JOSUE</t>
  </si>
  <si>
    <t>DAHAN</t>
  </si>
  <si>
    <t>ERNO</t>
  </si>
  <si>
    <r>
      <rPr>
        <rFont val="Arial"/>
        <color theme="1"/>
        <sz val="12.0"/>
      </rPr>
      <t xml:space="preserve">SSS ID </t>
    </r>
    <r>
      <rPr>
        <rFont val="Arial"/>
        <b/>
        <color theme="1"/>
        <sz val="12.0"/>
      </rPr>
      <t>(PASSPORT EXPIRED)</t>
    </r>
  </si>
  <si>
    <t>BACILA</t>
  </si>
  <si>
    <t>ADELAIDA</t>
  </si>
  <si>
    <t>LEYRAN</t>
  </si>
  <si>
    <t>PAGUNSAN</t>
  </si>
  <si>
    <t>CARMELA</t>
  </si>
  <si>
    <t>ANAROSE</t>
  </si>
  <si>
    <t>SEDANO</t>
  </si>
  <si>
    <t>DELCY</t>
  </si>
  <si>
    <t>RICOHERMOSO</t>
  </si>
  <si>
    <t>DTI, XEROX PASSPORT</t>
  </si>
  <si>
    <t>III</t>
  </si>
  <si>
    <t>DTI, SSS ID, DRIVER'S LICENSE ID</t>
  </si>
  <si>
    <t>VILLAR-BARING</t>
  </si>
  <si>
    <t>ODEJAR</t>
  </si>
  <si>
    <t>Y</t>
  </si>
  <si>
    <t>MACAWILE</t>
  </si>
  <si>
    <t>ODIN</t>
  </si>
  <si>
    <t>DRIVER'S LICENSE ID, OTHER ID (SR. CITIZEN)</t>
  </si>
  <si>
    <t>GOZAR</t>
  </si>
  <si>
    <t>NICANOR</t>
  </si>
  <si>
    <t>LUCENO</t>
  </si>
  <si>
    <t>DAYO</t>
  </si>
  <si>
    <t>UNIFIED MULTI-PURPOSE ID, DRIVER'S LICENSE ID / DTI</t>
  </si>
  <si>
    <t>02-23-17</t>
  </si>
  <si>
    <t>CENDANA</t>
  </si>
  <si>
    <r>
      <rPr>
        <rFont val="Arial"/>
        <color theme="1"/>
        <sz val="12.0"/>
      </rPr>
      <t xml:space="preserve">DTI, DRIVER'S LICENSE ID </t>
    </r>
    <r>
      <rPr>
        <rFont val="Arial"/>
        <b/>
        <color theme="1"/>
        <sz val="12.0"/>
      </rPr>
      <t>(WIFE OF BIDDER 1525)</t>
    </r>
  </si>
  <si>
    <t>TIN ID, HDMF ID</t>
  </si>
  <si>
    <t>MARK JOHN</t>
  </si>
  <si>
    <t>OSCAR</t>
  </si>
  <si>
    <t>BANAAG</t>
  </si>
  <si>
    <t>LUNA</t>
  </si>
  <si>
    <t>JOVITH</t>
  </si>
  <si>
    <t>MASWENG</t>
  </si>
  <si>
    <t>ROSALIA</t>
  </si>
  <si>
    <t>PASICOLAN</t>
  </si>
  <si>
    <t>JEANNELYN</t>
  </si>
  <si>
    <t>BALONSO</t>
  </si>
  <si>
    <t>STAFF OF MAM YOLLY PASTORPIDE</t>
  </si>
  <si>
    <t>GUARDINO</t>
  </si>
  <si>
    <t>PANGILINAN</t>
  </si>
  <si>
    <t>NELLY</t>
  </si>
  <si>
    <t>DTI 2006-2011 (EXPIRED), DRIVER'S LIC. ID, OTHER ID</t>
  </si>
  <si>
    <t>HAIZEL CLARIS</t>
  </si>
  <si>
    <t>POSTAL ID, PHILHEALTH ID</t>
  </si>
  <si>
    <t>MIARAL</t>
  </si>
  <si>
    <t>JAYVIECAR</t>
  </si>
  <si>
    <t>ARTEMIO</t>
  </si>
  <si>
    <t>VICTORIO</t>
  </si>
  <si>
    <t>BRGY. BUSINESS CLEARANCE</t>
  </si>
  <si>
    <t>PARULI</t>
  </si>
  <si>
    <t>DRIVER'S LICENSE ID, XEROX PASSPORT</t>
  </si>
  <si>
    <t>WEN</t>
  </si>
  <si>
    <t>LU</t>
  </si>
  <si>
    <t>ROSCEL</t>
  </si>
  <si>
    <t>GUALBERTO</t>
  </si>
  <si>
    <t>AGUIDO</t>
  </si>
  <si>
    <t>AARON</t>
  </si>
  <si>
    <t>JONASAI</t>
  </si>
  <si>
    <t>CANEJA</t>
  </si>
  <si>
    <t>SAMUEL</t>
  </si>
  <si>
    <t>MANIPON</t>
  </si>
  <si>
    <t>ENRILE</t>
  </si>
  <si>
    <t>APOSTOL</t>
  </si>
  <si>
    <t>SYLVIA MARILYN</t>
  </si>
  <si>
    <t>BALLESTEROS</t>
  </si>
  <si>
    <t>SYED</t>
  </si>
  <si>
    <t>AKHTAR</t>
  </si>
  <si>
    <t>O'CONNOR</t>
  </si>
  <si>
    <t>BAECKMANN</t>
  </si>
  <si>
    <t>ERRIKAH</t>
  </si>
  <si>
    <t>UNIFIED MULTI-PURPOSE ID, POSTAL ID</t>
  </si>
  <si>
    <t>HIYASMIN</t>
  </si>
  <si>
    <t>ROSANIE</t>
  </si>
  <si>
    <t>ONATE</t>
  </si>
  <si>
    <t>COCADIZ</t>
  </si>
  <si>
    <t>GIL</t>
  </si>
  <si>
    <t>LADICA</t>
  </si>
  <si>
    <t>ERWIN ALLEN</t>
  </si>
  <si>
    <t>GEMA</t>
  </si>
  <si>
    <t>MANDANAS</t>
  </si>
  <si>
    <t>RODIE ROSENDA</t>
  </si>
  <si>
    <t>PRADO</t>
  </si>
  <si>
    <t>SSS ID / DTI / SAME BIDDER 1563</t>
  </si>
  <si>
    <t>BIR ID</t>
  </si>
  <si>
    <t>DAY LAWRENCE</t>
  </si>
  <si>
    <t>SORLO</t>
  </si>
  <si>
    <t>ELISA</t>
  </si>
  <si>
    <t>GERNALYN</t>
  </si>
  <si>
    <t>LAYA</t>
  </si>
  <si>
    <t>DIOLA</t>
  </si>
  <si>
    <t>ARTILLACA</t>
  </si>
  <si>
    <t>VOTERS ID / DRIVERS LICENSE</t>
  </si>
  <si>
    <t>GARD</t>
  </si>
  <si>
    <t>RAMOS Jr</t>
  </si>
  <si>
    <t>ESTACO</t>
  </si>
  <si>
    <t>SOLIDIO</t>
  </si>
  <si>
    <t>VOTERS ID / DTI</t>
  </si>
  <si>
    <t>SYSON</t>
  </si>
  <si>
    <t>ADRIATICO</t>
  </si>
  <si>
    <t>FERMIL</t>
  </si>
  <si>
    <t>DRIVERS LICENSE / BIR ID</t>
  </si>
  <si>
    <t>ESQUEJO</t>
  </si>
  <si>
    <t>DRIVERS LICENSE / DTI</t>
  </si>
  <si>
    <t>ISIP</t>
  </si>
  <si>
    <t>ESCORRIDO</t>
  </si>
  <si>
    <t>COMPANY ID</t>
  </si>
  <si>
    <t>TELESFORO</t>
  </si>
  <si>
    <t>BABANGAN</t>
  </si>
  <si>
    <t>ANGELINA</t>
  </si>
  <si>
    <t>UBARRE</t>
  </si>
  <si>
    <t>BENEDICTO</t>
  </si>
  <si>
    <t>MARC JINELL</t>
  </si>
  <si>
    <t>APPROVED BY MAM EMIE</t>
  </si>
  <si>
    <t>MARNI</t>
  </si>
  <si>
    <t>ROJALES</t>
  </si>
  <si>
    <t>GUTIERREZ</t>
  </si>
  <si>
    <t>VERINA</t>
  </si>
  <si>
    <t>SAGUIPED</t>
  </si>
  <si>
    <t>DAVISON</t>
  </si>
  <si>
    <t>PASTILLAO</t>
  </si>
  <si>
    <t>JAMANDRE</t>
  </si>
  <si>
    <t>ABBAS</t>
  </si>
  <si>
    <t>STUDENT LICENSE</t>
  </si>
  <si>
    <t>PRINCIPE</t>
  </si>
  <si>
    <t>RIOFLORIDO</t>
  </si>
  <si>
    <t>ELEANOR</t>
  </si>
  <si>
    <t>MAKABUHAY</t>
  </si>
  <si>
    <t>DTI / DOTC ID</t>
  </si>
  <si>
    <t>10-27-16</t>
  </si>
  <si>
    <t>A.</t>
  </si>
  <si>
    <t>REMY</t>
  </si>
  <si>
    <t>OBUDA</t>
  </si>
  <si>
    <t>WIFE OF 1636</t>
  </si>
  <si>
    <t>LABATOS</t>
  </si>
  <si>
    <t>VOTERS ID</t>
  </si>
  <si>
    <t>ROYGIEN</t>
  </si>
  <si>
    <t>CO</t>
  </si>
  <si>
    <t>RAINEZ</t>
  </si>
  <si>
    <t>LEONES</t>
  </si>
  <si>
    <t>VOTERS ID / DRIVERS LICENSE / DTI</t>
  </si>
  <si>
    <t>DTI TO BE FOLLOW</t>
  </si>
  <si>
    <t>RENELDA</t>
  </si>
  <si>
    <t>ACEBUCHE</t>
  </si>
  <si>
    <t>SALUDAR</t>
  </si>
  <si>
    <t>BIR ID / VOTERS ID</t>
  </si>
  <si>
    <t>JONNA ANN</t>
  </si>
  <si>
    <t>PANTE</t>
  </si>
  <si>
    <t>AMNALYN</t>
  </si>
  <si>
    <t>LLACURA</t>
  </si>
  <si>
    <t>ALGURA</t>
  </si>
  <si>
    <t>MORESCA</t>
  </si>
  <si>
    <t>ESPERANZA</t>
  </si>
  <si>
    <t>ROSELA</t>
  </si>
  <si>
    <t>DE ASAS</t>
  </si>
  <si>
    <t>ERNACIO</t>
  </si>
  <si>
    <t>FLORDELYN</t>
  </si>
  <si>
    <t>DELEON</t>
  </si>
  <si>
    <t>MA FRANCIA</t>
  </si>
  <si>
    <t>SANCHO</t>
  </si>
  <si>
    <t>DIVINAGRACIA</t>
  </si>
  <si>
    <t>ANSAP ID</t>
  </si>
  <si>
    <t>MARIA CONSUELO</t>
  </si>
  <si>
    <t>SSS ID / DTI 6-23-16</t>
  </si>
  <si>
    <t>UPO</t>
  </si>
  <si>
    <t>BRGY ID</t>
  </si>
  <si>
    <t>MARINA</t>
  </si>
  <si>
    <t>CREUS</t>
  </si>
  <si>
    <t>DEBBIE</t>
  </si>
  <si>
    <t>FRONDOZO</t>
  </si>
  <si>
    <t>SOLEDAD</t>
  </si>
  <si>
    <t>REAH</t>
  </si>
  <si>
    <t>YAP</t>
  </si>
  <si>
    <t>CATOTO</t>
  </si>
  <si>
    <t>BATAIN</t>
  </si>
  <si>
    <t>ANABEL</t>
  </si>
  <si>
    <t>BUENO</t>
  </si>
  <si>
    <t>MEL</t>
  </si>
  <si>
    <t>BONIFACIO</t>
  </si>
  <si>
    <t>BENJIE</t>
  </si>
  <si>
    <t>GUNDA</t>
  </si>
  <si>
    <t>BAQUILOD</t>
  </si>
  <si>
    <t>ROBBEL</t>
  </si>
  <si>
    <t>UMID</t>
  </si>
  <si>
    <t>ECSTACY</t>
  </si>
  <si>
    <t>PALECPEC</t>
  </si>
  <si>
    <t>CAYARI</t>
  </si>
  <si>
    <t>DUMO</t>
  </si>
  <si>
    <t>PHILHEATH ID</t>
  </si>
  <si>
    <t>HARVIN</t>
  </si>
  <si>
    <t>ROQUE</t>
  </si>
  <si>
    <t>KIER RUSTIN</t>
  </si>
  <si>
    <t>GUNDAYAO</t>
  </si>
  <si>
    <t>SON OF 1323</t>
  </si>
  <si>
    <t>ANACITO</t>
  </si>
  <si>
    <t>BRANI</t>
  </si>
  <si>
    <t>CANDO</t>
  </si>
  <si>
    <t>C/O 1602</t>
  </si>
  <si>
    <t>BARREDO</t>
  </si>
  <si>
    <t>C/O SIR PAUL BAES</t>
  </si>
  <si>
    <t>PASSPORT / VOTERS ID</t>
  </si>
  <si>
    <t>EDILBERT</t>
  </si>
  <si>
    <t>SANTOS-OCAMPO</t>
  </si>
  <si>
    <t>BALLARAN</t>
  </si>
  <si>
    <t>PORTUGUES</t>
  </si>
  <si>
    <t>JOSE STEPHEN</t>
  </si>
  <si>
    <t>ESTEFANO</t>
  </si>
  <si>
    <t>ANGEL</t>
  </si>
  <si>
    <t>AGUB</t>
  </si>
  <si>
    <t>RACHELL</t>
  </si>
  <si>
    <t>JAMIE ANNE</t>
  </si>
  <si>
    <t>MANCE</t>
  </si>
  <si>
    <t>SCHOOL ID</t>
  </si>
  <si>
    <t>09778012910</t>
  </si>
  <si>
    <t>ESMERALDA</t>
  </si>
  <si>
    <t>ROMULO</t>
  </si>
  <si>
    <t>BIHAG</t>
  </si>
  <si>
    <t>PAMARANG</t>
  </si>
  <si>
    <t>ARCEO</t>
  </si>
  <si>
    <t>JAVANI</t>
  </si>
  <si>
    <t>BARRAMEDA</t>
  </si>
  <si>
    <t>PATRICIO</t>
  </si>
  <si>
    <t>CHANG</t>
  </si>
  <si>
    <t>VENANCIO</t>
  </si>
  <si>
    <t>REDONA</t>
  </si>
  <si>
    <t>ALDRIN</t>
  </si>
  <si>
    <t>MANLAPAS</t>
  </si>
  <si>
    <t>ROSOS</t>
  </si>
  <si>
    <t>DERDER Jr</t>
  </si>
  <si>
    <t>SAME BIDDER 1332</t>
  </si>
  <si>
    <t>TEVES</t>
  </si>
  <si>
    <t>PUNLA</t>
  </si>
  <si>
    <t>MALICSE</t>
  </si>
  <si>
    <t>CHARO</t>
  </si>
  <si>
    <t>ABANTO</t>
  </si>
  <si>
    <t>MARAVILLA</t>
  </si>
  <si>
    <t>DTI VOTERS ID</t>
  </si>
  <si>
    <t>MACATANGAY</t>
  </si>
  <si>
    <t>DTI / MAYORS PERMIT / DRIVERS LICENSE</t>
  </si>
  <si>
    <t>MARICRIS</t>
  </si>
  <si>
    <t>PRC / DRIVERS LICENSE</t>
  </si>
  <si>
    <t>MARGARETT</t>
  </si>
  <si>
    <t>09175505685</t>
  </si>
  <si>
    <t>NER</t>
  </si>
  <si>
    <t>C/O SIR JOSEPH</t>
  </si>
  <si>
    <t>LEIZEL</t>
  </si>
  <si>
    <t>WONG</t>
  </si>
  <si>
    <t>APRESURADO</t>
  </si>
  <si>
    <t>CALIM</t>
  </si>
  <si>
    <t>ALOL</t>
  </si>
  <si>
    <t>CINCO</t>
  </si>
  <si>
    <t>CASUBUAN</t>
  </si>
  <si>
    <t>ABANAG</t>
  </si>
  <si>
    <t>DECORINA</t>
  </si>
  <si>
    <t>CAGUIOA JHUNALYN</t>
  </si>
  <si>
    <t>QUIBIN</t>
  </si>
  <si>
    <t>BIR PERMIT</t>
  </si>
  <si>
    <t>MANGAHAS JAY</t>
  </si>
  <si>
    <t>RIC</t>
  </si>
  <si>
    <t>RIC PASCUA</t>
  </si>
  <si>
    <t>DTI / DRIVERS LICENSE</t>
  </si>
  <si>
    <t>MALIGALIG</t>
  </si>
  <si>
    <t>AGBUYA</t>
  </si>
  <si>
    <t>DTI / BIR PERMIT</t>
  </si>
  <si>
    <t>CUAL</t>
  </si>
  <si>
    <t>ALDERITE</t>
  </si>
  <si>
    <t>NAVARRO</t>
  </si>
  <si>
    <t>BAWALAN</t>
  </si>
  <si>
    <t>LAURENARIA</t>
  </si>
  <si>
    <t>JOYCELYN</t>
  </si>
  <si>
    <t>CENICA</t>
  </si>
  <si>
    <t>DTI / UMID ID / GSIS / DRIVERS LICENSE / AFP ID</t>
  </si>
  <si>
    <t>LANUZA</t>
  </si>
  <si>
    <t>DALUDADO</t>
  </si>
  <si>
    <t>BIR ID / DTI</t>
  </si>
  <si>
    <t>DTI / POSTAL ID</t>
  </si>
  <si>
    <t>SSS ID / DTI</t>
  </si>
  <si>
    <t>IVY</t>
  </si>
  <si>
    <t>DAQUER</t>
  </si>
  <si>
    <t>POSTAL ID / DRIVERS LICENSE</t>
  </si>
  <si>
    <t>JEDREK</t>
  </si>
  <si>
    <t>LEVY</t>
  </si>
  <si>
    <t>VINLUAN</t>
  </si>
  <si>
    <t>PERALDO</t>
  </si>
  <si>
    <t>AMADO</t>
  </si>
  <si>
    <t>JARONEL</t>
  </si>
  <si>
    <t>ARLYN</t>
  </si>
  <si>
    <t>CIELO</t>
  </si>
  <si>
    <t>JUMAMOY</t>
  </si>
  <si>
    <t>PEÑA</t>
  </si>
  <si>
    <t>PROF. REGULATION COMM. ID</t>
  </si>
  <si>
    <t>WAHIT</t>
  </si>
  <si>
    <t>MERILYN</t>
  </si>
  <si>
    <t>MARASIGAN</t>
  </si>
  <si>
    <t>DIMAFELIX</t>
  </si>
  <si>
    <t>MAJA</t>
  </si>
  <si>
    <t>CANILLO</t>
  </si>
  <si>
    <t>SIARON</t>
  </si>
  <si>
    <t>DTI / VOTERS ID</t>
  </si>
  <si>
    <t>DOT ID</t>
  </si>
  <si>
    <t>RIZON</t>
  </si>
  <si>
    <t>DTI / SSS ID</t>
  </si>
  <si>
    <t>PADER</t>
  </si>
  <si>
    <t>TAPANG</t>
  </si>
  <si>
    <t>DEPANTE</t>
  </si>
  <si>
    <t>ANGELITO</t>
  </si>
  <si>
    <t>ABARCENTOS</t>
  </si>
  <si>
    <t>SALLE</t>
  </si>
  <si>
    <t>RANCE</t>
  </si>
  <si>
    <t>FEB</t>
  </si>
  <si>
    <t>PAG-IBIG ID / PHILHEALTH ID</t>
  </si>
  <si>
    <t>BARONGRONG</t>
  </si>
  <si>
    <t>ROMEL</t>
  </si>
  <si>
    <t>DRIVERS LICENSE / COMPANY ID</t>
  </si>
  <si>
    <t>RATIN</t>
  </si>
  <si>
    <t>ELMA</t>
  </si>
  <si>
    <t>NACARIO</t>
  </si>
  <si>
    <t>GIRLIE</t>
  </si>
  <si>
    <t>DTI / BIR ID</t>
  </si>
  <si>
    <t>BELLAVERDE</t>
  </si>
  <si>
    <t>ECAT</t>
  </si>
  <si>
    <t>DINGLASAN</t>
  </si>
  <si>
    <t>ALNARD</t>
  </si>
  <si>
    <t>OBLEADA</t>
  </si>
  <si>
    <t>FIGUEROA</t>
  </si>
  <si>
    <t>CAMPANO</t>
  </si>
  <si>
    <t>CAMPANCO</t>
  </si>
  <si>
    <t>SANJAY</t>
  </si>
  <si>
    <t>RETAGA</t>
  </si>
  <si>
    <t>DIAMANTE</t>
  </si>
  <si>
    <t>SUPREME COURT ID</t>
  </si>
  <si>
    <t>LESAGUIS</t>
  </si>
  <si>
    <t>NOTA</t>
  </si>
  <si>
    <t>SULIGUIN</t>
  </si>
  <si>
    <t>VENCHITO</t>
  </si>
  <si>
    <t>PICAYO</t>
  </si>
  <si>
    <t>VENZON</t>
  </si>
  <si>
    <t>ROWELL</t>
  </si>
  <si>
    <t>ZORILLA</t>
  </si>
  <si>
    <t>ESTRABO</t>
  </si>
  <si>
    <t>VOTERS ID / COMPANY ID</t>
  </si>
  <si>
    <t>SSS / DRIVERS LICENSE</t>
  </si>
  <si>
    <t>MARY</t>
  </si>
  <si>
    <t>TORREJOS</t>
  </si>
  <si>
    <t>CEZAR</t>
  </si>
  <si>
    <t>FLORIAN</t>
  </si>
  <si>
    <t>VERTUDES</t>
  </si>
  <si>
    <t>FRANCO</t>
  </si>
  <si>
    <t>VIDEÑA</t>
  </si>
  <si>
    <t>ANIZARDO</t>
  </si>
  <si>
    <t>ILAGA</t>
  </si>
  <si>
    <t>JOMMEL</t>
  </si>
  <si>
    <t>ICARO</t>
  </si>
  <si>
    <t>BALARES</t>
  </si>
  <si>
    <t>ALEJANDRO</t>
  </si>
  <si>
    <t>ARMED FORCES OF PH ID</t>
  </si>
  <si>
    <t>ORTEGA</t>
  </si>
  <si>
    <t>DTI / SENIOR CITIZEN ID</t>
  </si>
  <si>
    <t>ROBLES</t>
  </si>
  <si>
    <t>RONALYN</t>
  </si>
  <si>
    <t>LIRAG</t>
  </si>
  <si>
    <t>JESHIREE</t>
  </si>
  <si>
    <t>POLICE CLEARANCE ID</t>
  </si>
  <si>
    <t>ROCILLO</t>
  </si>
  <si>
    <t>BOCO</t>
  </si>
  <si>
    <t>LIBATO</t>
  </si>
  <si>
    <t>KATHERINE</t>
  </si>
  <si>
    <t>CINENSE</t>
  </si>
  <si>
    <t>LAYABAN</t>
  </si>
  <si>
    <t>ATIENZA</t>
  </si>
  <si>
    <t>SOMONGSONG</t>
  </si>
  <si>
    <t>LELIZA</t>
  </si>
  <si>
    <t>MARC</t>
  </si>
  <si>
    <t>JINELL</t>
  </si>
  <si>
    <t>LOBATON</t>
  </si>
  <si>
    <t>RJ</t>
  </si>
  <si>
    <t>ABUDIO</t>
  </si>
  <si>
    <t>DRIVERS LICENSE / SSS ID</t>
  </si>
  <si>
    <t>LEANILLO</t>
  </si>
  <si>
    <t>BAGUIO</t>
  </si>
  <si>
    <t>LOLARGA</t>
  </si>
  <si>
    <t>PAG-IBIG ID</t>
  </si>
  <si>
    <t>SALUD</t>
  </si>
  <si>
    <t>ONTIVEROS</t>
  </si>
  <si>
    <t>DOTIMAS</t>
  </si>
  <si>
    <t>GODFREY</t>
  </si>
  <si>
    <t>PEDRON</t>
  </si>
  <si>
    <t>POLICE ID</t>
  </si>
  <si>
    <t>RESALINE</t>
  </si>
  <si>
    <t>UMID ID / DRIVERS LICENSE / DTI</t>
  </si>
  <si>
    <t>HERADEZ</t>
  </si>
  <si>
    <t>SILVA</t>
  </si>
  <si>
    <t>FREDELL</t>
  </si>
  <si>
    <t>CLORINA</t>
  </si>
  <si>
    <t>BUSTILLO</t>
  </si>
  <si>
    <t>TANKO</t>
  </si>
  <si>
    <t>RIZALYN</t>
  </si>
  <si>
    <t>CANTILLANO</t>
  </si>
  <si>
    <t>NOV</t>
  </si>
  <si>
    <t>CONCENPCION</t>
  </si>
  <si>
    <t>POSTAL / MAYORS PERMIT / DTI</t>
  </si>
  <si>
    <t>MARICELL</t>
  </si>
  <si>
    <t>MENDEZ</t>
  </si>
  <si>
    <t>DONARDO</t>
  </si>
  <si>
    <t>LACANGAN</t>
  </si>
  <si>
    <t>EMBILE</t>
  </si>
  <si>
    <t>DTI / PASSPORT</t>
  </si>
  <si>
    <t>CRISTOBAL</t>
  </si>
  <si>
    <t>COMPANY ID / DTI / BIR ID</t>
  </si>
  <si>
    <t>GAUDIER</t>
  </si>
  <si>
    <t>GEOMAR</t>
  </si>
  <si>
    <t>GALLEGO</t>
  </si>
  <si>
    <t>UMID ID / DTI</t>
  </si>
  <si>
    <t>SALCES</t>
  </si>
  <si>
    <t>DIGAL</t>
  </si>
  <si>
    <t>DRIVERS LICENSE / UMID ID</t>
  </si>
  <si>
    <t>SSS / VOTERS ID</t>
  </si>
  <si>
    <t>CAPATI</t>
  </si>
  <si>
    <t>DRIVERS LICENSE / SNR CARD</t>
  </si>
  <si>
    <t>ASTORGA</t>
  </si>
  <si>
    <t>DTI / UMID ID</t>
  </si>
  <si>
    <t>ROSSANA</t>
  </si>
  <si>
    <t>CELIS</t>
  </si>
  <si>
    <t>CODOTCO</t>
  </si>
  <si>
    <t>LOURDYLYN</t>
  </si>
  <si>
    <t>CALINDAS</t>
  </si>
  <si>
    <t>RUEDA</t>
  </si>
  <si>
    <t>SUGAY</t>
  </si>
  <si>
    <t>SSS</t>
  </si>
  <si>
    <t>TABIANAN</t>
  </si>
  <si>
    <t>FELICIDAD</t>
  </si>
  <si>
    <t>GERALYN</t>
  </si>
  <si>
    <t>BUENAVENTURA</t>
  </si>
  <si>
    <t>ALFORQUE</t>
  </si>
  <si>
    <t>FRIVALDO</t>
  </si>
  <si>
    <t>GARALDE</t>
  </si>
  <si>
    <t>PAG-IBIG ID / DRIVERS LICENSE / COMPANY ID</t>
  </si>
  <si>
    <t>TAGUIBAO</t>
  </si>
  <si>
    <t>LEONIDA</t>
  </si>
  <si>
    <t>URCIA</t>
  </si>
  <si>
    <t>POSTAL ID / PAG-IBIG ID / DTI</t>
  </si>
  <si>
    <t>DADO</t>
  </si>
  <si>
    <t>POSTAL ID / UMID ID / DTI</t>
  </si>
  <si>
    <t>VOVVEO</t>
  </si>
  <si>
    <t>BIR ID / MAYORS PERMIT</t>
  </si>
  <si>
    <t>YUZON</t>
  </si>
  <si>
    <t>RIZZAROSE</t>
  </si>
  <si>
    <t>FERMO</t>
  </si>
  <si>
    <t>FUJI</t>
  </si>
  <si>
    <t>AMY</t>
  </si>
  <si>
    <t>FABRICANTE</t>
  </si>
  <si>
    <t>DTI / SSS / DRIVERS LICENSE</t>
  </si>
  <si>
    <t>BERNARDO</t>
  </si>
  <si>
    <t>CAMPAÑA</t>
  </si>
  <si>
    <t>CATSAO</t>
  </si>
  <si>
    <t>DTI / SENIORS ID</t>
  </si>
  <si>
    <t>ONZO</t>
  </si>
  <si>
    <t>IKE</t>
  </si>
  <si>
    <t>OFELLA</t>
  </si>
  <si>
    <t>RELATIVE OF MADAM EMIE</t>
  </si>
  <si>
    <t>BARICUATRO</t>
  </si>
  <si>
    <t>ARIES</t>
  </si>
  <si>
    <t>LIZIAL</t>
  </si>
  <si>
    <t>BERTIS</t>
  </si>
  <si>
    <t>DTI / SEC / MAYORS PERMIT 10-27-16</t>
  </si>
  <si>
    <t>RENEWAL OF BUSINESS PERMIT</t>
  </si>
  <si>
    <t>ACOLLADOR</t>
  </si>
  <si>
    <t>YUSON</t>
  </si>
  <si>
    <t>BRNGY ID</t>
  </si>
  <si>
    <t>REALISTA</t>
  </si>
  <si>
    <t>AGONCILLO</t>
  </si>
  <si>
    <t>MERCADAL</t>
  </si>
  <si>
    <t>PASSPORT / DTI</t>
  </si>
  <si>
    <t>VILLACARLOS</t>
  </si>
  <si>
    <t>SSS ID / BIR ID / DTI</t>
  </si>
  <si>
    <t>CLEMENTE</t>
  </si>
  <si>
    <t>ABNER</t>
  </si>
  <si>
    <t>RIBON</t>
  </si>
  <si>
    <t>DTI / PHILHEALTH / DRIVERS LICENSE</t>
  </si>
  <si>
    <t>FAJUTAGANA</t>
  </si>
  <si>
    <t>ANDRES</t>
  </si>
  <si>
    <t>CLARETE</t>
  </si>
  <si>
    <t>UMID / DRIVERS LICENSE</t>
  </si>
  <si>
    <t>POLITTUDE</t>
  </si>
  <si>
    <t>SENIOR CITIZENS ID</t>
  </si>
  <si>
    <t>BRUNO</t>
  </si>
  <si>
    <t>PINTOR</t>
  </si>
  <si>
    <t>ELSA</t>
  </si>
  <si>
    <t>PRESIDENTE</t>
  </si>
  <si>
    <t>SSS / BIR ID</t>
  </si>
  <si>
    <t>LUARCA</t>
  </si>
  <si>
    <t>DYPANGCO</t>
  </si>
  <si>
    <t>CARE OF MAM BHENG</t>
  </si>
  <si>
    <t>DALIOAN</t>
  </si>
  <si>
    <t>BIR ID / PHILHEALTH ID / DTI</t>
  </si>
  <si>
    <t>DELA CERNA</t>
  </si>
  <si>
    <t>ANDAYA RUDY</t>
  </si>
  <si>
    <t>SAMPAGA</t>
  </si>
  <si>
    <t>ALFONSO CORNELIUS LUIZI</t>
  </si>
  <si>
    <t>MAYORS PERMIT / DRIVERS LICENSE</t>
  </si>
  <si>
    <t>ALFONSO MINERUA</t>
  </si>
  <si>
    <t>PRC ID / MAYORS PERMIT</t>
  </si>
  <si>
    <t>HERRERA DENISS</t>
  </si>
  <si>
    <t>BRGY ID / DRIVERS LICENSE / DTI</t>
  </si>
  <si>
    <t>CORPORAL</t>
  </si>
  <si>
    <t>FARAON</t>
  </si>
  <si>
    <t>UMID ID / PRC ID</t>
  </si>
  <si>
    <t>ALDEN</t>
  </si>
  <si>
    <t>MARIBEL</t>
  </si>
  <si>
    <t>MATONGGA</t>
  </si>
  <si>
    <t>BULOS</t>
  </si>
  <si>
    <t>NADAL</t>
  </si>
  <si>
    <t>MURNA</t>
  </si>
  <si>
    <t>BUSINESS PERMIT / DRIVERS LICENSE</t>
  </si>
  <si>
    <t>BONAUBRA</t>
  </si>
  <si>
    <t>ESTARAS</t>
  </si>
  <si>
    <t>SARINO</t>
  </si>
  <si>
    <t>MORCILLA</t>
  </si>
  <si>
    <t>NERLITA</t>
  </si>
  <si>
    <t>RELOVA</t>
  </si>
  <si>
    <t>BRGY ID / POSTAL ID</t>
  </si>
  <si>
    <t>LISTANA</t>
  </si>
  <si>
    <t>GRACILLA</t>
  </si>
  <si>
    <t>DUMA</t>
  </si>
  <si>
    <t>MEJICO</t>
  </si>
  <si>
    <t>LUNARIO</t>
  </si>
  <si>
    <t>SAGPAO MARISSA</t>
  </si>
  <si>
    <t>JUGADO</t>
  </si>
  <si>
    <t>JUDY</t>
  </si>
  <si>
    <t>APPROVED BY ATE ERI</t>
  </si>
  <si>
    <t>VILLAFLORES</t>
  </si>
  <si>
    <t>SSS ID / VOTERS ID</t>
  </si>
  <si>
    <t>BERNADETTE AMOR</t>
  </si>
  <si>
    <t>MAMARIL</t>
  </si>
  <si>
    <t>TEACHERS ID</t>
  </si>
  <si>
    <t>DTI 12-01-2016</t>
  </si>
  <si>
    <t>RALPH</t>
  </si>
  <si>
    <t>APPROVED BY SIR. TOM 12-01-2016</t>
  </si>
  <si>
    <t>MIRALLES</t>
  </si>
  <si>
    <t>ALCANCIA</t>
  </si>
  <si>
    <t>SENIOR ID / BIR ID</t>
  </si>
  <si>
    <t>CATHERINE</t>
  </si>
  <si>
    <t>BONGAYAN</t>
  </si>
  <si>
    <t>BRIAN JEROLD</t>
  </si>
  <si>
    <t>DE LUNA</t>
  </si>
  <si>
    <t>ABILGOS</t>
  </si>
  <si>
    <t>AMEMIYA</t>
  </si>
  <si>
    <t>ROMERO Jr</t>
  </si>
  <si>
    <t>MARIAN GRACE</t>
  </si>
  <si>
    <t>PRC ID / DRIVERS LICENSE / DTI</t>
  </si>
  <si>
    <t>MARY JOYCE</t>
  </si>
  <si>
    <t>SATO</t>
  </si>
  <si>
    <t>DTI FOLLOW UP</t>
  </si>
  <si>
    <t>CABONEGRO</t>
  </si>
  <si>
    <t>ROSE CYRA</t>
  </si>
  <si>
    <t>TAMARAY</t>
  </si>
  <si>
    <t>SONIE ANN</t>
  </si>
  <si>
    <t>BALDON</t>
  </si>
  <si>
    <t>LAGUNERO</t>
  </si>
  <si>
    <t>BENILDA</t>
  </si>
  <si>
    <t>ORIBE</t>
  </si>
  <si>
    <t>GRAGAS</t>
  </si>
  <si>
    <t>JHENILEE</t>
  </si>
  <si>
    <t>BIR ID / PAGIBIG ID</t>
  </si>
  <si>
    <t>RIONA JAY</t>
  </si>
  <si>
    <t>REVIDAD</t>
  </si>
  <si>
    <t>SON OF 314</t>
  </si>
  <si>
    <t>LERIT</t>
  </si>
  <si>
    <t>SAHAGUN</t>
  </si>
  <si>
    <t>FONTANARES</t>
  </si>
  <si>
    <t>JONNA MARIE</t>
  </si>
  <si>
    <t>JUMAWAN</t>
  </si>
  <si>
    <t>ALFORGUE</t>
  </si>
  <si>
    <t>COMPANY ID / DTI</t>
  </si>
  <si>
    <t>NAWA</t>
  </si>
  <si>
    <t>MANDELSON</t>
  </si>
  <si>
    <t>FANDIÑO</t>
  </si>
  <si>
    <t>LIELA</t>
  </si>
  <si>
    <t>12-22-2016</t>
  </si>
  <si>
    <t>JOULLET</t>
  </si>
  <si>
    <t>MAQUILING</t>
  </si>
  <si>
    <t>JESSE CESAR</t>
  </si>
  <si>
    <t>TRIA</t>
  </si>
  <si>
    <t>UNION ID</t>
  </si>
  <si>
    <t>LAUDATO</t>
  </si>
  <si>
    <t>PAROT</t>
  </si>
  <si>
    <t>01-19-2017</t>
  </si>
  <si>
    <t>JUDITH MARY</t>
  </si>
  <si>
    <t>DIOCSON</t>
  </si>
  <si>
    <t>DE MESA</t>
  </si>
  <si>
    <t>09154634169</t>
  </si>
  <si>
    <t>CONRAD ANTHONY</t>
  </si>
  <si>
    <t>ORPILLA</t>
  </si>
  <si>
    <t>ARCIAGA</t>
  </si>
  <si>
    <t>MENDOZA-ATAYDE</t>
  </si>
  <si>
    <t>ODENELLE</t>
  </si>
  <si>
    <t>PRC ID / DTI</t>
  </si>
  <si>
    <t>CANSANCIO</t>
  </si>
  <si>
    <t>SECUYA</t>
  </si>
  <si>
    <t>DAGAAS</t>
  </si>
  <si>
    <t>PADRE-E</t>
  </si>
  <si>
    <t>PAG IBIG ID</t>
  </si>
  <si>
    <t>JADAZA</t>
  </si>
  <si>
    <t>HINTAY</t>
  </si>
  <si>
    <t>ADVENTIST ID</t>
  </si>
  <si>
    <t>JABAL</t>
  </si>
  <si>
    <t>SAPUNTO</t>
  </si>
  <si>
    <t>LANSI</t>
  </si>
  <si>
    <t>MANGENTE</t>
  </si>
  <si>
    <t>GLIMMER</t>
  </si>
  <si>
    <t>BANDIN</t>
  </si>
  <si>
    <t>RECARRO</t>
  </si>
  <si>
    <t>NELSON</t>
  </si>
  <si>
    <t>DANES</t>
  </si>
  <si>
    <t>RECIO</t>
  </si>
  <si>
    <t>MASANGKAY</t>
  </si>
  <si>
    <t>ABUNYAG</t>
  </si>
  <si>
    <t>1849 SAME BIDDER</t>
  </si>
  <si>
    <t>AILENE</t>
  </si>
  <si>
    <t>1881 SAME BIDDER</t>
  </si>
  <si>
    <t>SIONSON</t>
  </si>
  <si>
    <t>MENDOZA JR</t>
  </si>
  <si>
    <t>RALPHIE</t>
  </si>
  <si>
    <t>VENTURES</t>
  </si>
  <si>
    <t>ANTIPUESTO</t>
  </si>
  <si>
    <t>PASSPORT / SEC</t>
  </si>
  <si>
    <t>ANNA MELISSA</t>
  </si>
  <si>
    <t>ERMA JOY</t>
  </si>
  <si>
    <t>BALENIA</t>
  </si>
  <si>
    <t>CASAPAO</t>
  </si>
  <si>
    <t>CELESCIAL</t>
  </si>
  <si>
    <t>HECHANOVA</t>
  </si>
  <si>
    <t>JANETH</t>
  </si>
  <si>
    <t>MACALINTAL</t>
  </si>
  <si>
    <t>KAPALAC</t>
  </si>
  <si>
    <t>SECURITY ID / DRIVERS LICENSE</t>
  </si>
  <si>
    <t>CIPRIANO</t>
  </si>
  <si>
    <t>SAPIN</t>
  </si>
  <si>
    <t>BRUCAL Jr.</t>
  </si>
  <si>
    <t>COMPANY ID / DRIVERS LICENSE</t>
  </si>
  <si>
    <t>1133</t>
  </si>
  <si>
    <t>MAON</t>
  </si>
  <si>
    <t>NAPOLEON</t>
  </si>
  <si>
    <t>MURTEL</t>
  </si>
  <si>
    <t>ANDALEON</t>
  </si>
  <si>
    <t>DTI / MAYORS PERMIT</t>
  </si>
  <si>
    <t>02-17-2017</t>
  </si>
  <si>
    <t>BIR ID / SSS ID / DTI</t>
  </si>
  <si>
    <t>03-02-2017</t>
  </si>
  <si>
    <t>ADRIANO</t>
  </si>
  <si>
    <t>DRIVER LICENSE</t>
  </si>
  <si>
    <t>NOVEMBER</t>
  </si>
  <si>
    <t>01-27-2017</t>
  </si>
  <si>
    <t>PACULAN</t>
  </si>
  <si>
    <t>DEPARTMENT ID</t>
  </si>
  <si>
    <t>PAJIMOLA</t>
  </si>
  <si>
    <t>PHIL. HEALTH / DTI</t>
  </si>
  <si>
    <t>02-04-2017</t>
  </si>
  <si>
    <t>LORCELI</t>
  </si>
  <si>
    <t>PRC</t>
  </si>
  <si>
    <t>CARL ANTHONY</t>
  </si>
  <si>
    <t>DOMAOAN</t>
  </si>
  <si>
    <t>CHRISTINE</t>
  </si>
  <si>
    <t>OSUMO</t>
  </si>
  <si>
    <t>PRC / DTI</t>
  </si>
  <si>
    <t>02-16-17</t>
  </si>
  <si>
    <t xml:space="preserve">JEROSS </t>
  </si>
  <si>
    <t>ENGUANCHO</t>
  </si>
  <si>
    <t>02-03-2017</t>
  </si>
  <si>
    <t>MARK ALVIN</t>
  </si>
  <si>
    <t>LYNITH</t>
  </si>
  <si>
    <t>MARIVIE</t>
  </si>
  <si>
    <t>MILLANO</t>
  </si>
  <si>
    <t>FUENTES</t>
  </si>
  <si>
    <t>FRAGO</t>
  </si>
  <si>
    <t>ALZATE</t>
  </si>
  <si>
    <t>TAMBA</t>
  </si>
  <si>
    <t>BRGY. ID / TIN ID / DTI</t>
  </si>
  <si>
    <t>ROMMES</t>
  </si>
  <si>
    <t>VERICA</t>
  </si>
  <si>
    <t>BARANGES</t>
  </si>
  <si>
    <t>TIN ID / SSS ID</t>
  </si>
  <si>
    <t>SEC</t>
  </si>
  <si>
    <t>APPROVED BY MAM SONIA</t>
  </si>
  <si>
    <t>BIDDER 1967 (02-15-2017</t>
  </si>
  <si>
    <t>BERNADITH</t>
  </si>
  <si>
    <t>MICHELLE APRIL</t>
  </si>
  <si>
    <t>GINON</t>
  </si>
  <si>
    <t>REBECA</t>
  </si>
  <si>
    <t>BIR CARD / SENIOR CITIZEN CARD</t>
  </si>
  <si>
    <t>SHERRYL ANN</t>
  </si>
  <si>
    <t>CANGQUE</t>
  </si>
  <si>
    <t>DELIMA</t>
  </si>
  <si>
    <t>MERELOS</t>
  </si>
  <si>
    <t>DAVID JOSE</t>
  </si>
  <si>
    <t>OLD POSTAL ID</t>
  </si>
  <si>
    <t>ADELFA</t>
  </si>
  <si>
    <t>CASAURAN</t>
  </si>
  <si>
    <t>PHIL. HEALTH ID</t>
  </si>
  <si>
    <t>JASMINE</t>
  </si>
  <si>
    <t>03-06-2017</t>
  </si>
  <si>
    <t>DELIA</t>
  </si>
  <si>
    <t>DRIVER LICENCE</t>
  </si>
  <si>
    <t>SERRA</t>
  </si>
  <si>
    <t>GASAL</t>
  </si>
  <si>
    <t>ALFANTE</t>
  </si>
  <si>
    <t>MARVIN DAVE</t>
  </si>
  <si>
    <t>CERA</t>
  </si>
  <si>
    <t>BUENDIA</t>
  </si>
  <si>
    <t>TUMLOS</t>
  </si>
  <si>
    <t>GUNDRAN</t>
  </si>
  <si>
    <t>ROSE SHELLA</t>
  </si>
  <si>
    <t>JULITA</t>
  </si>
  <si>
    <t>BUAL</t>
  </si>
  <si>
    <t>WISE</t>
  </si>
  <si>
    <t>ALACON</t>
  </si>
  <si>
    <t>NEBRES</t>
  </si>
  <si>
    <t>DRIVER LICENSE / DTI</t>
  </si>
  <si>
    <t>MARIA CRIS</t>
  </si>
  <si>
    <t>LOBINO</t>
  </si>
  <si>
    <t>EMERITA</t>
  </si>
  <si>
    <t>TOLIBAS</t>
  </si>
  <si>
    <t>BRITO</t>
  </si>
  <si>
    <t>SARDIS</t>
  </si>
  <si>
    <t>IRAO</t>
  </si>
  <si>
    <t>DELGADO</t>
  </si>
  <si>
    <t>BONIFICIA</t>
  </si>
  <si>
    <t>AGUSTIN</t>
  </si>
  <si>
    <t>SINDOL</t>
  </si>
  <si>
    <t>CHRISTIE</t>
  </si>
  <si>
    <t>NECHALDAS</t>
  </si>
  <si>
    <t>RUPIDO</t>
  </si>
  <si>
    <t>BAPTISTA</t>
  </si>
  <si>
    <t>PAGIBIG ID</t>
  </si>
  <si>
    <t>FREDDIE</t>
  </si>
  <si>
    <t>FULGARINAS</t>
  </si>
  <si>
    <t>ARBUTANTE</t>
  </si>
  <si>
    <t>POBLADOR</t>
  </si>
  <si>
    <t>NEONITA</t>
  </si>
  <si>
    <t>ARENGA</t>
  </si>
  <si>
    <t>BURNS</t>
  </si>
  <si>
    <t>ABELLANO</t>
  </si>
  <si>
    <t>DAEN</t>
  </si>
  <si>
    <t>BRILLANTE</t>
  </si>
  <si>
    <t>ANOSA</t>
  </si>
  <si>
    <t>SEPTEMBER</t>
  </si>
  <si>
    <t>MONTEMAYOR</t>
  </si>
  <si>
    <t>MENDROS</t>
  </si>
  <si>
    <t>BIDES</t>
  </si>
  <si>
    <t>NOVENO</t>
  </si>
  <si>
    <t>MIKEE</t>
  </si>
  <si>
    <t>SORIANO</t>
  </si>
  <si>
    <t>LUDINIA</t>
  </si>
  <si>
    <t>CAMUNGAY</t>
  </si>
  <si>
    <t>JUNE</t>
  </si>
  <si>
    <t>KAUR</t>
  </si>
  <si>
    <t>SARABJIT</t>
  </si>
  <si>
    <t>ALIEN EMPLOYMENT PERRMIT</t>
  </si>
  <si>
    <t>RHEA-CATHERINE</t>
  </si>
  <si>
    <t>ALPAY</t>
  </si>
  <si>
    <t>THOMAS -LEATHLEY</t>
  </si>
  <si>
    <t>SACRO</t>
  </si>
  <si>
    <t>ANICETA</t>
  </si>
  <si>
    <t>ESCAÑO</t>
  </si>
  <si>
    <t>GASPAY</t>
  </si>
  <si>
    <t>RECALDE</t>
  </si>
  <si>
    <t>YAMBAO</t>
  </si>
  <si>
    <t>MANGUERA</t>
  </si>
  <si>
    <t>BERONQUE</t>
  </si>
  <si>
    <t>MOSQUERA</t>
  </si>
  <si>
    <t>FALCUTILA</t>
  </si>
  <si>
    <t>DRIVER LICENSE / MAYORS PERMIT</t>
  </si>
  <si>
    <t>TOLOSA</t>
  </si>
  <si>
    <t>ABUCAY</t>
  </si>
  <si>
    <t>JONEAL</t>
  </si>
  <si>
    <t>DRIVER LICENSE / UMID</t>
  </si>
  <si>
    <t>ELMER</t>
  </si>
  <si>
    <t>TADEO</t>
  </si>
  <si>
    <t>DEMAYO</t>
  </si>
  <si>
    <t>CANONES</t>
  </si>
  <si>
    <t>MARIFE</t>
  </si>
  <si>
    <t>ZAFE</t>
  </si>
  <si>
    <t>MARGARETH</t>
  </si>
  <si>
    <t>BEUNACOSA</t>
  </si>
  <si>
    <t>BANNED</t>
  </si>
  <si>
    <t>MAGLANOC</t>
  </si>
  <si>
    <t>NEGILYN</t>
  </si>
  <si>
    <t>ESCUDERO</t>
  </si>
  <si>
    <t>HARA DYNE</t>
  </si>
  <si>
    <t>SHERRY WENZEL</t>
  </si>
  <si>
    <t>RELLOSA</t>
  </si>
  <si>
    <t>MONTES</t>
  </si>
  <si>
    <t>LLANES</t>
  </si>
  <si>
    <t>JINKY</t>
  </si>
  <si>
    <t>MIJARES</t>
  </si>
  <si>
    <t>ABRIS</t>
  </si>
  <si>
    <t>LIAO</t>
  </si>
  <si>
    <t>AUGUST</t>
  </si>
  <si>
    <t>CALLEVAS</t>
  </si>
  <si>
    <t>AUTHORIZATION LETTER</t>
  </si>
  <si>
    <t>LOWELL</t>
  </si>
  <si>
    <t>CONSTANTINO</t>
  </si>
  <si>
    <t>POLICE ID / PRC ID</t>
  </si>
  <si>
    <t>LAURO</t>
  </si>
  <si>
    <t>CALUSCUSAO</t>
  </si>
  <si>
    <t>SENIOR ID</t>
  </si>
  <si>
    <t>JUDITH</t>
  </si>
  <si>
    <t>SAY</t>
  </si>
  <si>
    <t>ZABALA</t>
  </si>
  <si>
    <t>GLENNE</t>
  </si>
  <si>
    <t>BELENO</t>
  </si>
  <si>
    <t>URGEL</t>
  </si>
  <si>
    <t>C/O MAM SONIA</t>
  </si>
  <si>
    <t>SUNGA</t>
  </si>
  <si>
    <t>ONTOG</t>
  </si>
  <si>
    <t>MANTES</t>
  </si>
  <si>
    <t>CASANE</t>
  </si>
  <si>
    <t>PEDERNAL</t>
  </si>
  <si>
    <t>FUNDAL</t>
  </si>
  <si>
    <t>MAURICIO</t>
  </si>
  <si>
    <t>ROLLO</t>
  </si>
  <si>
    <t>PUNZALAN</t>
  </si>
  <si>
    <t>BIÑAN BIDDER APPROVED BY KUYA NONONG</t>
  </si>
  <si>
    <t>GIOVANNI</t>
  </si>
  <si>
    <t>DALEN</t>
  </si>
  <si>
    <t>MADAMBA</t>
  </si>
  <si>
    <t>MACHON</t>
  </si>
  <si>
    <t>LARRY CLOYD</t>
  </si>
  <si>
    <t>NAMBIO</t>
  </si>
  <si>
    <t>HOMEN</t>
  </si>
  <si>
    <t>MACASAET</t>
  </si>
  <si>
    <t>REGATON</t>
  </si>
  <si>
    <t>POSTAL ID (OLD)</t>
  </si>
  <si>
    <t>ROSANNO</t>
  </si>
  <si>
    <t>LEAH VI</t>
  </si>
  <si>
    <t>VILLENA</t>
  </si>
  <si>
    <t>PAROHINOG</t>
  </si>
  <si>
    <t>ROBLEDO</t>
  </si>
  <si>
    <t>RICARDO JR.</t>
  </si>
  <si>
    <t>SABALBARO</t>
  </si>
  <si>
    <t>RIBAYA</t>
  </si>
  <si>
    <t>DOTOLLO</t>
  </si>
  <si>
    <t>OWNER OF DTI (SISTER)</t>
  </si>
  <si>
    <t>GUICO</t>
  </si>
  <si>
    <t>TARUSAN</t>
  </si>
  <si>
    <t>FABILLAR</t>
  </si>
  <si>
    <t>DADAP</t>
  </si>
  <si>
    <t>PAJENAR</t>
  </si>
  <si>
    <t>UNTALAN</t>
  </si>
  <si>
    <t>RICALDE</t>
  </si>
  <si>
    <t>MAGRACIA</t>
  </si>
  <si>
    <t>SS ID / VOTERS ID / PHILHEALTH / DTI</t>
  </si>
  <si>
    <t>AUTHORIZATION LETTER (MOTHER-IN-LAW)</t>
  </si>
  <si>
    <t>OTIVILLADAR</t>
  </si>
  <si>
    <t>COMPANERO</t>
  </si>
  <si>
    <t>DRIVER LICENSE / VOTERS ID</t>
  </si>
  <si>
    <t>DELMART</t>
  </si>
  <si>
    <t>VENTANILLA</t>
  </si>
  <si>
    <t>CHRISTOPHER BRYAN</t>
  </si>
  <si>
    <t>DEJITO</t>
  </si>
  <si>
    <t>DORIS</t>
  </si>
  <si>
    <t>MACARANG</t>
  </si>
  <si>
    <t>JAY-R</t>
  </si>
  <si>
    <t>CALIBJO</t>
  </si>
  <si>
    <t>RUTAQUIO</t>
  </si>
  <si>
    <t>JAYZELLE JANE</t>
  </si>
  <si>
    <t>PALENCIA</t>
  </si>
  <si>
    <t>CATAPANG</t>
  </si>
  <si>
    <t>MARIA NYMFA</t>
  </si>
  <si>
    <t>MEDICAL REPRESENTATIVE ID</t>
  </si>
  <si>
    <t>MINIBETH</t>
  </si>
  <si>
    <t>MONTEALEGRE</t>
  </si>
  <si>
    <t>SANGO</t>
  </si>
  <si>
    <t>ESPELETA</t>
  </si>
  <si>
    <t>ELLA FAYE</t>
  </si>
  <si>
    <t>CALIJAN</t>
  </si>
  <si>
    <t>PABILONA</t>
  </si>
  <si>
    <t>PASSPORT / TIN ID</t>
  </si>
  <si>
    <t>BRACAMONTE</t>
  </si>
  <si>
    <t>MA ROSALINDA</t>
  </si>
  <si>
    <t>MESA</t>
  </si>
  <si>
    <t>PASCUAL</t>
  </si>
  <si>
    <t>MIRANDO</t>
  </si>
  <si>
    <t>ROMERO</t>
  </si>
  <si>
    <t>CANDIDO</t>
  </si>
  <si>
    <t>LARIOQUE</t>
  </si>
  <si>
    <t>GENEROSO</t>
  </si>
  <si>
    <t>EMBALZADO</t>
  </si>
  <si>
    <t>DRIVER LICENSE / PHILHEALTH</t>
  </si>
  <si>
    <t>LAGAYADA</t>
  </si>
  <si>
    <t>BAYHON</t>
  </si>
  <si>
    <t>YAGDULAS</t>
  </si>
  <si>
    <t>MALIHAN</t>
  </si>
  <si>
    <t>BERMUDEZ</t>
  </si>
  <si>
    <t>JUANITA</t>
  </si>
  <si>
    <t>VIRTUDEZ</t>
  </si>
  <si>
    <t>PAG-IBIG ID / MAYORS PERMIT</t>
  </si>
  <si>
    <t>BOKSUK</t>
  </si>
  <si>
    <t>-</t>
  </si>
  <si>
    <t>PEREÑA</t>
  </si>
  <si>
    <t>ENCABO</t>
  </si>
  <si>
    <t>UMID / DTI</t>
  </si>
  <si>
    <t>CRISTOPHER</t>
  </si>
  <si>
    <t>DARDO</t>
  </si>
  <si>
    <t>MERY MAE</t>
  </si>
  <si>
    <t>GALVE</t>
  </si>
  <si>
    <t>VILLASIN</t>
  </si>
  <si>
    <t>CENVELINE</t>
  </si>
  <si>
    <t>VELECINA</t>
  </si>
  <si>
    <t>ORDOÑEZ</t>
  </si>
  <si>
    <t>POSTAL ID / DTI / MAYORS PERMIT</t>
  </si>
  <si>
    <t>DIME</t>
  </si>
  <si>
    <t>BAWAR</t>
  </si>
  <si>
    <t>MARIA CORAZON</t>
  </si>
  <si>
    <t>AVENA</t>
  </si>
  <si>
    <t>ROSANNA</t>
  </si>
  <si>
    <t>BEDUYA</t>
  </si>
  <si>
    <t>LACABA</t>
  </si>
  <si>
    <t>NOEL FRANCISCO</t>
  </si>
  <si>
    <t>DESLATE</t>
  </si>
  <si>
    <t>POLICE CLEARANCE CARD</t>
  </si>
  <si>
    <t>ANCHO</t>
  </si>
  <si>
    <t>ROGELYN</t>
  </si>
  <si>
    <t>PORTILLAS</t>
  </si>
  <si>
    <t>REGOSO</t>
  </si>
  <si>
    <t>SALISE</t>
  </si>
  <si>
    <t>BASILIO</t>
  </si>
  <si>
    <t>RONQUILLO</t>
  </si>
  <si>
    <t>QUERUBIN</t>
  </si>
  <si>
    <t>VARLEZ</t>
  </si>
  <si>
    <t>ALFRED</t>
  </si>
  <si>
    <t>ROMUALDEZ</t>
  </si>
  <si>
    <t>ALONZO</t>
  </si>
  <si>
    <t>ARGUSON</t>
  </si>
  <si>
    <t>TOTAL NUMBER OF BIDDERS</t>
  </si>
  <si>
    <t>TOTAL No. OF ITEMS</t>
  </si>
  <si>
    <t>OVERALL TOTAL PRICE</t>
  </si>
  <si>
    <t>OVERALL SERVICE CHARGE</t>
  </si>
  <si>
    <t>OVERALL REGISTRATION FEE</t>
  </si>
  <si>
    <t>OVERALL GRAND TOTAL</t>
  </si>
  <si>
    <t>OVERALL MONITORING PRICE</t>
  </si>
  <si>
    <t>CNT</t>
  </si>
  <si>
    <t>BIDDER NO.</t>
  </si>
  <si>
    <t>NO. OF ITEMS</t>
  </si>
  <si>
    <t>TOTAL PRICE</t>
  </si>
  <si>
    <t>PERCENT</t>
  </si>
  <si>
    <t>SERVICE CHARGE</t>
  </si>
  <si>
    <t>REGISTRATION FEE</t>
  </si>
  <si>
    <t>GRAND TOTAL</t>
  </si>
  <si>
    <t>REMARKS
PAID / DATE</t>
  </si>
  <si>
    <t>BIDDER #  5%</t>
  </si>
  <si>
    <t>Column1</t>
  </si>
  <si>
    <t>DTI 08-18-2016</t>
  </si>
  <si>
    <t>APPROVED BY TITA EMIE 04-14-16</t>
  </si>
  <si>
    <t>DTI 07-28-2016</t>
  </si>
  <si>
    <t>DTI 2015 - SAME BIDDER 1834</t>
  </si>
  <si>
    <t>DTI 06-24-2016</t>
  </si>
  <si>
    <t>DTI 11-04-2016</t>
  </si>
  <si>
    <t>DTI 08-25-2016</t>
  </si>
  <si>
    <t>WIFE OF 1397</t>
  </si>
  <si>
    <t>SUMMITTED DTI (BATANES)</t>
  </si>
  <si>
    <t>DTI 06-02-2016</t>
  </si>
  <si>
    <t>DTI 10-13-2016</t>
  </si>
  <si>
    <t>SAME NUMBER OF 1674</t>
  </si>
  <si>
    <t>BUSINESS PERMIT 10-20-16</t>
  </si>
  <si>
    <t>DTI ERLINDA</t>
  </si>
  <si>
    <t>NOT EDNA S. CRUZADA ON D.T.I SUBMITTED</t>
  </si>
  <si>
    <t>As per Madam</t>
  </si>
  <si>
    <t>DTI / APPROVED BY TITA EMIE</t>
  </si>
  <si>
    <t>As per Madam jun islaba</t>
  </si>
  <si>
    <t>HUSBAND OF BIDDER (1560)</t>
  </si>
  <si>
    <t>APPROVED BY TITA EMIE 07-09-2016</t>
  </si>
  <si>
    <t>MAYORS PERMIT / BRGY. PERMIT</t>
  </si>
  <si>
    <t>DTI NELLY  TUAZON ONG</t>
  </si>
  <si>
    <t>DTI LADY LUZ ENCIERTO DUAL CIT.</t>
  </si>
  <si>
    <t>1823 - SAME BIDDER - DTI 9-22-16</t>
  </si>
  <si>
    <t>DTI GIL</t>
  </si>
  <si>
    <t>DTI LOREN</t>
  </si>
  <si>
    <t>MAYORS</t>
  </si>
  <si>
    <t>DTI 06-23-2016</t>
  </si>
  <si>
    <t>1501 ANAK</t>
  </si>
  <si>
    <t>APPROVED BY TITA EMIE</t>
  </si>
  <si>
    <t>APPROVED BY TITA EMIE 06-16-2016</t>
  </si>
  <si>
    <t>DTI 10-27-16</t>
  </si>
  <si>
    <t>GUEST OF KUYA TOM</t>
  </si>
  <si>
    <t>SUMBITTED DTI 06-16-2016</t>
  </si>
  <si>
    <t>SUBMITTED DTI 06-10-2016</t>
  </si>
  <si>
    <t>APPROVED BY ITA EMIE 06-23-2016</t>
  </si>
  <si>
    <t>SUBMITTED MAYORS PERMIT CO-OP 06-17-2016</t>
  </si>
  <si>
    <t>APPROVED BY TITA EMI 06-23-2016 / RELATIVE OF BIDDER (1602)</t>
  </si>
  <si>
    <t>BIDDER (1133)</t>
  </si>
  <si>
    <t>APPROVED VIA CALL 06-28-2016</t>
  </si>
  <si>
    <t>BIDDER (1332)</t>
  </si>
  <si>
    <t>DTI 07-11-2016</t>
  </si>
  <si>
    <t>MAYORS PERMIT/DTI 07-11-2016</t>
  </si>
  <si>
    <t>DTI 10-13-16</t>
  </si>
  <si>
    <t>DTI 08-02-2016</t>
  </si>
  <si>
    <t>DTI 07-29-2016</t>
  </si>
  <si>
    <t>DTI 9-29-16</t>
  </si>
  <si>
    <t>dti 09-01-2016</t>
  </si>
  <si>
    <t>DTI 08-18-16</t>
  </si>
  <si>
    <t>WITH BIDDER 694 SAME OWNER</t>
  </si>
  <si>
    <t>DTI AUG 12 2016</t>
  </si>
  <si>
    <t>DTI 11-18-2016</t>
  </si>
  <si>
    <t>DTI 08-18-16 SISTER OF THE OWNER</t>
  </si>
  <si>
    <t>WITH BIDDER 1547</t>
  </si>
  <si>
    <t>BIDDER 096</t>
  </si>
  <si>
    <t>DTI SEPT 8-2016</t>
  </si>
  <si>
    <t>1669 - same bidder</t>
  </si>
  <si>
    <t>1786 - same bidder</t>
  </si>
  <si>
    <t>APPROVED SIR TOM - 9-22-16</t>
  </si>
  <si>
    <t>BIDDER 1628</t>
  </si>
  <si>
    <t>1628 - SAME BIDDER - DTI 9-22-16</t>
  </si>
  <si>
    <t>SAME BIDDER 1807</t>
  </si>
  <si>
    <t>WIFE OF BIDDER 1323</t>
  </si>
  <si>
    <t>APPROVED MAM EMIE - 9-22-16</t>
  </si>
  <si>
    <t>1282 SAME BIDDER</t>
  </si>
  <si>
    <t>DTI - 9-22-16 / IBANG NAME SA DTI</t>
  </si>
  <si>
    <t>DTI 10-19-16</t>
  </si>
  <si>
    <t>DTI 10-20-16</t>
  </si>
  <si>
    <t>DTI 10-6-16</t>
  </si>
  <si>
    <t>DTI 10-26-16</t>
  </si>
  <si>
    <t>DTI 11-17-16</t>
  </si>
  <si>
    <t>WITH 1806</t>
  </si>
  <si>
    <t>APPROVED MADAM EMIE / 10-27-16</t>
  </si>
  <si>
    <t>HUSBAND OF BIDDER (1755)</t>
  </si>
  <si>
    <t>DTI / 11-10-16</t>
  </si>
  <si>
    <t>MAYORS PERMIT / 11-10-16</t>
  </si>
  <si>
    <t>WIFE OF 1885</t>
  </si>
  <si>
    <t>MAYORS PERMIT 11-17-16</t>
  </si>
  <si>
    <t>WIFE OF 1504</t>
  </si>
  <si>
    <t>SEC REGISTRATION / MAYORS PERMIT / 11-17-16</t>
  </si>
  <si>
    <t>DTI BIÑAN AND BACOOR</t>
  </si>
  <si>
    <t>DTI 12-1-16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</si>
</sst>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&quot;₱&quot;* #,##0.00_-;\-&quot;₱&quot;* #,##0.00_-;_-&quot;₱&quot;* &quot;-&quot;??_-;_-@"/>
    <numFmt numFmtId="165" formatCode="000"/>
    <numFmt numFmtId="166" formatCode="_(* #,##0_);_(* \(#,##0\);_(* &quot;-&quot;_);_(@_)"/>
    <numFmt numFmtId="167" formatCode="0000"/>
    <numFmt numFmtId="168" formatCode="[$-3409]mmmm\ dd\,\ yyyy"/>
    <numFmt numFmtId="169" formatCode="_(* #,##0.00_);_(* \(#,##0.00\);_(* &quot;-&quot;??_);_(@_)"/>
    <numFmt numFmtId="170" formatCode="_([$PhP-464]* #,##0.00_);_([$PhP-464]* \(#,##0.00\);_([$PhP-464]* &quot;-&quot;??_);_(@_)"/>
  </numFmts>
  <fonts count="38">
    <font>
      <sz val="11.0"/>
      <color theme="1"/>
      <name val="Calibri"/>
      <scheme val="minor"/>
    </font>
    <font>
      <b/>
      <sz val="10.0"/>
      <color theme="1"/>
      <name val="Arial"/>
    </font>
    <font>
      <b/>
      <sz val="12.0"/>
      <color theme="1"/>
      <name val="Arial"/>
    </font>
    <font>
      <b/>
      <sz val="12.0"/>
      <color theme="1"/>
      <name val="Calibri"/>
    </font>
    <font>
      <sz val="10.0"/>
      <color theme="1"/>
      <name val="Arial"/>
    </font>
    <font/>
    <font>
      <sz val="6.0"/>
      <color theme="1"/>
      <name val="Arial"/>
    </font>
    <font>
      <sz val="8.0"/>
      <color theme="1"/>
      <name val="Arial"/>
    </font>
    <font>
      <sz val="7.0"/>
      <color theme="1"/>
      <name val="Arial"/>
    </font>
    <font>
      <color theme="1"/>
      <name val="Calibri"/>
      <scheme val="minor"/>
    </font>
    <font>
      <b/>
      <sz val="12.0"/>
      <color theme="0"/>
      <name val="Arial"/>
    </font>
    <font>
      <b/>
      <sz val="20.0"/>
      <color theme="0"/>
      <name val="Arial"/>
    </font>
    <font>
      <b/>
      <sz val="20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sz val="20.0"/>
      <color theme="1"/>
      <name val="Arial"/>
    </font>
    <font>
      <b/>
      <sz val="15.0"/>
      <color theme="1"/>
      <name val="Arial"/>
    </font>
    <font>
      <sz val="12.0"/>
      <color theme="0"/>
      <name val="Arial"/>
    </font>
    <font>
      <sz val="9.0"/>
      <color theme="1"/>
      <name val="Arial"/>
    </font>
    <font>
      <b/>
      <sz val="20.0"/>
      <color rgb="FFFF0000"/>
      <name val="Arial"/>
    </font>
    <font>
      <sz val="12.0"/>
      <color rgb="FFFF0000"/>
      <name val="Arial"/>
    </font>
    <font>
      <b/>
      <sz val="15.0"/>
      <color rgb="FFFF0000"/>
      <name val="Arial"/>
    </font>
    <font>
      <b/>
      <sz val="9.0"/>
      <color theme="1"/>
      <name val="Calibri"/>
    </font>
    <font>
      <b/>
      <sz val="9.0"/>
      <color theme="0"/>
      <name val="Calibri"/>
    </font>
    <font>
      <b/>
      <sz val="20.0"/>
      <color theme="1"/>
      <name val="Calibri"/>
    </font>
    <font>
      <b/>
      <sz val="14.0"/>
      <color theme="1"/>
      <name val="Calibri"/>
    </font>
    <font>
      <b/>
      <sz val="14.0"/>
      <color theme="0"/>
      <name val="Calibri"/>
    </font>
    <font>
      <sz val="11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  <font>
      <b/>
      <sz val="11.0"/>
      <color rgb="FF0C0C0C"/>
      <name val="Calibri"/>
    </font>
    <font>
      <sz val="8.0"/>
      <color theme="1"/>
      <name val="Calibri"/>
    </font>
    <font>
      <b/>
      <sz val="19.0"/>
      <color theme="1"/>
      <name val="Arial"/>
    </font>
    <font>
      <sz val="16.0"/>
      <color theme="1"/>
      <name val="Calibri"/>
    </font>
    <font>
      <b/>
      <sz val="16.0"/>
      <color theme="1"/>
      <name val="Calibri"/>
    </font>
    <font>
      <sz val="18.0"/>
      <color theme="1"/>
      <name val="Calibri"/>
    </font>
    <font>
      <b/>
      <sz val="7.0"/>
      <color theme="1"/>
      <name val="Arial"/>
    </font>
    <font>
      <sz val="7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C0C0C"/>
        <bgColor rgb="FF0C0C0C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548DD4"/>
        <bgColor rgb="FF548DD4"/>
      </patternFill>
    </fill>
    <fill>
      <patternFill patternType="solid">
        <fgColor rgb="FF7030A0"/>
        <bgColor rgb="FF7030A0"/>
      </patternFill>
    </fill>
    <fill>
      <patternFill patternType="solid">
        <fgColor rgb="FF938953"/>
        <bgColor rgb="FF938953"/>
      </patternFill>
    </fill>
    <fill>
      <patternFill patternType="solid">
        <fgColor rgb="FFB2A1C7"/>
        <bgColor rgb="FFB2A1C7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right" shrinkToFit="0" vertical="center" wrapText="1"/>
    </xf>
    <xf borderId="3" fillId="0" fontId="3" numFmtId="165" xfId="0" applyAlignment="1" applyBorder="1" applyFont="1" applyNumberFormat="1">
      <alignment horizontal="center" shrinkToFit="0" vertical="center" wrapText="1"/>
    </xf>
    <xf borderId="1" fillId="2" fontId="1" numFmtId="12" xfId="0" applyAlignment="1" applyBorder="1" applyFont="1" applyNumberFormat="1">
      <alignment horizontal="center" shrinkToFit="0" vertical="center" wrapText="1"/>
    </xf>
    <xf borderId="4" fillId="0" fontId="2" numFmtId="3" xfId="0" applyAlignment="1" applyBorder="1" applyFont="1" applyNumberFormat="1">
      <alignment horizontal="right" shrinkToFit="0" vertical="center" wrapText="1"/>
    </xf>
    <xf borderId="5" fillId="3" fontId="4" numFmtId="165" xfId="0" applyAlignment="1" applyBorder="1" applyFill="1" applyFont="1" applyNumberFormat="1">
      <alignment horizontal="center" shrinkToFit="0" vertical="center" wrapText="1"/>
    </xf>
    <xf borderId="5" fillId="3" fontId="2" numFmtId="166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6" fillId="0" fontId="5" numFmtId="0" xfId="0" applyBorder="1" applyFont="1"/>
    <xf borderId="2" fillId="4" fontId="1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5" fillId="0" fontId="4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" fillId="0" fontId="4" numFmtId="165" xfId="0" applyAlignment="1" applyBorder="1" applyFont="1" applyNumberFormat="1">
      <alignment horizontal="center" shrinkToFit="0" vertical="center" wrapText="1"/>
    </xf>
    <xf borderId="9" fillId="0" fontId="4" numFmtId="12" xfId="0" applyAlignment="1" applyBorder="1" applyFont="1" applyNumberFormat="1">
      <alignment horizontal="center" shrinkToFit="0" vertical="center" wrapText="1"/>
    </xf>
    <xf borderId="10" fillId="0" fontId="4" numFmtId="3" xfId="0" applyAlignment="1" applyBorder="1" applyFont="1" applyNumberFormat="1">
      <alignment horizontal="right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5" fillId="0" fontId="4" numFmtId="167" xfId="0" applyAlignment="1" applyBorder="1" applyFont="1" applyNumberFormat="1">
      <alignment horizontal="center" shrinkToFit="0" vertical="center" wrapText="1"/>
    </xf>
    <xf borderId="11" fillId="5" fontId="4" numFmtId="49" xfId="0" applyAlignment="1" applyBorder="1" applyFill="1" applyFont="1" applyNumberFormat="1">
      <alignment horizontal="center" readingOrder="0" shrinkToFit="0" vertical="center" wrapText="1"/>
    </xf>
    <xf borderId="11" fillId="5" fontId="4" numFmtId="0" xfId="0" applyAlignment="1" applyBorder="1" applyFont="1">
      <alignment horizontal="center" readingOrder="0" shrinkToFit="0" vertical="center" wrapText="1"/>
    </xf>
    <xf borderId="5" fillId="0" fontId="4" numFmtId="167" xfId="0" applyAlignment="1" applyBorder="1" applyFont="1" applyNumberFormat="1">
      <alignment horizontal="center" readingOrder="0" shrinkToFit="0" vertical="center" wrapText="1"/>
    </xf>
    <xf borderId="11" fillId="5" fontId="4" numFmtId="12" xfId="0" applyAlignment="1" applyBorder="1" applyFont="1" applyNumberFormat="1">
      <alignment horizontal="center" readingOrder="0" shrinkToFit="0" vertical="center" wrapText="1"/>
    </xf>
    <xf borderId="12" fillId="5" fontId="4" numFmtId="3" xfId="0" applyAlignment="1" applyBorder="1" applyFont="1" applyNumberFormat="1">
      <alignment horizontal="right" readingOrder="0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1" fillId="5" fontId="8" numFmtId="0" xfId="0" applyAlignment="1" applyBorder="1" applyFont="1">
      <alignment horizontal="center" shrinkToFit="0" vertical="center" wrapText="1"/>
    </xf>
    <xf borderId="11" fillId="5" fontId="4" numFmtId="168" xfId="0" applyAlignment="1" applyBorder="1" applyFont="1" applyNumberFormat="1">
      <alignment horizontal="center" shrinkToFit="0" vertical="center" wrapText="1"/>
    </xf>
    <xf borderId="11" fillId="0" fontId="4" numFmtId="167" xfId="0" applyAlignment="1" applyBorder="1" applyFont="1" applyNumberFormat="1">
      <alignment horizontal="center" shrinkToFit="0" vertical="center" wrapText="1"/>
    </xf>
    <xf borderId="10" fillId="0" fontId="4" numFmtId="167" xfId="0" applyAlignment="1" applyBorder="1" applyFont="1" applyNumberFormat="1">
      <alignment horizontal="center" shrinkToFit="0" vertical="center" wrapText="1"/>
    </xf>
    <xf borderId="11" fillId="5" fontId="4" numFmtId="49" xfId="0" applyAlignment="1" applyBorder="1" applyFont="1" applyNumberFormat="1">
      <alignment horizontal="center" shrinkToFit="0" vertical="center" wrapText="1"/>
    </xf>
    <xf borderId="11" fillId="5" fontId="4" numFmtId="0" xfId="0" applyAlignment="1" applyBorder="1" applyFont="1">
      <alignment horizontal="center" shrinkToFit="0" vertical="center" wrapText="1"/>
    </xf>
    <xf borderId="11" fillId="5" fontId="4" numFmtId="12" xfId="0" applyAlignment="1" applyBorder="1" applyFont="1" applyNumberFormat="1">
      <alignment horizontal="center" shrinkToFit="0" vertical="center" wrapText="1"/>
    </xf>
    <xf borderId="12" fillId="5" fontId="4" numFmtId="3" xfId="0" applyAlignment="1" applyBorder="1" applyFont="1" applyNumberFormat="1">
      <alignment horizontal="right" shrinkToFit="0" vertical="center" wrapText="1"/>
    </xf>
    <xf borderId="12" fillId="5" fontId="4" numFmtId="49" xfId="0" applyAlignment="1" applyBorder="1" applyFont="1" applyNumberFormat="1">
      <alignment horizontal="center" shrinkToFit="0" vertical="center" wrapText="1"/>
    </xf>
    <xf borderId="12" fillId="5" fontId="4" numFmtId="0" xfId="0" applyAlignment="1" applyBorder="1" applyFont="1">
      <alignment horizontal="center" shrinkToFit="0" vertical="center" wrapText="1"/>
    </xf>
    <xf borderId="12" fillId="5" fontId="4" numFmtId="12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2" fillId="5" fontId="4" numFmtId="167" xfId="0" applyAlignment="1" applyBorder="1" applyFont="1" applyNumberFormat="1">
      <alignment horizontal="center" shrinkToFit="0" vertical="center" wrapText="1"/>
    </xf>
    <xf borderId="13" fillId="5" fontId="4" numFmtId="0" xfId="0" applyAlignment="1" applyBorder="1" applyFont="1">
      <alignment horizontal="center" shrinkToFit="0" vertical="center" wrapText="1"/>
    </xf>
    <xf borderId="13" fillId="5" fontId="4" numFmtId="49" xfId="0" applyAlignment="1" applyBorder="1" applyFont="1" applyNumberFormat="1">
      <alignment horizontal="center" shrinkToFit="0" vertical="center" wrapText="1"/>
    </xf>
    <xf borderId="0" fillId="0" fontId="9" numFmtId="0" xfId="0" applyFont="1"/>
    <xf borderId="0" fillId="0" fontId="4" numFmtId="12" xfId="0" applyAlignment="1" applyFont="1" applyNumberFormat="1">
      <alignment horizontal="center" shrinkToFit="0" vertical="center" wrapText="1"/>
    </xf>
    <xf borderId="12" fillId="5" fontId="8" numFmtId="0" xfId="0" applyAlignment="1" applyBorder="1" applyFont="1">
      <alignment horizontal="center" shrinkToFit="0" vertical="center" wrapText="1"/>
    </xf>
    <xf borderId="12" fillId="5" fontId="4" numFmtId="168" xfId="0" applyAlignment="1" applyBorder="1" applyFont="1" applyNumberFormat="1">
      <alignment horizontal="center" shrinkToFit="0" vertical="center" wrapText="1"/>
    </xf>
    <xf borderId="14" fillId="6" fontId="10" numFmtId="0" xfId="0" applyAlignment="1" applyBorder="1" applyFill="1" applyFon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14" fillId="6" fontId="11" numFmtId="0" xfId="0" applyAlignment="1" applyBorder="1" applyFont="1">
      <alignment horizontal="center" vertical="center"/>
    </xf>
    <xf borderId="11" fillId="7" fontId="12" numFmtId="9" xfId="0" applyAlignment="1" applyBorder="1" applyFill="1" applyFont="1" applyNumberFormat="1">
      <alignment horizontal="center" vertical="center"/>
    </xf>
    <xf borderId="17" fillId="7" fontId="13" numFmtId="9" xfId="0" applyAlignment="1" applyBorder="1" applyFont="1" applyNumberFormat="1">
      <alignment horizontal="center" vertical="center"/>
    </xf>
    <xf borderId="17" fillId="6" fontId="11" numFmtId="0" xfId="0" applyAlignment="1" applyBorder="1" applyFont="1">
      <alignment vertical="center"/>
    </xf>
    <xf borderId="0" fillId="0" fontId="14" numFmtId="0" xfId="0" applyFont="1"/>
    <xf borderId="11" fillId="0" fontId="4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shrinkToFit="0" wrapText="1"/>
    </xf>
    <xf borderId="11" fillId="8" fontId="15" numFmtId="9" xfId="0" applyAlignment="1" applyBorder="1" applyFill="1" applyFont="1" applyNumberFormat="1">
      <alignment horizontal="center" vertical="center"/>
    </xf>
    <xf borderId="19" fillId="8" fontId="15" numFmtId="9" xfId="0" applyAlignment="1" applyBorder="1" applyFont="1" applyNumberFormat="1">
      <alignment horizontal="center" vertical="center"/>
    </xf>
    <xf borderId="20" fillId="0" fontId="4" numFmtId="0" xfId="0" applyAlignment="1" applyBorder="1" applyFont="1">
      <alignment horizontal="center" shrinkToFit="0" wrapText="1"/>
    </xf>
    <xf borderId="11" fillId="0" fontId="14" numFmtId="0" xfId="0" applyAlignment="1" applyBorder="1" applyFont="1">
      <alignment horizontal="center" shrinkToFit="0" wrapText="1"/>
    </xf>
    <xf borderId="8" fillId="0" fontId="12" numFmtId="165" xfId="0" applyAlignment="1" applyBorder="1" applyFont="1" applyNumberFormat="1">
      <alignment horizontal="center" vertical="center"/>
    </xf>
    <xf borderId="11" fillId="0" fontId="12" numFmtId="165" xfId="0" applyAlignment="1" applyBorder="1" applyFont="1" applyNumberFormat="1">
      <alignment horizontal="center" vertical="center"/>
    </xf>
    <xf borderId="11" fillId="0" fontId="14" numFmtId="0" xfId="0" applyAlignment="1" applyBorder="1" applyFont="1">
      <alignment horizontal="left" vertical="center"/>
    </xf>
    <xf borderId="11" fillId="0" fontId="14" numFmtId="49" xfId="0" applyAlignment="1" applyBorder="1" applyFont="1" applyNumberFormat="1">
      <alignment horizontal="left" vertical="center"/>
    </xf>
    <xf borderId="11" fillId="0" fontId="16" numFmtId="9" xfId="0" applyAlignment="1" applyBorder="1" applyFont="1" applyNumberFormat="1">
      <alignment horizontal="center" vertical="center"/>
    </xf>
    <xf borderId="11" fillId="0" fontId="16" numFmtId="3" xfId="0" applyAlignment="1" applyBorder="1" applyFont="1" applyNumberFormat="1">
      <alignment horizontal="center" vertical="center"/>
    </xf>
    <xf borderId="11" fillId="0" fontId="14" numFmtId="0" xfId="0" applyAlignment="1" applyBorder="1" applyFont="1">
      <alignment horizontal="center" shrinkToFit="0" vertical="center" wrapText="1"/>
    </xf>
    <xf borderId="11" fillId="0" fontId="14" numFmtId="49" xfId="0" applyAlignment="1" applyBorder="1" applyFont="1" applyNumberFormat="1">
      <alignment shrinkToFit="0" vertical="center" wrapText="1"/>
    </xf>
    <xf borderId="11" fillId="0" fontId="2" numFmtId="49" xfId="0" applyAlignment="1" applyBorder="1" applyFont="1" applyNumberFormat="1">
      <alignment horizontal="left" vertical="center"/>
    </xf>
    <xf borderId="11" fillId="0" fontId="2" numFmtId="0" xfId="0" applyAlignment="1" applyBorder="1" applyFont="1">
      <alignment horizontal="left" vertical="center"/>
    </xf>
    <xf borderId="11" fillId="0" fontId="2" numFmtId="0" xfId="0" applyAlignment="1" applyBorder="1" applyFont="1">
      <alignment horizontal="center" shrinkToFit="0" vertical="center" wrapText="1"/>
    </xf>
    <xf borderId="11" fillId="0" fontId="11" numFmtId="165" xfId="0" applyAlignment="1" applyBorder="1" applyFont="1" applyNumberFormat="1">
      <alignment horizontal="center" vertical="center"/>
    </xf>
    <xf borderId="11" fillId="0" fontId="17" numFmtId="0" xfId="0" applyAlignment="1" applyBorder="1" applyFont="1">
      <alignment horizontal="left" vertical="center"/>
    </xf>
    <xf borderId="11" fillId="0" fontId="10" numFmtId="49" xfId="0" applyAlignment="1" applyBorder="1" applyFont="1" applyNumberFormat="1">
      <alignment horizontal="left" vertical="center"/>
    </xf>
    <xf borderId="11" fillId="0" fontId="10" numFmtId="0" xfId="0" applyAlignment="1" applyBorder="1" applyFont="1">
      <alignment horizontal="left" vertical="center"/>
    </xf>
    <xf borderId="11" fillId="0" fontId="10" numFmtId="0" xfId="0" applyAlignment="1" applyBorder="1" applyFont="1">
      <alignment horizontal="center" shrinkToFit="0" vertical="center" wrapText="1"/>
    </xf>
    <xf borderId="11" fillId="0" fontId="14" numFmtId="17" xfId="0" applyAlignment="1" applyBorder="1" applyFont="1" applyNumberFormat="1">
      <alignment horizontal="center" shrinkToFit="0" vertical="center" wrapText="1"/>
    </xf>
    <xf borderId="11" fillId="0" fontId="18" numFmtId="49" xfId="0" applyAlignment="1" applyBorder="1" applyFont="1" applyNumberFormat="1">
      <alignment shrinkToFit="0" vertical="center" wrapText="1"/>
    </xf>
    <xf borderId="11" fillId="0" fontId="14" numFmtId="14" xfId="0" applyAlignment="1" applyBorder="1" applyFont="1" applyNumberFormat="1">
      <alignment horizontal="center" shrinkToFit="0" vertical="center" wrapText="1"/>
    </xf>
    <xf borderId="5" fillId="0" fontId="12" numFmtId="165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horizontal="left" vertical="center"/>
    </xf>
    <xf borderId="5" fillId="0" fontId="14" numFmtId="49" xfId="0" applyAlignment="1" applyBorder="1" applyFont="1" applyNumberFormat="1">
      <alignment horizontal="left" vertical="center"/>
    </xf>
    <xf borderId="5" fillId="0" fontId="14" numFmtId="0" xfId="0" applyAlignment="1" applyBorder="1" applyFont="1">
      <alignment horizontal="center" shrinkToFit="0" vertical="center" wrapText="1"/>
    </xf>
    <xf borderId="5" fillId="0" fontId="14" numFmtId="49" xfId="0" applyAlignment="1" applyBorder="1" applyFont="1" applyNumberFormat="1">
      <alignment shrinkToFit="0" vertical="center" wrapText="1"/>
    </xf>
    <xf borderId="5" fillId="0" fontId="14" numFmtId="14" xfId="0" applyAlignment="1" applyBorder="1" applyFont="1" applyNumberFormat="1">
      <alignment horizontal="center" shrinkToFit="0" vertical="center" wrapText="1"/>
    </xf>
    <xf borderId="11" fillId="7" fontId="16" numFmtId="9" xfId="0" applyAlignment="1" applyBorder="1" applyFont="1" applyNumberFormat="1">
      <alignment horizontal="center" vertical="center"/>
    </xf>
    <xf borderId="11" fillId="7" fontId="16" numFmtId="3" xfId="0" applyAlignment="1" applyBorder="1" applyFont="1" applyNumberFormat="1">
      <alignment horizontal="center" vertical="center"/>
    </xf>
    <xf borderId="11" fillId="6" fontId="11" numFmtId="165" xfId="0" applyAlignment="1" applyBorder="1" applyFont="1" applyNumberFormat="1">
      <alignment horizontal="center" vertical="center"/>
    </xf>
    <xf borderId="11" fillId="6" fontId="10" numFmtId="49" xfId="0" applyAlignment="1" applyBorder="1" applyFont="1" applyNumberFormat="1">
      <alignment horizontal="left" vertical="center"/>
    </xf>
    <xf borderId="11" fillId="6" fontId="10" numFmtId="0" xfId="0" applyAlignment="1" applyBorder="1" applyFont="1">
      <alignment horizontal="left" vertical="center"/>
    </xf>
    <xf borderId="11" fillId="6" fontId="10" numFmtId="0" xfId="0" applyAlignment="1" applyBorder="1" applyFont="1">
      <alignment horizontal="center" shrinkToFit="0" vertical="center" wrapText="1"/>
    </xf>
    <xf borderId="11" fillId="6" fontId="14" numFmtId="49" xfId="0" applyAlignment="1" applyBorder="1" applyFont="1" applyNumberFormat="1">
      <alignment shrinkToFit="0" vertical="center" wrapText="1"/>
    </xf>
    <xf borderId="11" fillId="9" fontId="14" numFmtId="49" xfId="0" applyAlignment="1" applyBorder="1" applyFill="1" applyFont="1" applyNumberFormat="1">
      <alignment horizontal="left" vertical="center"/>
    </xf>
    <xf borderId="11" fillId="6" fontId="2" numFmtId="49" xfId="0" applyAlignment="1" applyBorder="1" applyFont="1" applyNumberFormat="1">
      <alignment horizontal="left" vertical="center"/>
    </xf>
    <xf borderId="11" fillId="6" fontId="2" numFmtId="0" xfId="0" applyAlignment="1" applyBorder="1" applyFont="1">
      <alignment horizontal="left" vertical="center"/>
    </xf>
    <xf borderId="11" fillId="6" fontId="17" numFmtId="0" xfId="0" applyAlignment="1" applyBorder="1" applyFont="1">
      <alignment horizontal="center" shrinkToFit="0" vertical="center" wrapText="1"/>
    </xf>
    <xf borderId="11" fillId="10" fontId="2" numFmtId="49" xfId="0" applyAlignment="1" applyBorder="1" applyFill="1" applyFont="1" applyNumberFormat="1">
      <alignment horizontal="left" vertical="center"/>
    </xf>
    <xf borderId="11" fillId="10" fontId="14" numFmtId="49" xfId="0" applyAlignment="1" applyBorder="1" applyFont="1" applyNumberFormat="1">
      <alignment horizontal="left" vertical="center"/>
    </xf>
    <xf borderId="11" fillId="8" fontId="16" numFmtId="9" xfId="0" applyAlignment="1" applyBorder="1" applyFont="1" applyNumberFormat="1">
      <alignment horizontal="center" vertical="center"/>
    </xf>
    <xf borderId="11" fillId="8" fontId="16" numFmtId="3" xfId="0" applyAlignment="1" applyBorder="1" applyFont="1" applyNumberFormat="1">
      <alignment horizontal="center" vertical="center"/>
    </xf>
    <xf borderId="11" fillId="11" fontId="14" numFmtId="0" xfId="0" applyAlignment="1" applyBorder="1" applyFill="1" applyFont="1">
      <alignment horizontal="center" shrinkToFit="0" vertical="center" wrapText="1"/>
    </xf>
    <xf borderId="11" fillId="11" fontId="14" numFmtId="49" xfId="0" applyAlignment="1" applyBorder="1" applyFont="1" applyNumberFormat="1">
      <alignment shrinkToFit="0" vertical="center" wrapText="1"/>
    </xf>
    <xf borderId="11" fillId="11" fontId="12" numFmtId="165" xfId="0" applyAlignment="1" applyBorder="1" applyFont="1" applyNumberFormat="1">
      <alignment horizontal="center" vertical="center"/>
    </xf>
    <xf borderId="11" fillId="11" fontId="14" numFmtId="0" xfId="0" applyAlignment="1" applyBorder="1" applyFont="1">
      <alignment horizontal="left" vertical="center"/>
    </xf>
    <xf borderId="12" fillId="12" fontId="19" numFmtId="165" xfId="0" applyAlignment="1" applyBorder="1" applyFill="1" applyFont="1" applyNumberFormat="1">
      <alignment horizontal="center" vertical="center"/>
    </xf>
    <xf borderId="12" fillId="12" fontId="20" numFmtId="0" xfId="0" applyAlignment="1" applyBorder="1" applyFont="1">
      <alignment horizontal="left" vertical="center"/>
    </xf>
    <xf borderId="11" fillId="12" fontId="21" numFmtId="9" xfId="0" applyAlignment="1" applyBorder="1" applyFont="1" applyNumberFormat="1">
      <alignment horizontal="center" vertical="center"/>
    </xf>
    <xf borderId="11" fillId="12" fontId="21" numFmtId="3" xfId="0" applyAlignment="1" applyBorder="1" applyFont="1" applyNumberFormat="1">
      <alignment horizontal="center" vertical="center"/>
    </xf>
    <xf borderId="12" fillId="12" fontId="20" numFmtId="0" xfId="0" applyAlignment="1" applyBorder="1" applyFont="1">
      <alignment horizontal="center" shrinkToFit="0" vertical="center" wrapText="1"/>
    </xf>
    <xf borderId="12" fillId="12" fontId="20" numFmtId="49" xfId="0" applyAlignment="1" applyBorder="1" applyFont="1" applyNumberFormat="1">
      <alignment shrinkToFit="0" vertical="center" wrapText="1"/>
    </xf>
    <xf borderId="11" fillId="13" fontId="22" numFmtId="165" xfId="0" applyAlignment="1" applyBorder="1" applyFill="1" applyFont="1" applyNumberFormat="1">
      <alignment horizontal="center" shrinkToFit="0" vertical="center" wrapText="1"/>
    </xf>
    <xf borderId="11" fillId="14" fontId="22" numFmtId="0" xfId="0" applyAlignment="1" applyBorder="1" applyFill="1" applyFont="1">
      <alignment horizontal="center" shrinkToFit="0" vertical="center" wrapText="1"/>
    </xf>
    <xf borderId="11" fillId="7" fontId="22" numFmtId="0" xfId="0" applyAlignment="1" applyBorder="1" applyFont="1">
      <alignment horizontal="center" vertical="center"/>
    </xf>
    <xf borderId="11" fillId="15" fontId="23" numFmtId="0" xfId="0" applyAlignment="1" applyBorder="1" applyFill="1" applyFont="1">
      <alignment horizontal="center" vertical="center"/>
    </xf>
    <xf borderId="11" fillId="16" fontId="23" numFmtId="169" xfId="0" applyAlignment="1" applyBorder="1" applyFill="1" applyFont="1" applyNumberFormat="1">
      <alignment horizontal="center" vertical="center"/>
    </xf>
    <xf borderId="11" fillId="17" fontId="22" numFmtId="0" xfId="0" applyAlignment="1" applyBorder="1" applyFill="1" applyFont="1">
      <alignment horizontal="center" vertical="center"/>
    </xf>
    <xf borderId="11" fillId="18" fontId="22" numFmtId="0" xfId="0" applyAlignment="1" applyBorder="1" applyFill="1" applyFont="1">
      <alignment horizontal="center" vertical="center"/>
    </xf>
    <xf borderId="13" fillId="7" fontId="22" numFmtId="0" xfId="0" applyAlignment="1" applyBorder="1" applyFont="1">
      <alignment horizontal="center" shrinkToFit="0" vertical="center" wrapText="1"/>
    </xf>
    <xf borderId="11" fillId="13" fontId="24" numFmtId="1" xfId="0" applyAlignment="1" applyBorder="1" applyFont="1" applyNumberFormat="1">
      <alignment horizontal="center" vertical="center"/>
    </xf>
    <xf borderId="11" fillId="14" fontId="25" numFmtId="49" xfId="0" applyAlignment="1" applyBorder="1" applyFont="1" applyNumberFormat="1">
      <alignment horizontal="center" vertical="center"/>
    </xf>
    <xf borderId="11" fillId="7" fontId="25" numFmtId="170" xfId="0" applyAlignment="1" applyBorder="1" applyFont="1" applyNumberFormat="1">
      <alignment horizontal="right" vertical="center"/>
    </xf>
    <xf borderId="11" fillId="0" fontId="25" numFmtId="0" xfId="0" applyAlignment="1" applyBorder="1" applyFont="1">
      <alignment horizontal="right" vertical="center"/>
    </xf>
    <xf borderId="11" fillId="16" fontId="26" numFmtId="170" xfId="0" applyAlignment="1" applyBorder="1" applyFont="1" applyNumberFormat="1">
      <alignment horizontal="right" vertical="center"/>
    </xf>
    <xf borderId="11" fillId="17" fontId="25" numFmtId="170" xfId="0" applyAlignment="1" applyBorder="1" applyFont="1" applyNumberFormat="1">
      <alignment horizontal="right" vertical="center"/>
    </xf>
    <xf borderId="11" fillId="18" fontId="25" numFmtId="170" xfId="0" applyAlignment="1" applyBorder="1" applyFont="1" applyNumberFormat="1">
      <alignment horizontal="right" vertical="center"/>
    </xf>
    <xf borderId="11" fillId="7" fontId="25" numFmtId="170" xfId="0" applyAlignment="1" applyBorder="1" applyFont="1" applyNumberFormat="1">
      <alignment horizontal="center" vertical="center"/>
    </xf>
    <xf borderId="0" fillId="0" fontId="27" numFmtId="165" xfId="0" applyFont="1" applyNumberFormat="1"/>
    <xf borderId="0" fillId="0" fontId="27" numFmtId="0" xfId="0" applyAlignment="1" applyFont="1">
      <alignment horizontal="center"/>
    </xf>
    <xf borderId="0" fillId="0" fontId="27" numFmtId="0" xfId="0" applyAlignment="1" applyFont="1">
      <alignment horizontal="right"/>
    </xf>
    <xf borderId="0" fillId="0" fontId="27" numFmtId="169" xfId="0" applyFont="1" applyNumberFormat="1"/>
    <xf borderId="0" fillId="0" fontId="27" numFmtId="0" xfId="0" applyFont="1"/>
    <xf borderId="8" fillId="0" fontId="28" numFmtId="0" xfId="0" applyAlignment="1" applyBorder="1" applyFont="1">
      <alignment horizontal="center" shrinkToFit="0" vertical="center" wrapText="1"/>
    </xf>
    <xf borderId="21" fillId="13" fontId="29" numFmtId="0" xfId="0" applyAlignment="1" applyBorder="1" applyFont="1">
      <alignment horizontal="center" shrinkToFit="0" vertical="center" wrapText="1"/>
    </xf>
    <xf borderId="22" fillId="14" fontId="30" numFmtId="0" xfId="0" applyAlignment="1" applyBorder="1" applyFont="1">
      <alignment horizontal="center" shrinkToFit="0" vertical="center" wrapText="1"/>
    </xf>
    <xf borderId="22" fillId="7" fontId="29" numFmtId="0" xfId="0" applyAlignment="1" applyBorder="1" applyFont="1">
      <alignment horizontal="center" shrinkToFit="0" vertical="center" wrapText="1"/>
    </xf>
    <xf borderId="8" fillId="0" fontId="29" numFmtId="0" xfId="0" applyAlignment="1" applyBorder="1" applyFont="1">
      <alignment horizontal="center" shrinkToFit="0" vertical="center" wrapText="1"/>
    </xf>
    <xf borderId="22" fillId="16" fontId="29" numFmtId="0" xfId="0" applyAlignment="1" applyBorder="1" applyFont="1">
      <alignment horizontal="center" shrinkToFit="0" vertical="center" wrapText="1"/>
    </xf>
    <xf borderId="22" fillId="17" fontId="29" numFmtId="0" xfId="0" applyAlignment="1" applyBorder="1" applyFont="1">
      <alignment horizontal="center" shrinkToFit="0" vertical="center" wrapText="1"/>
    </xf>
    <xf borderId="23" fillId="18" fontId="29" numFmtId="0" xfId="0" applyAlignment="1" applyBorder="1" applyFont="1">
      <alignment horizontal="center" shrinkToFit="0" vertical="center" wrapText="1"/>
    </xf>
    <xf borderId="11" fillId="0" fontId="31" numFmtId="0" xfId="0" applyAlignment="1" applyBorder="1" applyFont="1">
      <alignment vertical="top"/>
    </xf>
    <xf borderId="11" fillId="0" fontId="32" numFmtId="167" xfId="0" applyAlignment="1" applyBorder="1" applyFont="1" applyNumberFormat="1">
      <alignment horizontal="center" shrinkToFit="0" vertical="center" wrapText="1"/>
    </xf>
    <xf borderId="11" fillId="0" fontId="33" numFmtId="0" xfId="0" applyAlignment="1" applyBorder="1" applyFont="1">
      <alignment horizontal="center" vertical="center"/>
    </xf>
    <xf borderId="11" fillId="0" fontId="33" numFmtId="170" xfId="0" applyAlignment="1" applyBorder="1" applyFont="1" applyNumberFormat="1">
      <alignment horizontal="left"/>
    </xf>
    <xf borderId="11" fillId="0" fontId="33" numFmtId="0" xfId="0" applyAlignment="1" applyBorder="1" applyFont="1">
      <alignment horizontal="left"/>
    </xf>
    <xf borderId="11" fillId="0" fontId="34" numFmtId="170" xfId="0" applyAlignment="1" applyBorder="1" applyFont="1" applyNumberFormat="1">
      <alignment horizontal="left"/>
    </xf>
    <xf borderId="11" fillId="0" fontId="35" numFmtId="0" xfId="0" applyBorder="1" applyFont="1"/>
    <xf borderId="5" fillId="0" fontId="31" numFmtId="0" xfId="0" applyAlignment="1" applyBorder="1" applyFont="1">
      <alignment vertical="top"/>
    </xf>
    <xf borderId="5" fillId="0" fontId="32" numFmtId="167" xfId="0" applyAlignment="1" applyBorder="1" applyFont="1" applyNumberFormat="1">
      <alignment horizontal="center" shrinkToFit="0" vertical="center" wrapText="1"/>
    </xf>
    <xf borderId="5" fillId="0" fontId="33" numFmtId="0" xfId="0" applyAlignment="1" applyBorder="1" applyFont="1">
      <alignment horizontal="center" vertical="center"/>
    </xf>
    <xf borderId="5" fillId="0" fontId="33" numFmtId="170" xfId="0" applyAlignment="1" applyBorder="1" applyFont="1" applyNumberFormat="1">
      <alignment horizontal="left"/>
    </xf>
    <xf borderId="5" fillId="0" fontId="33" numFmtId="0" xfId="0" applyAlignment="1" applyBorder="1" applyFont="1">
      <alignment horizontal="left"/>
    </xf>
    <xf borderId="5" fillId="0" fontId="34" numFmtId="170" xfId="0" applyAlignment="1" applyBorder="1" applyFont="1" applyNumberFormat="1">
      <alignment horizontal="left"/>
    </xf>
    <xf borderId="5" fillId="0" fontId="35" numFmtId="0" xfId="0" applyBorder="1" applyFont="1"/>
    <xf borderId="0" fillId="0" fontId="27" numFmtId="167" xfId="0" applyFont="1" applyNumberFormat="1"/>
    <xf borderId="24" fillId="0" fontId="1" numFmtId="0" xfId="0" applyAlignment="1" applyBorder="1" applyFont="1">
      <alignment horizontal="center"/>
    </xf>
    <xf borderId="8" fillId="0" fontId="36" numFmtId="0" xfId="0" applyAlignment="1" applyBorder="1" applyFont="1">
      <alignment horizontal="center" shrinkToFit="0" wrapText="1"/>
    </xf>
    <xf borderId="11" fillId="0" fontId="15" numFmtId="0" xfId="0" applyAlignment="1" applyBorder="1" applyFont="1">
      <alignment horizontal="center"/>
    </xf>
    <xf borderId="11" fillId="0" fontId="15" numFmtId="9" xfId="0" applyAlignment="1" applyBorder="1" applyFont="1" applyNumberFormat="1">
      <alignment horizontal="center"/>
    </xf>
    <xf borderId="11" fillId="0" fontId="18" numFmtId="0" xfId="0" applyAlignment="1" applyBorder="1" applyFont="1">
      <alignment horizontal="center" shrinkToFit="0" wrapText="1"/>
    </xf>
    <xf borderId="5" fillId="0" fontId="15" numFmtId="0" xfId="0" applyAlignment="1" applyBorder="1" applyFont="1">
      <alignment horizontal="center"/>
    </xf>
    <xf borderId="5" fillId="0" fontId="18" numFmtId="0" xfId="0" applyAlignment="1" applyBorder="1" applyFont="1">
      <alignment horizontal="center" shrinkToFit="0" wrapText="1"/>
    </xf>
    <xf borderId="5" fillId="0" fontId="15" numFmtId="9" xfId="0" applyAlignment="1" applyBorder="1" applyFont="1" applyNumberFormat="1">
      <alignment horizontal="center"/>
    </xf>
    <xf borderId="5" fillId="0" fontId="18" numFmtId="14" xfId="0" applyAlignment="1" applyBorder="1" applyFont="1" applyNumberFormat="1">
      <alignment horizontal="center" shrinkToFit="0" wrapText="1"/>
    </xf>
    <xf borderId="0" fillId="0" fontId="37" numFmtId="0" xfId="0" applyAlignment="1" applyFont="1">
      <alignment horizontal="center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5">
    <tableStyle count="3" pivot="0" name="JANUARY 10, 2026-style">
      <tableStyleElement dxfId="1" type="headerRow"/>
      <tableStyleElement dxfId="2" type="firstRowStripe"/>
      <tableStyleElement dxfId="3" type="secondRowStripe"/>
    </tableStyle>
    <tableStyle count="3" pivot="0" name="BIÑAN INFO-style">
      <tableStyleElement dxfId="4" type="headerRow"/>
      <tableStyleElement dxfId="2" type="firstRowStripe"/>
      <tableStyleElement dxfId="3" type="secondRowStripe"/>
    </tableStyle>
    <tableStyle count="3" pivot="0" name="DASMA INFO-style">
      <tableStyleElement dxfId="4" type="headerRow"/>
      <tableStyleElement dxfId="2" type="firstRowStripe"/>
      <tableStyleElement dxfId="3" type="secondRowStripe"/>
    </tableStyle>
    <tableStyle count="3" pivot="0" name="REGISTERED BIDDERS-style">
      <tableStyleElement dxfId="5" type="headerRow"/>
      <tableStyleElement dxfId="2" type="firstRowStripe"/>
      <tableStyleElement dxfId="3" type="secondRowStripe"/>
    </tableStyle>
    <tableStyle count="3" pivot="0" name="5%-style">
      <tableStyleElement dxfId="5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L1189" displayName="Table_1" name="Table_1" id="1">
  <tableColumns count="12">
    <tableColumn name="1" id="1"/>
    <tableColumn name="BARCODE" id="2"/>
    <tableColumn name="CONTROL #" id="3"/>
    <tableColumn name="DESCRIPTION" id="4"/>
    <tableColumn name="BIDDER #" id="5"/>
    <tableColumn name="QTY" id="6"/>
    <tableColumn name="PRICE" id="7"/>
    <tableColumn name="MANIFEST NUMBER" id="8"/>
    <tableColumn name="REMARKS" id="9"/>
    <tableColumn name="DATE" id="10"/>
    <tableColumn name="REFUND" id="11"/>
    <tableColumn name="BIDDERS" id="12"/>
  </tableColumns>
  <tableStyleInfo name="JANUARY 10, 2026-style" showColumnStripes="0" showFirstColumn="1" showLastColumn="1" showRowStripes="1"/>
</table>
</file>

<file path=xl/tables/table2.xml><?xml version="1.0" encoding="utf-8"?>
<table xmlns="http://schemas.openxmlformats.org/spreadsheetml/2006/main" ref="A2:N1526" displayName="Table_2" name="Table_2" id="2">
  <tableColumns count="14">
    <tableColumn name="PALA-PALA BRANCH" id="1"/>
    <tableColumn name="BIÑAN BRANCH" id="2"/>
    <tableColumn name="BACOOR BRANCH" id="3"/>
    <tableColumn name="FULL NAME" id="4"/>
    <tableColumn name="FIRST NAME" id="5"/>
    <tableColumn name="MIDDLE NAME" id="6"/>
    <tableColumn name="LAST NAME" id="7"/>
    <tableColumn name="INITIALS / OTHERS" id="8"/>
    <tableColumn name="12%" id="9"/>
    <tableColumn name="FEE" id="10"/>
    <tableColumn name="DOCUMENTS SUBMITTED" id="11"/>
    <tableColumn name="MONTH" id="12"/>
    <tableColumn name="EXPIRED DATE" id="13"/>
    <tableColumn name="REMARKS" id="14"/>
  </tableColumns>
  <tableStyleInfo name="BIÑAN INFO-style" showColumnStripes="0" showFirstColumn="1" showLastColumn="1" showRowStripes="1"/>
</table>
</file>

<file path=xl/tables/table3.xml><?xml version="1.0" encoding="utf-8"?>
<table xmlns="http://schemas.openxmlformats.org/spreadsheetml/2006/main" ref="A2:N2160" displayName="Table_3" name="Table_3" id="3">
  <tableColumns count="14">
    <tableColumn name="PALA-PALA BRANCH" id="1"/>
    <tableColumn name="BIÑAN BRANCH" id="2"/>
    <tableColumn name="BACOOR BRANCH" id="3"/>
    <tableColumn name="FULL NAME" id="4"/>
    <tableColumn name="FIRST NAME" id="5"/>
    <tableColumn name="MIDDLE NAME" id="6"/>
    <tableColumn name="LAST NAME" id="7"/>
    <tableColumn name="INITIALS / OTHERS" id="8"/>
    <tableColumn name="12%" id="9"/>
    <tableColumn name="FEE" id="10"/>
    <tableColumn name="DOCUMENTS SUBMITTED" id="11"/>
    <tableColumn name="MONTH" id="12"/>
    <tableColumn name="EXPIRED DATE" id="13"/>
    <tableColumn name="REMARKS" id="14"/>
  </tableColumns>
  <tableStyleInfo name="DASMA INFO-style" showColumnStripes="0" showFirstColumn="1" showLastColumn="1" showRowStripes="1"/>
</table>
</file>

<file path=xl/tables/table4.xml><?xml version="1.0" encoding="utf-8"?>
<table xmlns="http://schemas.openxmlformats.org/spreadsheetml/2006/main" ref="A4:I83" displayName="Table_4" name="Table_4" id="4">
  <tableColumns count="9">
    <tableColumn name="CNT" id="1"/>
    <tableColumn name="BIDDER NO." id="2"/>
    <tableColumn name="NO. OF ITEMS" id="3"/>
    <tableColumn name="TOTAL PRICE" id="4"/>
    <tableColumn name="PERCENT" id="5"/>
    <tableColumn name="SERVICE CHARGE" id="6"/>
    <tableColumn name="REGISTRATION FEE" id="7"/>
    <tableColumn name="GRAND TOTAL" id="8"/>
    <tableColumn name="REMARKS_x000a_PAID / DATE" id="9"/>
  </tableColumns>
  <tableStyleInfo name="REGISTERED BIDDERS-style" showColumnStripes="0" showFirstColumn="1" showLastColumn="1" showRowStripes="1"/>
</table>
</file>

<file path=xl/tables/table5.xml><?xml version="1.0" encoding="utf-8"?>
<table xmlns="http://schemas.openxmlformats.org/spreadsheetml/2006/main" ref="A1:C308" displayName="Table_5" name="Table_5" id="5">
  <tableColumns count="3">
    <tableColumn name="BIDDER #  5%" id="1"/>
    <tableColumn name="Column1" id="2"/>
    <tableColumn name="REMARKS" id="3"/>
  </tableColumns>
  <tableStyleInfo name="5%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6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hidden="1" min="1" max="1" width="10.86"/>
    <col customWidth="1" min="2" max="2" width="13.57"/>
    <col customWidth="1" min="3" max="3" width="16.71"/>
    <col customWidth="1" min="4" max="4" width="29.0"/>
    <col customWidth="1" min="5" max="5" width="15.71"/>
    <col customWidth="1" min="6" max="6" width="13.29"/>
    <col customWidth="1" min="7" max="7" width="15.71"/>
    <col customWidth="1" min="8" max="8" width="8.29"/>
    <col customWidth="1" min="9" max="9" width="19.29"/>
    <col customWidth="1" min="10" max="10" width="21.43"/>
    <col customWidth="1" min="11" max="11" width="11.57"/>
    <col customWidth="1" min="12" max="12" width="13.14"/>
    <col customWidth="1" min="13" max="26" width="9.14"/>
  </cols>
  <sheetData>
    <row r="1" ht="19.5" customHeight="1">
      <c r="A1" s="1"/>
      <c r="B1" s="1" t="s">
        <v>0</v>
      </c>
      <c r="C1" s="2">
        <f>SUM('JANUARY 10, 2026'!$G$4:$G$1189)</f>
        <v>0</v>
      </c>
      <c r="D1" s="3" t="s">
        <v>1</v>
      </c>
      <c r="E1" s="4">
        <f>MAX('JANUARY 10, 2026'!$G$4:$G$1189)</f>
        <v>0</v>
      </c>
      <c r="F1" s="5" t="s">
        <v>2</v>
      </c>
      <c r="G1" s="6">
        <f>COUNT('JANUARY 10, 2026'!$G$4:$G$1189)</f>
        <v>0</v>
      </c>
      <c r="H1" s="7"/>
      <c r="I1" s="8" t="str">
        <f>CONCATENATE("P"," ",SUMIF('JANUARY 10, 2026'!$E$4:$E$1189,H1,'JANUARY 10, 2026'!$G$4:$G$1189))</f>
        <v>P 0</v>
      </c>
      <c r="J1" s="9" t="str">
        <f>CONCATENATE(COUNTIF('JANUARY 10, 2026'!$E$4:$E$1189,H1)," ","PCS")</f>
        <v>0 PCS</v>
      </c>
      <c r="K1" s="10"/>
      <c r="L1" s="10">
        <f>COUNT(L4:L1079)</f>
        <v>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9.5" customHeight="1">
      <c r="A2" s="11"/>
      <c r="B2" s="11"/>
      <c r="C2" s="11"/>
      <c r="D2" s="12" t="s">
        <v>3</v>
      </c>
      <c r="E2" s="13"/>
      <c r="F2" s="11"/>
      <c r="G2" s="14"/>
      <c r="H2" s="15"/>
      <c r="I2" s="15"/>
      <c r="J2" s="15"/>
      <c r="K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5.5" customHeight="1">
      <c r="A3" s="16" t="s">
        <v>4</v>
      </c>
      <c r="B3" s="17" t="s">
        <v>5</v>
      </c>
      <c r="C3" s="18" t="s">
        <v>6</v>
      </c>
      <c r="D3" s="19" t="s">
        <v>7</v>
      </c>
      <c r="E3" s="20" t="s">
        <v>8</v>
      </c>
      <c r="F3" s="21" t="s">
        <v>9</v>
      </c>
      <c r="G3" s="22" t="s">
        <v>10</v>
      </c>
      <c r="H3" s="23" t="s">
        <v>11</v>
      </c>
      <c r="I3" s="24" t="s">
        <v>12</v>
      </c>
      <c r="J3" s="24" t="s">
        <v>13</v>
      </c>
      <c r="K3" s="25" t="s">
        <v>14</v>
      </c>
      <c r="L3" s="25" t="s">
        <v>15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26" t="str">
        <f>LEFT('JANUARY 10, 2026'!$E9,FIND("-",'JANUARY 10, 2026'!$E9&amp;"-")-1)</f>
        <v/>
      </c>
      <c r="B4" s="27"/>
      <c r="C4" s="27"/>
      <c r="D4" s="28"/>
      <c r="E4" s="29"/>
      <c r="F4" s="30"/>
      <c r="G4" s="31"/>
      <c r="H4" s="32"/>
      <c r="I4" s="33"/>
      <c r="J4" s="34"/>
      <c r="K4" s="32"/>
      <c r="L4" s="35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36" t="str">
        <f>LEFT('JANUARY 10, 2026'!$E10,FIND("-",'JANUARY 10, 2026'!$E10&amp;"-")-1)</f>
        <v/>
      </c>
      <c r="B5" s="27"/>
      <c r="C5" s="27"/>
      <c r="D5" s="28"/>
      <c r="E5" s="29"/>
      <c r="F5" s="30"/>
      <c r="G5" s="31"/>
      <c r="H5" s="32"/>
      <c r="I5" s="33"/>
      <c r="J5" s="34"/>
      <c r="K5" s="32"/>
      <c r="L5" s="35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26" t="str">
        <f>LEFT('JANUARY 10, 2026'!$E125,FIND("-",'JANUARY 10, 2026'!$E125&amp;"-")-1)</f>
        <v/>
      </c>
      <c r="B6" s="37"/>
      <c r="C6" s="37"/>
      <c r="D6" s="38"/>
      <c r="E6" s="26"/>
      <c r="F6" s="39"/>
      <c r="G6" s="40"/>
      <c r="H6" s="32"/>
      <c r="I6" s="33"/>
      <c r="J6" s="34"/>
      <c r="K6" s="32"/>
      <c r="L6" s="35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36" t="str">
        <f>LEFT('JANUARY 10, 2026'!#REF!,FIND("-",'JANUARY 10, 2026'!#REF!&amp;"-")-1)</f>
        <v>#ERROR!</v>
      </c>
      <c r="B7" s="37"/>
      <c r="C7" s="37"/>
      <c r="D7" s="38"/>
      <c r="E7" s="26"/>
      <c r="F7" s="39"/>
      <c r="G7" s="40"/>
      <c r="H7" s="32"/>
      <c r="I7" s="33"/>
      <c r="J7" s="34"/>
      <c r="K7" s="32"/>
      <c r="L7" s="35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36" t="str">
        <f>LEFT('JANUARY 10, 2026'!$E5,FIND("-",'JANUARY 10, 2026'!$E5&amp;"-")-1)</f>
        <v/>
      </c>
      <c r="B8" s="37"/>
      <c r="C8" s="37"/>
      <c r="D8" s="38"/>
      <c r="E8" s="26"/>
      <c r="F8" s="39"/>
      <c r="G8" s="40"/>
      <c r="H8" s="32"/>
      <c r="I8" s="33"/>
      <c r="J8" s="34"/>
      <c r="K8" s="32"/>
      <c r="L8" s="35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36" t="str">
        <f>LEFT('JANUARY 10, 2026'!$E6,FIND("-",'JANUARY 10, 2026'!$E6&amp;"-")-1)</f>
        <v/>
      </c>
      <c r="B9" s="37"/>
      <c r="C9" s="37"/>
      <c r="D9" s="38"/>
      <c r="E9" s="26"/>
      <c r="F9" s="39"/>
      <c r="G9" s="40"/>
      <c r="H9" s="32"/>
      <c r="I9" s="33"/>
      <c r="J9" s="34"/>
      <c r="K9" s="32"/>
      <c r="L9" s="35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36" t="str">
        <f>LEFT('JANUARY 10, 2026'!#REF!,FIND("-",'JANUARY 10, 2026'!#REF!&amp;"-")-1)</f>
        <v>#ERROR!</v>
      </c>
      <c r="B10" s="37"/>
      <c r="C10" s="37"/>
      <c r="D10" s="38"/>
      <c r="E10" s="26"/>
      <c r="F10" s="39"/>
      <c r="G10" s="40"/>
      <c r="H10" s="32"/>
      <c r="I10" s="33"/>
      <c r="J10" s="34"/>
      <c r="K10" s="32"/>
      <c r="L10" s="35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36" t="str">
        <f>LEFT('JANUARY 10, 2026'!$E7,FIND("-",'JANUARY 10, 2026'!$E7&amp;"-")-1)</f>
        <v/>
      </c>
      <c r="B11" s="37"/>
      <c r="C11" s="37"/>
      <c r="D11" s="38"/>
      <c r="E11" s="26"/>
      <c r="F11" s="39"/>
      <c r="G11" s="40"/>
      <c r="H11" s="32"/>
      <c r="I11" s="33"/>
      <c r="J11" s="34"/>
      <c r="K11" s="32"/>
      <c r="L11" s="35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36" t="str">
        <f>LEFT('JANUARY 10, 2026'!$E8,FIND("-",'JANUARY 10, 2026'!$E8&amp;"-")-1)</f>
        <v/>
      </c>
      <c r="B12" s="37"/>
      <c r="C12" s="37"/>
      <c r="D12" s="38"/>
      <c r="E12" s="26"/>
      <c r="F12" s="39"/>
      <c r="G12" s="40"/>
      <c r="H12" s="32"/>
      <c r="I12" s="33"/>
      <c r="J12" s="34"/>
      <c r="K12" s="32"/>
      <c r="L12" s="35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36" t="str">
        <f>LEFT('JANUARY 10, 2026'!$E11,FIND("-",'JANUARY 10, 2026'!$E11&amp;"-")-1)</f>
        <v/>
      </c>
      <c r="B13" s="37"/>
      <c r="C13" s="37"/>
      <c r="D13" s="38"/>
      <c r="E13" s="26"/>
      <c r="F13" s="39"/>
      <c r="G13" s="40"/>
      <c r="H13" s="32"/>
      <c r="I13" s="33"/>
      <c r="J13" s="34"/>
      <c r="K13" s="32"/>
      <c r="L13" s="35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26" t="str">
        <f>LEFT('JANUARY 10, 2026'!$E12,FIND("-",'JANUARY 10, 2026'!$E12&amp;"-")-1)</f>
        <v/>
      </c>
      <c r="B14" s="37"/>
      <c r="C14" s="37"/>
      <c r="D14" s="38"/>
      <c r="E14" s="26"/>
      <c r="F14" s="39"/>
      <c r="G14" s="40"/>
      <c r="H14" s="32"/>
      <c r="I14" s="33"/>
      <c r="J14" s="34"/>
      <c r="K14" s="32"/>
      <c r="L14" s="35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26" t="str">
        <f>LEFT('JANUARY 10, 2026'!$E13,FIND("-",'JANUARY 10, 2026'!$E13&amp;"-")-1)</f>
        <v/>
      </c>
      <c r="B15" s="37"/>
      <c r="C15" s="37"/>
      <c r="D15" s="38"/>
      <c r="E15" s="26"/>
      <c r="F15" s="39"/>
      <c r="G15" s="40"/>
      <c r="H15" s="32"/>
      <c r="I15" s="33"/>
      <c r="J15" s="34"/>
      <c r="K15" s="32"/>
      <c r="L15" s="35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36" t="str">
        <f>LEFT('JANUARY 10, 2026'!$E14,FIND("-",'JANUARY 10, 2026'!$E14&amp;"-")-1)</f>
        <v/>
      </c>
      <c r="B16" s="37"/>
      <c r="C16" s="37"/>
      <c r="D16" s="38"/>
      <c r="E16" s="26"/>
      <c r="F16" s="39"/>
      <c r="G16" s="40"/>
      <c r="H16" s="32"/>
      <c r="I16" s="33"/>
      <c r="J16" s="34"/>
      <c r="K16" s="32"/>
      <c r="L16" s="35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36" t="str">
        <f>LEFT('JANUARY 10, 2026'!$E15,FIND("-",'JANUARY 10, 2026'!$E15&amp;"-")-1)</f>
        <v/>
      </c>
      <c r="B17" s="37"/>
      <c r="C17" s="37"/>
      <c r="D17" s="38"/>
      <c r="E17" s="26"/>
      <c r="F17" s="39"/>
      <c r="G17" s="40"/>
      <c r="H17" s="32"/>
      <c r="I17" s="33"/>
      <c r="J17" s="34"/>
      <c r="K17" s="32"/>
      <c r="L17" s="35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36" t="str">
        <f>LEFT('JANUARY 10, 2026'!$E16,FIND("-",'JANUARY 10, 2026'!$E16&amp;"-")-1)</f>
        <v/>
      </c>
      <c r="B18" s="37"/>
      <c r="C18" s="37"/>
      <c r="D18" s="38"/>
      <c r="E18" s="26"/>
      <c r="F18" s="39"/>
      <c r="G18" s="40"/>
      <c r="H18" s="32"/>
      <c r="I18" s="33"/>
      <c r="J18" s="34"/>
      <c r="K18" s="32"/>
      <c r="L18" s="35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36" t="str">
        <f>LEFT('JANUARY 10, 2026'!$E17,FIND("-",'JANUARY 10, 2026'!$E17&amp;"-")-1)</f>
        <v/>
      </c>
      <c r="B19" s="37"/>
      <c r="C19" s="37"/>
      <c r="D19" s="38"/>
      <c r="E19" s="26"/>
      <c r="F19" s="39"/>
      <c r="G19" s="40"/>
      <c r="H19" s="32"/>
      <c r="I19" s="33"/>
      <c r="J19" s="34"/>
      <c r="K19" s="32"/>
      <c r="L19" s="35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36" t="str">
        <f>LEFT('JANUARY 10, 2026'!$E18,FIND("-",'JANUARY 10, 2026'!$E18&amp;"-")-1)</f>
        <v/>
      </c>
      <c r="B20" s="37"/>
      <c r="C20" s="37"/>
      <c r="D20" s="38"/>
      <c r="E20" s="26"/>
      <c r="F20" s="39"/>
      <c r="G20" s="40"/>
      <c r="H20" s="32"/>
      <c r="I20" s="33"/>
      <c r="J20" s="34"/>
      <c r="K20" s="32"/>
      <c r="L20" s="35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36" t="str">
        <f>LEFT('JANUARY 10, 2026'!$E19,FIND("-",'JANUARY 10, 2026'!$E19&amp;"-")-1)</f>
        <v/>
      </c>
      <c r="B21" s="37"/>
      <c r="C21" s="37"/>
      <c r="D21" s="38"/>
      <c r="E21" s="26"/>
      <c r="F21" s="39"/>
      <c r="G21" s="40"/>
      <c r="H21" s="32"/>
      <c r="I21" s="33"/>
      <c r="J21" s="34"/>
      <c r="K21" s="32"/>
      <c r="L21" s="35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36" t="str">
        <f>LEFT('JANUARY 10, 2026'!$E20,FIND("-",'JANUARY 10, 2026'!$E20&amp;"-")-1)</f>
        <v/>
      </c>
      <c r="B22" s="37"/>
      <c r="C22" s="37"/>
      <c r="D22" s="38"/>
      <c r="E22" s="26"/>
      <c r="F22" s="39"/>
      <c r="G22" s="40"/>
      <c r="H22" s="32"/>
      <c r="I22" s="33"/>
      <c r="J22" s="34"/>
      <c r="K22" s="32"/>
      <c r="L22" s="35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36" t="str">
        <f>LEFT('JANUARY 10, 2026'!$E21,FIND("-",'JANUARY 10, 2026'!$E21&amp;"-")-1)</f>
        <v/>
      </c>
      <c r="B23" s="37"/>
      <c r="C23" s="37"/>
      <c r="D23" s="38"/>
      <c r="E23" s="26"/>
      <c r="F23" s="39"/>
      <c r="G23" s="40"/>
      <c r="H23" s="32"/>
      <c r="I23" s="33"/>
      <c r="J23" s="34"/>
      <c r="K23" s="32"/>
      <c r="L23" s="35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36" t="str">
        <f>LEFT('JANUARY 10, 2026'!$E22,FIND("-",'JANUARY 10, 2026'!$E22&amp;"-")-1)</f>
        <v/>
      </c>
      <c r="B24" s="37"/>
      <c r="C24" s="37"/>
      <c r="D24" s="38"/>
      <c r="E24" s="26"/>
      <c r="F24" s="39"/>
      <c r="G24" s="40"/>
      <c r="H24" s="32"/>
      <c r="I24" s="33"/>
      <c r="J24" s="34"/>
      <c r="K24" s="32"/>
      <c r="L24" s="35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36" t="str">
        <f>LEFT('JANUARY 10, 2026'!$E23,FIND("-",'JANUARY 10, 2026'!$E23&amp;"-")-1)</f>
        <v/>
      </c>
      <c r="B25" s="37"/>
      <c r="C25" s="37"/>
      <c r="D25" s="38"/>
      <c r="E25" s="26"/>
      <c r="F25" s="39"/>
      <c r="G25" s="40"/>
      <c r="H25" s="32"/>
      <c r="I25" s="33"/>
      <c r="J25" s="34"/>
      <c r="K25" s="32"/>
      <c r="L25" s="35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6" t="str">
        <f>LEFT('JANUARY 10, 2026'!$E24,FIND("-",'JANUARY 10, 2026'!$E24&amp;"-")-1)</f>
        <v/>
      </c>
      <c r="B26" s="37"/>
      <c r="C26" s="37"/>
      <c r="D26" s="38"/>
      <c r="E26" s="26"/>
      <c r="F26" s="39"/>
      <c r="G26" s="40"/>
      <c r="H26" s="32"/>
      <c r="I26" s="33"/>
      <c r="J26" s="34"/>
      <c r="K26" s="32"/>
      <c r="L26" s="35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36" t="str">
        <f>LEFT('JANUARY 10, 2026'!$E25,FIND("-",'JANUARY 10, 2026'!$E25&amp;"-")-1)</f>
        <v/>
      </c>
      <c r="B27" s="37"/>
      <c r="C27" s="37"/>
      <c r="D27" s="38"/>
      <c r="E27" s="26"/>
      <c r="F27" s="39"/>
      <c r="G27" s="40"/>
      <c r="H27" s="32"/>
      <c r="I27" s="33"/>
      <c r="J27" s="34"/>
      <c r="K27" s="32"/>
      <c r="L27" s="35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36" t="str">
        <f>LEFT('JANUARY 10, 2026'!$E26,FIND("-",'JANUARY 10, 2026'!$E26&amp;"-")-1)</f>
        <v/>
      </c>
      <c r="B28" s="37"/>
      <c r="C28" s="37"/>
      <c r="D28" s="38"/>
      <c r="E28" s="26"/>
      <c r="F28" s="39"/>
      <c r="G28" s="40"/>
      <c r="H28" s="32"/>
      <c r="I28" s="33"/>
      <c r="J28" s="34"/>
      <c r="K28" s="32"/>
      <c r="L28" s="35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36" t="str">
        <f>LEFT('JANUARY 10, 2026'!$E27,FIND("-",'JANUARY 10, 2026'!$E27&amp;"-")-1)</f>
        <v/>
      </c>
      <c r="B29" s="37"/>
      <c r="C29" s="37"/>
      <c r="D29" s="38"/>
      <c r="E29" s="26"/>
      <c r="F29" s="39"/>
      <c r="G29" s="40"/>
      <c r="H29" s="32"/>
      <c r="I29" s="33"/>
      <c r="J29" s="34"/>
      <c r="K29" s="32"/>
      <c r="L29" s="35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6" t="str">
        <f>LEFT('JANUARY 10, 2026'!$E28,FIND("-",'JANUARY 10, 2026'!$E28&amp;"-")-1)</f>
        <v/>
      </c>
      <c r="B30" s="37"/>
      <c r="C30" s="37"/>
      <c r="D30" s="38"/>
      <c r="E30" s="26"/>
      <c r="F30" s="39"/>
      <c r="G30" s="40"/>
      <c r="H30" s="32"/>
      <c r="I30" s="33"/>
      <c r="J30" s="34"/>
      <c r="K30" s="32"/>
      <c r="L30" s="35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6" t="str">
        <f>LEFT('JANUARY 10, 2026'!$E29,FIND("-",'JANUARY 10, 2026'!$E29&amp;"-")-1)</f>
        <v/>
      </c>
      <c r="B31" s="37"/>
      <c r="C31" s="37"/>
      <c r="D31" s="38"/>
      <c r="E31" s="26"/>
      <c r="F31" s="39"/>
      <c r="G31" s="40"/>
      <c r="H31" s="32"/>
      <c r="I31" s="33"/>
      <c r="J31" s="34"/>
      <c r="K31" s="32"/>
      <c r="L31" s="35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36" t="str">
        <f>LEFT('JANUARY 10, 2026'!$E30,FIND("-",'JANUARY 10, 2026'!$E30&amp;"-")-1)</f>
        <v/>
      </c>
      <c r="B32" s="37"/>
      <c r="C32" s="37"/>
      <c r="D32" s="38"/>
      <c r="E32" s="26"/>
      <c r="F32" s="39"/>
      <c r="G32" s="40"/>
      <c r="H32" s="32"/>
      <c r="I32" s="33"/>
      <c r="J32" s="34"/>
      <c r="K32" s="32"/>
      <c r="L32" s="35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6" t="str">
        <f>LEFT('JANUARY 10, 2026'!$E31,FIND("-",'JANUARY 10, 2026'!$E31&amp;"-")-1)</f>
        <v/>
      </c>
      <c r="B33" s="37"/>
      <c r="C33" s="37"/>
      <c r="D33" s="38"/>
      <c r="E33" s="26"/>
      <c r="F33" s="39"/>
      <c r="G33" s="40"/>
      <c r="H33" s="32"/>
      <c r="I33" s="33"/>
      <c r="J33" s="34"/>
      <c r="K33" s="32"/>
      <c r="L33" s="35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6" t="str">
        <f>LEFT('JANUARY 10, 2026'!$E32,FIND("-",'JANUARY 10, 2026'!$E32&amp;"-")-1)</f>
        <v/>
      </c>
      <c r="B34" s="37"/>
      <c r="C34" s="37"/>
      <c r="D34" s="38"/>
      <c r="E34" s="26"/>
      <c r="F34" s="39"/>
      <c r="G34" s="40"/>
      <c r="H34" s="32"/>
      <c r="I34" s="33"/>
      <c r="J34" s="34"/>
      <c r="K34" s="32"/>
      <c r="L34" s="35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6" t="str">
        <f>LEFT('JANUARY 10, 2026'!$E33,FIND("-",'JANUARY 10, 2026'!$E33&amp;"-")-1)</f>
        <v/>
      </c>
      <c r="B35" s="37"/>
      <c r="C35" s="37"/>
      <c r="D35" s="38"/>
      <c r="E35" s="26"/>
      <c r="F35" s="39"/>
      <c r="G35" s="40"/>
      <c r="H35" s="32"/>
      <c r="I35" s="33"/>
      <c r="J35" s="34"/>
      <c r="K35" s="32"/>
      <c r="L35" s="35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36" t="str">
        <f>LEFT('JANUARY 10, 2026'!$E34,FIND("-",'JANUARY 10, 2026'!$E34&amp;"-")-1)</f>
        <v/>
      </c>
      <c r="B36" s="37"/>
      <c r="C36" s="37"/>
      <c r="D36" s="38"/>
      <c r="E36" s="26"/>
      <c r="F36" s="39"/>
      <c r="G36" s="40"/>
      <c r="H36" s="32"/>
      <c r="I36" s="33"/>
      <c r="J36" s="34"/>
      <c r="K36" s="32"/>
      <c r="L36" s="35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36" t="str">
        <f>LEFT('JANUARY 10, 2026'!$E35,FIND("-",'JANUARY 10, 2026'!$E35&amp;"-")-1)</f>
        <v/>
      </c>
      <c r="B37" s="37"/>
      <c r="C37" s="37"/>
      <c r="D37" s="38"/>
      <c r="E37" s="26"/>
      <c r="F37" s="39"/>
      <c r="G37" s="40"/>
      <c r="H37" s="32"/>
      <c r="I37" s="33"/>
      <c r="J37" s="34"/>
      <c r="K37" s="32"/>
      <c r="L37" s="35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36" t="str">
        <f>LEFT('JANUARY 10, 2026'!$E36,FIND("-",'JANUARY 10, 2026'!$E36&amp;"-")-1)</f>
        <v/>
      </c>
      <c r="B38" s="37"/>
      <c r="C38" s="37"/>
      <c r="D38" s="38"/>
      <c r="E38" s="26"/>
      <c r="F38" s="39"/>
      <c r="G38" s="40"/>
      <c r="H38" s="32"/>
      <c r="I38" s="33"/>
      <c r="J38" s="34"/>
      <c r="K38" s="32"/>
      <c r="L38" s="35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6" t="str">
        <f>LEFT('JANUARY 10, 2026'!$E37,FIND("-",'JANUARY 10, 2026'!$E37&amp;"-")-1)</f>
        <v/>
      </c>
      <c r="B39" s="37"/>
      <c r="C39" s="37"/>
      <c r="D39" s="38"/>
      <c r="E39" s="26"/>
      <c r="F39" s="39"/>
      <c r="G39" s="40"/>
      <c r="H39" s="32"/>
      <c r="I39" s="33"/>
      <c r="J39" s="34"/>
      <c r="K39" s="32"/>
      <c r="L39" s="35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36" t="str">
        <f>LEFT('JANUARY 10, 2026'!$E38,FIND("-",'JANUARY 10, 2026'!$E38&amp;"-")-1)</f>
        <v/>
      </c>
      <c r="B40" s="37"/>
      <c r="C40" s="37"/>
      <c r="D40" s="38"/>
      <c r="E40" s="26"/>
      <c r="F40" s="39"/>
      <c r="G40" s="40"/>
      <c r="H40" s="32"/>
      <c r="I40" s="33"/>
      <c r="J40" s="34"/>
      <c r="K40" s="32"/>
      <c r="L40" s="35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36" t="str">
        <f>LEFT('JANUARY 10, 2026'!$E39,FIND("-",'JANUARY 10, 2026'!$E39&amp;"-")-1)</f>
        <v/>
      </c>
      <c r="B41" s="37"/>
      <c r="C41" s="37"/>
      <c r="D41" s="38"/>
      <c r="E41" s="26"/>
      <c r="F41" s="39"/>
      <c r="G41" s="40"/>
      <c r="H41" s="32"/>
      <c r="I41" s="33"/>
      <c r="J41" s="34"/>
      <c r="K41" s="32"/>
      <c r="L41" s="35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36" t="str">
        <f>LEFT('JANUARY 10, 2026'!$E40,FIND("-",'JANUARY 10, 2026'!$E40&amp;"-")-1)</f>
        <v/>
      </c>
      <c r="B42" s="37"/>
      <c r="C42" s="37"/>
      <c r="D42" s="38"/>
      <c r="E42" s="26"/>
      <c r="F42" s="39"/>
      <c r="G42" s="40"/>
      <c r="H42" s="32"/>
      <c r="I42" s="33"/>
      <c r="J42" s="34"/>
      <c r="K42" s="32"/>
      <c r="L42" s="35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36" t="str">
        <f>LEFT('JANUARY 10, 2026'!$E41,FIND("-",'JANUARY 10, 2026'!$E41&amp;"-")-1)</f>
        <v/>
      </c>
      <c r="B43" s="37"/>
      <c r="C43" s="37"/>
      <c r="D43" s="38"/>
      <c r="E43" s="26"/>
      <c r="F43" s="39"/>
      <c r="G43" s="40"/>
      <c r="H43" s="32"/>
      <c r="I43" s="33"/>
      <c r="J43" s="34"/>
      <c r="K43" s="32"/>
      <c r="L43" s="35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36" t="str">
        <f>LEFT('JANUARY 10, 2026'!$E42,FIND("-",'JANUARY 10, 2026'!$E42&amp;"-")-1)</f>
        <v/>
      </c>
      <c r="B44" s="37"/>
      <c r="C44" s="37"/>
      <c r="D44" s="38"/>
      <c r="E44" s="26"/>
      <c r="F44" s="39"/>
      <c r="G44" s="40"/>
      <c r="H44" s="32"/>
      <c r="I44" s="33"/>
      <c r="J44" s="34"/>
      <c r="K44" s="32"/>
      <c r="L44" s="35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36" t="str">
        <f>LEFT('JANUARY 10, 2026'!$E43,FIND("-",'JANUARY 10, 2026'!$E43&amp;"-")-1)</f>
        <v/>
      </c>
      <c r="B45" s="37"/>
      <c r="C45" s="37"/>
      <c r="D45" s="38"/>
      <c r="E45" s="26"/>
      <c r="F45" s="39"/>
      <c r="G45" s="40"/>
      <c r="H45" s="32"/>
      <c r="I45" s="33"/>
      <c r="J45" s="34"/>
      <c r="K45" s="32"/>
      <c r="L45" s="35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36" t="str">
        <f>LEFT('JANUARY 10, 2026'!$E44,FIND("-",'JANUARY 10, 2026'!$E44&amp;"-")-1)</f>
        <v/>
      </c>
      <c r="B46" s="37"/>
      <c r="C46" s="37"/>
      <c r="D46" s="38"/>
      <c r="E46" s="26"/>
      <c r="F46" s="39"/>
      <c r="G46" s="40"/>
      <c r="H46" s="32"/>
      <c r="I46" s="33"/>
      <c r="J46" s="34"/>
      <c r="K46" s="32"/>
      <c r="L46" s="35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36" t="str">
        <f>LEFT('JANUARY 10, 2026'!$E45,FIND("-",'JANUARY 10, 2026'!$E45&amp;"-")-1)</f>
        <v/>
      </c>
      <c r="B47" s="37"/>
      <c r="C47" s="37"/>
      <c r="D47" s="38"/>
      <c r="E47" s="26"/>
      <c r="F47" s="39"/>
      <c r="G47" s="40"/>
      <c r="H47" s="32"/>
      <c r="I47" s="33"/>
      <c r="J47" s="34"/>
      <c r="K47" s="32"/>
      <c r="L47" s="35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36" t="str">
        <f>LEFT('JANUARY 10, 2026'!$E46,FIND("-",'JANUARY 10, 2026'!$E46&amp;"-")-1)</f>
        <v/>
      </c>
      <c r="B48" s="37"/>
      <c r="C48" s="37"/>
      <c r="D48" s="38"/>
      <c r="E48" s="26"/>
      <c r="F48" s="39"/>
      <c r="G48" s="40"/>
      <c r="H48" s="32"/>
      <c r="I48" s="33"/>
      <c r="J48" s="34"/>
      <c r="K48" s="32"/>
      <c r="L48" s="35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36" t="str">
        <f>LEFT('JANUARY 10, 2026'!$E47,FIND("-",'JANUARY 10, 2026'!$E47&amp;"-")-1)</f>
        <v/>
      </c>
      <c r="B49" s="37"/>
      <c r="C49" s="37"/>
      <c r="D49" s="38"/>
      <c r="E49" s="26"/>
      <c r="F49" s="39"/>
      <c r="G49" s="40"/>
      <c r="H49" s="32"/>
      <c r="I49" s="33"/>
      <c r="J49" s="34"/>
      <c r="K49" s="32"/>
      <c r="L49" s="35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36" t="str">
        <f>LEFT('JANUARY 10, 2026'!$E48,FIND("-",'JANUARY 10, 2026'!$E48&amp;"-")-1)</f>
        <v/>
      </c>
      <c r="B50" s="37"/>
      <c r="C50" s="37"/>
      <c r="D50" s="38"/>
      <c r="E50" s="26"/>
      <c r="F50" s="39"/>
      <c r="G50" s="40"/>
      <c r="H50" s="32"/>
      <c r="I50" s="33"/>
      <c r="J50" s="34"/>
      <c r="K50" s="32"/>
      <c r="L50" s="35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36" t="str">
        <f>LEFT('JANUARY 10, 2026'!$E49,FIND("-",'JANUARY 10, 2026'!$E49&amp;"-")-1)</f>
        <v/>
      </c>
      <c r="B51" s="37"/>
      <c r="C51" s="37"/>
      <c r="D51" s="38"/>
      <c r="E51" s="26"/>
      <c r="F51" s="39"/>
      <c r="G51" s="40"/>
      <c r="H51" s="32"/>
      <c r="I51" s="33"/>
      <c r="J51" s="34"/>
      <c r="K51" s="32"/>
      <c r="L51" s="35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36" t="str">
        <f>LEFT('JANUARY 10, 2026'!$E50,FIND("-",'JANUARY 10, 2026'!$E50&amp;"-")-1)</f>
        <v/>
      </c>
      <c r="B52" s="37"/>
      <c r="C52" s="37"/>
      <c r="D52" s="38"/>
      <c r="E52" s="26"/>
      <c r="F52" s="39"/>
      <c r="G52" s="40"/>
      <c r="H52" s="32"/>
      <c r="I52" s="33"/>
      <c r="J52" s="34"/>
      <c r="K52" s="32"/>
      <c r="L52" s="35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36" t="str">
        <f>LEFT('JANUARY 10, 2026'!$E51,FIND("-",'JANUARY 10, 2026'!$E51&amp;"-")-1)</f>
        <v/>
      </c>
      <c r="B53" s="37"/>
      <c r="C53" s="37"/>
      <c r="D53" s="38"/>
      <c r="E53" s="26"/>
      <c r="F53" s="39"/>
      <c r="G53" s="40"/>
      <c r="H53" s="32"/>
      <c r="I53" s="33"/>
      <c r="J53" s="34"/>
      <c r="K53" s="32"/>
      <c r="L53" s="35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36" t="str">
        <f>LEFT('JANUARY 10, 2026'!$E52,FIND("-",'JANUARY 10, 2026'!$E52&amp;"-")-1)</f>
        <v/>
      </c>
      <c r="B54" s="37"/>
      <c r="C54" s="37"/>
      <c r="D54" s="38"/>
      <c r="E54" s="26"/>
      <c r="F54" s="39"/>
      <c r="G54" s="40"/>
      <c r="H54" s="32"/>
      <c r="I54" s="33"/>
      <c r="J54" s="34"/>
      <c r="K54" s="32"/>
      <c r="L54" s="35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36" t="str">
        <f>LEFT('JANUARY 10, 2026'!$E53,FIND("-",'JANUARY 10, 2026'!$E53&amp;"-")-1)</f>
        <v/>
      </c>
      <c r="B55" s="37"/>
      <c r="C55" s="37"/>
      <c r="D55" s="38"/>
      <c r="E55" s="26"/>
      <c r="F55" s="39"/>
      <c r="G55" s="40"/>
      <c r="H55" s="32"/>
      <c r="I55" s="33"/>
      <c r="J55" s="34"/>
      <c r="K55" s="32"/>
      <c r="L55" s="35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36" t="str">
        <f>LEFT('JANUARY 10, 2026'!$E54,FIND("-",'JANUARY 10, 2026'!$E54&amp;"-")-1)</f>
        <v/>
      </c>
      <c r="B56" s="37"/>
      <c r="C56" s="37"/>
      <c r="D56" s="38"/>
      <c r="E56" s="26"/>
      <c r="F56" s="39"/>
      <c r="G56" s="40"/>
      <c r="H56" s="32"/>
      <c r="I56" s="33"/>
      <c r="J56" s="34"/>
      <c r="K56" s="32"/>
      <c r="L56" s="35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36" t="str">
        <f>LEFT('JANUARY 10, 2026'!$E55,FIND("-",'JANUARY 10, 2026'!$E55&amp;"-")-1)</f>
        <v/>
      </c>
      <c r="B57" s="37"/>
      <c r="C57" s="37"/>
      <c r="D57" s="38"/>
      <c r="E57" s="26"/>
      <c r="F57" s="39"/>
      <c r="G57" s="40"/>
      <c r="H57" s="32"/>
      <c r="I57" s="33"/>
      <c r="J57" s="34"/>
      <c r="K57" s="32"/>
      <c r="L57" s="35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36" t="str">
        <f>LEFT('JANUARY 10, 2026'!$E56,FIND("-",'JANUARY 10, 2026'!$E56&amp;"-")-1)</f>
        <v/>
      </c>
      <c r="B58" s="37"/>
      <c r="C58" s="37"/>
      <c r="D58" s="38"/>
      <c r="E58" s="26"/>
      <c r="F58" s="39"/>
      <c r="G58" s="40"/>
      <c r="H58" s="32"/>
      <c r="I58" s="33"/>
      <c r="J58" s="34"/>
      <c r="K58" s="32"/>
      <c r="L58" s="35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36" t="str">
        <f>LEFT('JANUARY 10, 2026'!$E57,FIND("-",'JANUARY 10, 2026'!$E57&amp;"-")-1)</f>
        <v/>
      </c>
      <c r="B59" s="37"/>
      <c r="C59" s="37"/>
      <c r="D59" s="38"/>
      <c r="E59" s="26"/>
      <c r="F59" s="39"/>
      <c r="G59" s="40"/>
      <c r="H59" s="32"/>
      <c r="I59" s="33"/>
      <c r="J59" s="34"/>
      <c r="K59" s="32"/>
      <c r="L59" s="35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36" t="str">
        <f>LEFT('JANUARY 10, 2026'!$E58,FIND("-",'JANUARY 10, 2026'!$E58&amp;"-")-1)</f>
        <v/>
      </c>
      <c r="B60" s="37"/>
      <c r="C60" s="37"/>
      <c r="D60" s="38"/>
      <c r="E60" s="26"/>
      <c r="F60" s="39"/>
      <c r="G60" s="40"/>
      <c r="H60" s="32"/>
      <c r="I60" s="33"/>
      <c r="J60" s="34"/>
      <c r="K60" s="32"/>
      <c r="L60" s="35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36" t="str">
        <f>LEFT('JANUARY 10, 2026'!$E59,FIND("-",'JANUARY 10, 2026'!$E59&amp;"-")-1)</f>
        <v/>
      </c>
      <c r="B61" s="37"/>
      <c r="C61" s="37"/>
      <c r="D61" s="38"/>
      <c r="E61" s="26"/>
      <c r="F61" s="39"/>
      <c r="G61" s="40"/>
      <c r="H61" s="32"/>
      <c r="I61" s="33"/>
      <c r="J61" s="34"/>
      <c r="K61" s="32"/>
      <c r="L61" s="35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36" t="str">
        <f>LEFT('JANUARY 10, 2026'!$E60,FIND("-",'JANUARY 10, 2026'!$E60&amp;"-")-1)</f>
        <v/>
      </c>
      <c r="B62" s="37"/>
      <c r="C62" s="37"/>
      <c r="D62" s="38"/>
      <c r="E62" s="26"/>
      <c r="F62" s="39"/>
      <c r="G62" s="40"/>
      <c r="H62" s="32"/>
      <c r="I62" s="33"/>
      <c r="J62" s="34"/>
      <c r="K62" s="32"/>
      <c r="L62" s="35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36" t="str">
        <f>LEFT('JANUARY 10, 2026'!$E61,FIND("-",'JANUARY 10, 2026'!$E61&amp;"-")-1)</f>
        <v/>
      </c>
      <c r="B63" s="37"/>
      <c r="C63" s="37"/>
      <c r="D63" s="38"/>
      <c r="E63" s="26"/>
      <c r="F63" s="39"/>
      <c r="G63" s="40"/>
      <c r="H63" s="32"/>
      <c r="I63" s="33"/>
      <c r="J63" s="34"/>
      <c r="K63" s="32"/>
      <c r="L63" s="35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36" t="str">
        <f>LEFT('JANUARY 10, 2026'!$E62,FIND("-",'JANUARY 10, 2026'!$E62&amp;"-")-1)</f>
        <v/>
      </c>
      <c r="B64" s="37"/>
      <c r="C64" s="37"/>
      <c r="D64" s="38"/>
      <c r="E64" s="26"/>
      <c r="F64" s="39"/>
      <c r="G64" s="40"/>
      <c r="H64" s="32"/>
      <c r="I64" s="33"/>
      <c r="J64" s="34"/>
      <c r="K64" s="32"/>
      <c r="L64" s="35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36" t="str">
        <f>LEFT('JANUARY 10, 2026'!$E63,FIND("-",'JANUARY 10, 2026'!$E63&amp;"-")-1)</f>
        <v/>
      </c>
      <c r="B65" s="37"/>
      <c r="C65" s="37"/>
      <c r="D65" s="38"/>
      <c r="E65" s="26"/>
      <c r="F65" s="39"/>
      <c r="G65" s="40"/>
      <c r="H65" s="32"/>
      <c r="I65" s="33"/>
      <c r="J65" s="34"/>
      <c r="K65" s="32"/>
      <c r="L65" s="35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36" t="str">
        <f>LEFT('JANUARY 10, 2026'!$E64,FIND("-",'JANUARY 10, 2026'!$E64&amp;"-")-1)</f>
        <v/>
      </c>
      <c r="B66" s="37"/>
      <c r="C66" s="37"/>
      <c r="D66" s="38"/>
      <c r="E66" s="26"/>
      <c r="F66" s="39"/>
      <c r="G66" s="40"/>
      <c r="H66" s="32"/>
      <c r="I66" s="33"/>
      <c r="J66" s="34"/>
      <c r="K66" s="32"/>
      <c r="L66" s="35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36" t="str">
        <f>LEFT('JANUARY 10, 2026'!$E65,FIND("-",'JANUARY 10, 2026'!$E65&amp;"-")-1)</f>
        <v/>
      </c>
      <c r="B67" s="37"/>
      <c r="C67" s="37"/>
      <c r="D67" s="38"/>
      <c r="E67" s="26"/>
      <c r="F67" s="39"/>
      <c r="G67" s="40"/>
      <c r="H67" s="32"/>
      <c r="I67" s="33"/>
      <c r="J67" s="34"/>
      <c r="K67" s="32"/>
      <c r="L67" s="35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36" t="str">
        <f>LEFT('JANUARY 10, 2026'!$E66,FIND("-",'JANUARY 10, 2026'!$E66&amp;"-")-1)</f>
        <v/>
      </c>
      <c r="B68" s="37"/>
      <c r="C68" s="37"/>
      <c r="D68" s="38"/>
      <c r="E68" s="26"/>
      <c r="F68" s="39"/>
      <c r="G68" s="40"/>
      <c r="H68" s="32"/>
      <c r="I68" s="33"/>
      <c r="J68" s="34"/>
      <c r="K68" s="32"/>
      <c r="L68" s="35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36" t="str">
        <f>LEFT('JANUARY 10, 2026'!$E67,FIND("-",'JANUARY 10, 2026'!$E67&amp;"-")-1)</f>
        <v/>
      </c>
      <c r="B69" s="37"/>
      <c r="C69" s="37"/>
      <c r="D69" s="38"/>
      <c r="E69" s="26"/>
      <c r="F69" s="39"/>
      <c r="G69" s="40"/>
      <c r="H69" s="32"/>
      <c r="I69" s="33"/>
      <c r="J69" s="34"/>
      <c r="K69" s="32"/>
      <c r="L69" s="35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36" t="str">
        <f>LEFT('JANUARY 10, 2026'!$E68,FIND("-",'JANUARY 10, 2026'!$E68&amp;"-")-1)</f>
        <v/>
      </c>
      <c r="B70" s="37"/>
      <c r="C70" s="37"/>
      <c r="D70" s="38"/>
      <c r="E70" s="26"/>
      <c r="F70" s="39"/>
      <c r="G70" s="40"/>
      <c r="H70" s="32"/>
      <c r="I70" s="33"/>
      <c r="J70" s="34"/>
      <c r="K70" s="32"/>
      <c r="L70" s="35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36" t="str">
        <f>LEFT('JANUARY 10, 2026'!$E69,FIND("-",'JANUARY 10, 2026'!$E69&amp;"-")-1)</f>
        <v/>
      </c>
      <c r="B71" s="37"/>
      <c r="C71" s="37"/>
      <c r="D71" s="38"/>
      <c r="E71" s="26"/>
      <c r="F71" s="39"/>
      <c r="G71" s="40"/>
      <c r="H71" s="32"/>
      <c r="I71" s="33"/>
      <c r="J71" s="34"/>
      <c r="K71" s="32"/>
      <c r="L71" s="35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36" t="str">
        <f>LEFT('JANUARY 10, 2026'!$E70,FIND("-",'JANUARY 10, 2026'!$E70&amp;"-")-1)</f>
        <v/>
      </c>
      <c r="B72" s="37"/>
      <c r="C72" s="37"/>
      <c r="D72" s="38"/>
      <c r="E72" s="26"/>
      <c r="F72" s="39"/>
      <c r="G72" s="40"/>
      <c r="H72" s="32"/>
      <c r="I72" s="33"/>
      <c r="J72" s="34"/>
      <c r="K72" s="32"/>
      <c r="L72" s="35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36" t="str">
        <f>LEFT('JANUARY 10, 2026'!$E71,FIND("-",'JANUARY 10, 2026'!$E71&amp;"-")-1)</f>
        <v/>
      </c>
      <c r="B73" s="37"/>
      <c r="C73" s="37"/>
      <c r="D73" s="38"/>
      <c r="E73" s="26"/>
      <c r="F73" s="39"/>
      <c r="G73" s="40"/>
      <c r="H73" s="32"/>
      <c r="I73" s="33"/>
      <c r="J73" s="34"/>
      <c r="K73" s="32"/>
      <c r="L73" s="35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36" t="str">
        <f>LEFT('JANUARY 10, 2026'!$E72,FIND("-",'JANUARY 10, 2026'!$E72&amp;"-")-1)</f>
        <v/>
      </c>
      <c r="B74" s="37"/>
      <c r="C74" s="37"/>
      <c r="D74" s="38"/>
      <c r="E74" s="26"/>
      <c r="F74" s="39"/>
      <c r="G74" s="40"/>
      <c r="H74" s="32"/>
      <c r="I74" s="33"/>
      <c r="J74" s="34"/>
      <c r="K74" s="32"/>
      <c r="L74" s="35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36" t="str">
        <f>LEFT('JANUARY 10, 2026'!$E73,FIND("-",'JANUARY 10, 2026'!$E73&amp;"-")-1)</f>
        <v/>
      </c>
      <c r="B75" s="37"/>
      <c r="C75" s="37"/>
      <c r="D75" s="38"/>
      <c r="E75" s="26"/>
      <c r="F75" s="39"/>
      <c r="G75" s="40"/>
      <c r="H75" s="32"/>
      <c r="I75" s="33"/>
      <c r="J75" s="34"/>
      <c r="K75" s="32"/>
      <c r="L75" s="35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36" t="str">
        <f>LEFT('JANUARY 10, 2026'!$E74,FIND("-",'JANUARY 10, 2026'!$E74&amp;"-")-1)</f>
        <v/>
      </c>
      <c r="B76" s="37"/>
      <c r="C76" s="37"/>
      <c r="D76" s="38"/>
      <c r="E76" s="26"/>
      <c r="F76" s="39"/>
      <c r="G76" s="40"/>
      <c r="H76" s="32"/>
      <c r="I76" s="33"/>
      <c r="J76" s="34"/>
      <c r="K76" s="32"/>
      <c r="L76" s="35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36" t="str">
        <f>LEFT('JANUARY 10, 2026'!$E75,FIND("-",'JANUARY 10, 2026'!$E75&amp;"-")-1)</f>
        <v/>
      </c>
      <c r="B77" s="37"/>
      <c r="C77" s="37"/>
      <c r="D77" s="38"/>
      <c r="E77" s="26"/>
      <c r="F77" s="39"/>
      <c r="G77" s="40"/>
      <c r="H77" s="32"/>
      <c r="I77" s="33"/>
      <c r="J77" s="34"/>
      <c r="K77" s="32"/>
      <c r="L77" s="35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36" t="str">
        <f>LEFT('JANUARY 10, 2026'!$E76,FIND("-",'JANUARY 10, 2026'!$E76&amp;"-")-1)</f>
        <v/>
      </c>
      <c r="B78" s="37"/>
      <c r="C78" s="37"/>
      <c r="D78" s="38"/>
      <c r="E78" s="26"/>
      <c r="F78" s="39"/>
      <c r="G78" s="40"/>
      <c r="H78" s="32"/>
      <c r="I78" s="33"/>
      <c r="J78" s="34"/>
      <c r="K78" s="32"/>
      <c r="L78" s="35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36" t="str">
        <f>LEFT('JANUARY 10, 2026'!$E77,FIND("-",'JANUARY 10, 2026'!$E77&amp;"-")-1)</f>
        <v/>
      </c>
      <c r="B79" s="37"/>
      <c r="C79" s="37"/>
      <c r="D79" s="38"/>
      <c r="E79" s="26"/>
      <c r="F79" s="39"/>
      <c r="G79" s="40"/>
      <c r="H79" s="32"/>
      <c r="I79" s="33"/>
      <c r="J79" s="34"/>
      <c r="K79" s="32"/>
      <c r="L79" s="35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36" t="str">
        <f>LEFT('JANUARY 10, 2026'!$E78,FIND("-",'JANUARY 10, 2026'!$E78&amp;"-")-1)</f>
        <v/>
      </c>
      <c r="B80" s="37"/>
      <c r="C80" s="37"/>
      <c r="D80" s="38"/>
      <c r="E80" s="26"/>
      <c r="F80" s="39"/>
      <c r="G80" s="40"/>
      <c r="H80" s="32"/>
      <c r="I80" s="33"/>
      <c r="J80" s="34"/>
      <c r="K80" s="32"/>
      <c r="L80" s="35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36" t="str">
        <f>LEFT('JANUARY 10, 2026'!$E79,FIND("-",'JANUARY 10, 2026'!$E79&amp;"-")-1)</f>
        <v/>
      </c>
      <c r="B81" s="37"/>
      <c r="C81" s="37"/>
      <c r="D81" s="38"/>
      <c r="E81" s="26"/>
      <c r="F81" s="39"/>
      <c r="G81" s="40"/>
      <c r="H81" s="32"/>
      <c r="I81" s="33"/>
      <c r="J81" s="34"/>
      <c r="K81" s="32"/>
      <c r="L81" s="35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36" t="str">
        <f>LEFT('JANUARY 10, 2026'!$E80,FIND("-",'JANUARY 10, 2026'!$E80&amp;"-")-1)</f>
        <v/>
      </c>
      <c r="B82" s="37"/>
      <c r="C82" s="37"/>
      <c r="D82" s="38"/>
      <c r="E82" s="26"/>
      <c r="F82" s="39"/>
      <c r="G82" s="40"/>
      <c r="H82" s="32"/>
      <c r="I82" s="33"/>
      <c r="J82" s="34"/>
      <c r="K82" s="32"/>
      <c r="L82" s="35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36" t="str">
        <f>LEFT('JANUARY 10, 2026'!$E81,FIND("-",'JANUARY 10, 2026'!$E81&amp;"-")-1)</f>
        <v/>
      </c>
      <c r="B83" s="37"/>
      <c r="C83" s="37"/>
      <c r="D83" s="38"/>
      <c r="E83" s="26"/>
      <c r="F83" s="39"/>
      <c r="G83" s="40"/>
      <c r="H83" s="32"/>
      <c r="I83" s="33"/>
      <c r="J83" s="34"/>
      <c r="K83" s="32"/>
      <c r="L83" s="35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36" t="str">
        <f>LEFT('JANUARY 10, 2026'!$E82,FIND("-",'JANUARY 10, 2026'!$E82&amp;"-")-1)</f>
        <v/>
      </c>
      <c r="B84" s="37"/>
      <c r="C84" s="37"/>
      <c r="D84" s="38"/>
      <c r="E84" s="26"/>
      <c r="F84" s="39"/>
      <c r="G84" s="40"/>
      <c r="H84" s="32"/>
      <c r="I84" s="33"/>
      <c r="J84" s="34"/>
      <c r="K84" s="32"/>
      <c r="L84" s="35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36" t="str">
        <f>LEFT('JANUARY 10, 2026'!$E83,FIND("-",'JANUARY 10, 2026'!$E83&amp;"-")-1)</f>
        <v/>
      </c>
      <c r="B85" s="37"/>
      <c r="C85" s="37"/>
      <c r="D85" s="38"/>
      <c r="E85" s="26"/>
      <c r="F85" s="39"/>
      <c r="G85" s="40"/>
      <c r="H85" s="32"/>
      <c r="I85" s="33"/>
      <c r="J85" s="34"/>
      <c r="K85" s="32"/>
      <c r="L85" s="35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36" t="str">
        <f>LEFT('JANUARY 10, 2026'!$E84,FIND("-",'JANUARY 10, 2026'!$E84&amp;"-")-1)</f>
        <v/>
      </c>
      <c r="B86" s="37"/>
      <c r="C86" s="37"/>
      <c r="D86" s="38"/>
      <c r="E86" s="26"/>
      <c r="F86" s="39"/>
      <c r="G86" s="40"/>
      <c r="H86" s="32"/>
      <c r="I86" s="33"/>
      <c r="J86" s="34"/>
      <c r="K86" s="32"/>
      <c r="L86" s="35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36" t="str">
        <f>LEFT('JANUARY 10, 2026'!$E85,FIND("-",'JANUARY 10, 2026'!$E85&amp;"-")-1)</f>
        <v/>
      </c>
      <c r="B87" s="37"/>
      <c r="C87" s="37"/>
      <c r="D87" s="38"/>
      <c r="E87" s="26"/>
      <c r="F87" s="39"/>
      <c r="G87" s="40"/>
      <c r="H87" s="32"/>
      <c r="I87" s="33"/>
      <c r="J87" s="34"/>
      <c r="K87" s="32"/>
      <c r="L87" s="35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36" t="str">
        <f>LEFT('JANUARY 10, 2026'!$E86,FIND("-",'JANUARY 10, 2026'!$E86&amp;"-")-1)</f>
        <v/>
      </c>
      <c r="B88" s="37"/>
      <c r="C88" s="37"/>
      <c r="D88" s="38"/>
      <c r="E88" s="26"/>
      <c r="F88" s="39"/>
      <c r="G88" s="40"/>
      <c r="H88" s="32"/>
      <c r="I88" s="33"/>
      <c r="J88" s="34"/>
      <c r="K88" s="32"/>
      <c r="L88" s="35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36" t="str">
        <f>LEFT('JANUARY 10, 2026'!$E87,FIND("-",'JANUARY 10, 2026'!$E87&amp;"-")-1)</f>
        <v/>
      </c>
      <c r="B89" s="37"/>
      <c r="C89" s="37"/>
      <c r="D89" s="38"/>
      <c r="E89" s="26"/>
      <c r="F89" s="39"/>
      <c r="G89" s="40"/>
      <c r="H89" s="32"/>
      <c r="I89" s="33"/>
      <c r="J89" s="34"/>
      <c r="K89" s="32"/>
      <c r="L89" s="35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36" t="str">
        <f>LEFT('JANUARY 10, 2026'!$E88,FIND("-",'JANUARY 10, 2026'!$E88&amp;"-")-1)</f>
        <v/>
      </c>
      <c r="B90" s="37"/>
      <c r="C90" s="37"/>
      <c r="D90" s="38"/>
      <c r="E90" s="26"/>
      <c r="F90" s="39"/>
      <c r="G90" s="40"/>
      <c r="H90" s="32"/>
      <c r="I90" s="33"/>
      <c r="J90" s="34"/>
      <c r="K90" s="32"/>
      <c r="L90" s="35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36" t="str">
        <f>LEFT('JANUARY 10, 2026'!$E89,FIND("-",'JANUARY 10, 2026'!$E89&amp;"-")-1)</f>
        <v/>
      </c>
      <c r="B91" s="37"/>
      <c r="C91" s="37"/>
      <c r="D91" s="38"/>
      <c r="E91" s="26"/>
      <c r="F91" s="39"/>
      <c r="G91" s="40"/>
      <c r="H91" s="32"/>
      <c r="I91" s="33"/>
      <c r="J91" s="34"/>
      <c r="K91" s="32"/>
      <c r="L91" s="35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36" t="str">
        <f>LEFT('JANUARY 10, 2026'!$E90,FIND("-",'JANUARY 10, 2026'!$E90&amp;"-")-1)</f>
        <v/>
      </c>
      <c r="B92" s="37"/>
      <c r="C92" s="37"/>
      <c r="D92" s="38"/>
      <c r="E92" s="26"/>
      <c r="F92" s="39"/>
      <c r="G92" s="40"/>
      <c r="H92" s="32"/>
      <c r="I92" s="33"/>
      <c r="J92" s="34"/>
      <c r="K92" s="32"/>
      <c r="L92" s="35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36" t="str">
        <f>LEFT('JANUARY 10, 2026'!$E91,FIND("-",'JANUARY 10, 2026'!$E91&amp;"-")-1)</f>
        <v/>
      </c>
      <c r="B93" s="37"/>
      <c r="C93" s="37"/>
      <c r="D93" s="38"/>
      <c r="E93" s="26"/>
      <c r="F93" s="39"/>
      <c r="G93" s="40"/>
      <c r="H93" s="32"/>
      <c r="I93" s="33"/>
      <c r="J93" s="34"/>
      <c r="K93" s="32"/>
      <c r="L93" s="35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36" t="str">
        <f>LEFT('JANUARY 10, 2026'!$E92,FIND("-",'JANUARY 10, 2026'!$E92&amp;"-")-1)</f>
        <v/>
      </c>
      <c r="B94" s="37"/>
      <c r="C94" s="37"/>
      <c r="D94" s="38"/>
      <c r="E94" s="26"/>
      <c r="F94" s="39"/>
      <c r="G94" s="40"/>
      <c r="H94" s="32"/>
      <c r="I94" s="33"/>
      <c r="J94" s="34"/>
      <c r="K94" s="32"/>
      <c r="L94" s="35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36" t="str">
        <f>LEFT('JANUARY 10, 2026'!$E93,FIND("-",'JANUARY 10, 2026'!$E93&amp;"-")-1)</f>
        <v/>
      </c>
      <c r="B95" s="37"/>
      <c r="C95" s="37"/>
      <c r="D95" s="38"/>
      <c r="E95" s="26"/>
      <c r="F95" s="39"/>
      <c r="G95" s="40"/>
      <c r="H95" s="32"/>
      <c r="I95" s="33"/>
      <c r="J95" s="34"/>
      <c r="K95" s="32"/>
      <c r="L95" s="35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36" t="str">
        <f>LEFT('JANUARY 10, 2026'!$E94,FIND("-",'JANUARY 10, 2026'!$E94&amp;"-")-1)</f>
        <v/>
      </c>
      <c r="B96" s="37"/>
      <c r="C96" s="37"/>
      <c r="D96" s="38"/>
      <c r="E96" s="26"/>
      <c r="F96" s="39"/>
      <c r="G96" s="40"/>
      <c r="H96" s="32"/>
      <c r="I96" s="33"/>
      <c r="J96" s="34"/>
      <c r="K96" s="32"/>
      <c r="L96" s="35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36" t="str">
        <f>LEFT('JANUARY 10, 2026'!$E95,FIND("-",'JANUARY 10, 2026'!$E95&amp;"-")-1)</f>
        <v/>
      </c>
      <c r="B97" s="37"/>
      <c r="C97" s="37"/>
      <c r="D97" s="38"/>
      <c r="E97" s="26"/>
      <c r="F97" s="39"/>
      <c r="G97" s="40"/>
      <c r="H97" s="32"/>
      <c r="I97" s="33"/>
      <c r="J97" s="34"/>
      <c r="K97" s="32"/>
      <c r="L97" s="35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36" t="str">
        <f>LEFT('JANUARY 10, 2026'!$E96,FIND("-",'JANUARY 10, 2026'!$E96&amp;"-")-1)</f>
        <v/>
      </c>
      <c r="B98" s="37"/>
      <c r="C98" s="37"/>
      <c r="D98" s="38"/>
      <c r="E98" s="26"/>
      <c r="F98" s="39"/>
      <c r="G98" s="40"/>
      <c r="H98" s="32"/>
      <c r="I98" s="33"/>
      <c r="J98" s="34"/>
      <c r="K98" s="32"/>
      <c r="L98" s="35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36" t="str">
        <f>LEFT('JANUARY 10, 2026'!$E97,FIND("-",'JANUARY 10, 2026'!$E97&amp;"-")-1)</f>
        <v/>
      </c>
      <c r="B99" s="37"/>
      <c r="C99" s="37"/>
      <c r="D99" s="38"/>
      <c r="E99" s="26"/>
      <c r="F99" s="39"/>
      <c r="G99" s="40"/>
      <c r="H99" s="32"/>
      <c r="I99" s="33"/>
      <c r="J99" s="34"/>
      <c r="K99" s="32"/>
      <c r="L99" s="35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36"/>
      <c r="B100" s="37"/>
      <c r="C100" s="37"/>
      <c r="D100" s="38"/>
      <c r="E100" s="26"/>
      <c r="F100" s="39"/>
      <c r="G100" s="40"/>
      <c r="H100" s="32"/>
      <c r="I100" s="33"/>
      <c r="J100" s="34"/>
      <c r="K100" s="32"/>
      <c r="L100" s="35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36"/>
      <c r="B101" s="37"/>
      <c r="C101" s="37"/>
      <c r="D101" s="38"/>
      <c r="E101" s="26"/>
      <c r="F101" s="39"/>
      <c r="G101" s="40"/>
      <c r="H101" s="32"/>
      <c r="I101" s="33"/>
      <c r="J101" s="34"/>
      <c r="K101" s="32"/>
      <c r="L101" s="35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36"/>
      <c r="B102" s="37"/>
      <c r="C102" s="37"/>
      <c r="D102" s="38"/>
      <c r="E102" s="26"/>
      <c r="F102" s="39"/>
      <c r="G102" s="40"/>
      <c r="H102" s="32"/>
      <c r="I102" s="33"/>
      <c r="J102" s="34"/>
      <c r="K102" s="32"/>
      <c r="L102" s="35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36"/>
      <c r="B103" s="37"/>
      <c r="C103" s="37"/>
      <c r="D103" s="38"/>
      <c r="E103" s="26"/>
      <c r="F103" s="39"/>
      <c r="G103" s="40"/>
      <c r="H103" s="32"/>
      <c r="I103" s="33"/>
      <c r="J103" s="34"/>
      <c r="K103" s="32"/>
      <c r="L103" s="35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36"/>
      <c r="B104" s="37"/>
      <c r="C104" s="37"/>
      <c r="D104" s="38"/>
      <c r="E104" s="26"/>
      <c r="F104" s="39"/>
      <c r="G104" s="40"/>
      <c r="H104" s="32"/>
      <c r="I104" s="33"/>
      <c r="J104" s="34"/>
      <c r="K104" s="32"/>
      <c r="L104" s="35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36"/>
      <c r="B105" s="37"/>
      <c r="C105" s="37"/>
      <c r="D105" s="38"/>
      <c r="E105" s="26"/>
      <c r="F105" s="39"/>
      <c r="G105" s="40"/>
      <c r="H105" s="32"/>
      <c r="I105" s="33"/>
      <c r="J105" s="34"/>
      <c r="K105" s="32"/>
      <c r="L105" s="35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36"/>
      <c r="B106" s="37"/>
      <c r="C106" s="37"/>
      <c r="D106" s="38"/>
      <c r="E106" s="26"/>
      <c r="F106" s="39"/>
      <c r="G106" s="40"/>
      <c r="H106" s="32"/>
      <c r="I106" s="33"/>
      <c r="J106" s="34"/>
      <c r="K106" s="32"/>
      <c r="L106" s="35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36"/>
      <c r="B107" s="37"/>
      <c r="C107" s="37"/>
      <c r="D107" s="38"/>
      <c r="E107" s="26"/>
      <c r="F107" s="39"/>
      <c r="G107" s="40"/>
      <c r="H107" s="32"/>
      <c r="I107" s="33"/>
      <c r="J107" s="34"/>
      <c r="K107" s="32"/>
      <c r="L107" s="35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36"/>
      <c r="B108" s="37"/>
      <c r="C108" s="37"/>
      <c r="D108" s="38"/>
      <c r="E108" s="26"/>
      <c r="F108" s="39"/>
      <c r="G108" s="40"/>
      <c r="H108" s="32"/>
      <c r="I108" s="33"/>
      <c r="J108" s="34"/>
      <c r="K108" s="32"/>
      <c r="L108" s="35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36"/>
      <c r="B109" s="37"/>
      <c r="C109" s="37"/>
      <c r="D109" s="38"/>
      <c r="E109" s="26"/>
      <c r="F109" s="39"/>
      <c r="G109" s="40"/>
      <c r="H109" s="32"/>
      <c r="I109" s="33"/>
      <c r="J109" s="34"/>
      <c r="K109" s="32"/>
      <c r="L109" s="35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36"/>
      <c r="B110" s="37"/>
      <c r="C110" s="37"/>
      <c r="D110" s="38"/>
      <c r="E110" s="26"/>
      <c r="F110" s="39"/>
      <c r="G110" s="40"/>
      <c r="H110" s="32"/>
      <c r="I110" s="33"/>
      <c r="J110" s="34"/>
      <c r="K110" s="32"/>
      <c r="L110" s="35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36"/>
      <c r="B111" s="37"/>
      <c r="C111" s="37"/>
      <c r="D111" s="38"/>
      <c r="E111" s="26"/>
      <c r="F111" s="39"/>
      <c r="G111" s="40"/>
      <c r="H111" s="32"/>
      <c r="I111" s="33"/>
      <c r="J111" s="34"/>
      <c r="K111" s="32"/>
      <c r="L111" s="35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36"/>
      <c r="B112" s="37"/>
      <c r="C112" s="37"/>
      <c r="D112" s="38"/>
      <c r="E112" s="26"/>
      <c r="F112" s="39"/>
      <c r="G112" s="40"/>
      <c r="H112" s="32"/>
      <c r="I112" s="33"/>
      <c r="J112" s="34"/>
      <c r="K112" s="32"/>
      <c r="L112" s="35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36"/>
      <c r="B113" s="37"/>
      <c r="C113" s="37"/>
      <c r="D113" s="38"/>
      <c r="E113" s="26"/>
      <c r="F113" s="39"/>
      <c r="G113" s="40"/>
      <c r="H113" s="32"/>
      <c r="I113" s="33"/>
      <c r="J113" s="34"/>
      <c r="K113" s="32"/>
      <c r="L113" s="35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36"/>
      <c r="B114" s="37"/>
      <c r="C114" s="37"/>
      <c r="D114" s="38"/>
      <c r="E114" s="26"/>
      <c r="F114" s="39"/>
      <c r="G114" s="40"/>
      <c r="H114" s="32"/>
      <c r="I114" s="33"/>
      <c r="J114" s="34"/>
      <c r="K114" s="32"/>
      <c r="L114" s="35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26"/>
      <c r="B115" s="37"/>
      <c r="C115" s="37"/>
      <c r="D115" s="38"/>
      <c r="E115" s="26"/>
      <c r="F115" s="39"/>
      <c r="G115" s="40"/>
      <c r="H115" s="32"/>
      <c r="I115" s="33"/>
      <c r="J115" s="34"/>
      <c r="K115" s="32"/>
      <c r="L115" s="35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36"/>
      <c r="B116" s="37"/>
      <c r="C116" s="37"/>
      <c r="D116" s="38"/>
      <c r="E116" s="26"/>
      <c r="F116" s="39"/>
      <c r="G116" s="40"/>
      <c r="H116" s="32"/>
      <c r="I116" s="33"/>
      <c r="J116" s="34"/>
      <c r="K116" s="32"/>
      <c r="L116" s="35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36"/>
      <c r="B117" s="37"/>
      <c r="C117" s="37"/>
      <c r="D117" s="38"/>
      <c r="E117" s="26"/>
      <c r="F117" s="39"/>
      <c r="G117" s="40"/>
      <c r="H117" s="32"/>
      <c r="I117" s="33"/>
      <c r="J117" s="34"/>
      <c r="K117" s="32"/>
      <c r="L117" s="35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36"/>
      <c r="B118" s="37"/>
      <c r="C118" s="37"/>
      <c r="D118" s="38"/>
      <c r="E118" s="26"/>
      <c r="F118" s="39"/>
      <c r="G118" s="40"/>
      <c r="H118" s="32"/>
      <c r="I118" s="33"/>
      <c r="J118" s="34"/>
      <c r="K118" s="32"/>
      <c r="L118" s="35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36"/>
      <c r="B119" s="37"/>
      <c r="C119" s="37"/>
      <c r="D119" s="38"/>
      <c r="E119" s="26"/>
      <c r="F119" s="39"/>
      <c r="G119" s="40"/>
      <c r="H119" s="32"/>
      <c r="I119" s="33"/>
      <c r="J119" s="34"/>
      <c r="K119" s="32"/>
      <c r="L119" s="35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36"/>
      <c r="B120" s="37"/>
      <c r="C120" s="37"/>
      <c r="D120" s="38"/>
      <c r="E120" s="26"/>
      <c r="F120" s="39"/>
      <c r="G120" s="40"/>
      <c r="H120" s="32"/>
      <c r="I120" s="33"/>
      <c r="J120" s="34"/>
      <c r="K120" s="32"/>
      <c r="L120" s="35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6"/>
      <c r="B121" s="37"/>
      <c r="C121" s="37"/>
      <c r="D121" s="38"/>
      <c r="E121" s="26"/>
      <c r="F121" s="39"/>
      <c r="G121" s="40"/>
      <c r="H121" s="32"/>
      <c r="I121" s="33"/>
      <c r="J121" s="34"/>
      <c r="K121" s="32"/>
      <c r="L121" s="35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36"/>
      <c r="B122" s="37"/>
      <c r="C122" s="37"/>
      <c r="D122" s="38"/>
      <c r="E122" s="26"/>
      <c r="F122" s="39"/>
      <c r="G122" s="40"/>
      <c r="H122" s="32"/>
      <c r="I122" s="33"/>
      <c r="J122" s="34"/>
      <c r="K122" s="32"/>
      <c r="L122" s="35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36" t="str">
        <f>LEFT('JANUARY 10, 2026'!$E121,FIND("-",'JANUARY 10, 2026'!$E121&amp;"-")-1)</f>
        <v/>
      </c>
      <c r="B123" s="37"/>
      <c r="C123" s="37"/>
      <c r="D123" s="38"/>
      <c r="E123" s="26"/>
      <c r="F123" s="39"/>
      <c r="G123" s="40"/>
      <c r="H123" s="32"/>
      <c r="I123" s="33"/>
      <c r="J123" s="34"/>
      <c r="K123" s="32"/>
      <c r="L123" s="35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36" t="str">
        <f>LEFT('JANUARY 10, 2026'!$E122,FIND("-",'JANUARY 10, 2026'!$E122&amp;"-")-1)</f>
        <v/>
      </c>
      <c r="B124" s="37"/>
      <c r="C124" s="37"/>
      <c r="D124" s="38"/>
      <c r="E124" s="26"/>
      <c r="F124" s="39"/>
      <c r="G124" s="40"/>
      <c r="H124" s="32"/>
      <c r="I124" s="33"/>
      <c r="J124" s="34"/>
      <c r="K124" s="32"/>
      <c r="L124" s="35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36" t="str">
        <f>LEFT('JANUARY 10, 2026'!$E123,FIND("-",'JANUARY 10, 2026'!$E123&amp;"-")-1)</f>
        <v/>
      </c>
      <c r="B125" s="37"/>
      <c r="C125" s="37"/>
      <c r="D125" s="38"/>
      <c r="E125" s="26"/>
      <c r="F125" s="39"/>
      <c r="G125" s="40"/>
      <c r="H125" s="32"/>
      <c r="I125" s="33"/>
      <c r="J125" s="34"/>
      <c r="K125" s="32"/>
      <c r="L125" s="35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36" t="str">
        <f>LEFT('JANUARY 10, 2026'!$E124,FIND("-",'JANUARY 10, 2026'!$E124&amp;"-")-1)</f>
        <v/>
      </c>
      <c r="B126" s="37"/>
      <c r="C126" s="37"/>
      <c r="D126" s="38"/>
      <c r="E126" s="26"/>
      <c r="F126" s="39"/>
      <c r="G126" s="40"/>
      <c r="H126" s="32"/>
      <c r="I126" s="33"/>
      <c r="J126" s="34"/>
      <c r="K126" s="32"/>
      <c r="L126" s="35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36" t="str">
        <f>LEFT('JANUARY 10, 2026'!$E126,FIND("-",'JANUARY 10, 2026'!$E126&amp;"-")-1)</f>
        <v/>
      </c>
      <c r="B127" s="37"/>
      <c r="C127" s="37"/>
      <c r="D127" s="38"/>
      <c r="E127" s="26"/>
      <c r="F127" s="39"/>
      <c r="G127" s="40"/>
      <c r="H127" s="32"/>
      <c r="I127" s="33"/>
      <c r="J127" s="34"/>
      <c r="K127" s="32"/>
      <c r="L127" s="35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36" t="str">
        <f>LEFT('JANUARY 10, 2026'!$E4,FIND("-",'JANUARY 10, 2026'!$E4&amp;"-")-1)</f>
        <v/>
      </c>
      <c r="B128" s="37"/>
      <c r="C128" s="37"/>
      <c r="D128" s="38"/>
      <c r="E128" s="26"/>
      <c r="F128" s="39"/>
      <c r="G128" s="40"/>
      <c r="H128" s="32"/>
      <c r="I128" s="33"/>
      <c r="J128" s="34"/>
      <c r="K128" s="32"/>
      <c r="L128" s="35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36" t="str">
        <f>LEFT('JANUARY 10, 2026'!$E128,FIND("-",'JANUARY 10, 2026'!$E128&amp;"-")-1)</f>
        <v/>
      </c>
      <c r="B129" s="37"/>
      <c r="C129" s="37"/>
      <c r="D129" s="38"/>
      <c r="E129" s="26"/>
      <c r="F129" s="39"/>
      <c r="G129" s="40"/>
      <c r="H129" s="32"/>
      <c r="I129" s="33"/>
      <c r="J129" s="34"/>
      <c r="K129" s="32"/>
      <c r="L129" s="35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6" t="str">
        <f>LEFT('JANUARY 10, 2026'!$E129,FIND("-",'JANUARY 10, 2026'!$E129&amp;"-")-1)</f>
        <v/>
      </c>
      <c r="B130" s="37"/>
      <c r="C130" s="37"/>
      <c r="D130" s="38"/>
      <c r="E130" s="26"/>
      <c r="F130" s="39"/>
      <c r="G130" s="40"/>
      <c r="H130" s="32"/>
      <c r="I130" s="33"/>
      <c r="J130" s="34"/>
      <c r="K130" s="32"/>
      <c r="L130" s="35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6" t="str">
        <f>LEFT('JANUARY 10, 2026'!$E130,FIND("-",'JANUARY 10, 2026'!$E130&amp;"-")-1)</f>
        <v/>
      </c>
      <c r="B131" s="37"/>
      <c r="C131" s="37"/>
      <c r="D131" s="38"/>
      <c r="E131" s="26"/>
      <c r="F131" s="39"/>
      <c r="G131" s="40"/>
      <c r="H131" s="32"/>
      <c r="I131" s="33"/>
      <c r="J131" s="34"/>
      <c r="K131" s="32"/>
      <c r="L131" s="35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36" t="str">
        <f>LEFT('JANUARY 10, 2026'!$E131,FIND("-",'JANUARY 10, 2026'!$E131&amp;"-")-1)</f>
        <v/>
      </c>
      <c r="B132" s="37"/>
      <c r="C132" s="37"/>
      <c r="D132" s="38"/>
      <c r="E132" s="26"/>
      <c r="F132" s="39"/>
      <c r="G132" s="40"/>
      <c r="H132" s="32"/>
      <c r="I132" s="33"/>
      <c r="J132" s="34"/>
      <c r="K132" s="32"/>
      <c r="L132" s="35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36" t="str">
        <f>LEFT('JANUARY 10, 2026'!$E132,FIND("-",'JANUARY 10, 2026'!$E132&amp;"-")-1)</f>
        <v/>
      </c>
      <c r="B133" s="37"/>
      <c r="C133" s="37"/>
      <c r="D133" s="38"/>
      <c r="E133" s="26"/>
      <c r="F133" s="39"/>
      <c r="G133" s="40"/>
      <c r="H133" s="32"/>
      <c r="I133" s="33"/>
      <c r="J133" s="34"/>
      <c r="K133" s="32"/>
      <c r="L133" s="35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36" t="str">
        <f>LEFT('JANUARY 10, 2026'!$E133,FIND("-",'JANUARY 10, 2026'!$E133&amp;"-")-1)</f>
        <v/>
      </c>
      <c r="B134" s="37"/>
      <c r="C134" s="37"/>
      <c r="D134" s="38"/>
      <c r="E134" s="26"/>
      <c r="F134" s="39"/>
      <c r="G134" s="40"/>
      <c r="H134" s="32"/>
      <c r="I134" s="33"/>
      <c r="J134" s="34"/>
      <c r="K134" s="32"/>
      <c r="L134" s="35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6"/>
      <c r="B135" s="37"/>
      <c r="C135" s="37"/>
      <c r="D135" s="38"/>
      <c r="E135" s="26"/>
      <c r="F135" s="39"/>
      <c r="G135" s="40"/>
      <c r="H135" s="32"/>
      <c r="I135" s="33"/>
      <c r="J135" s="34"/>
      <c r="K135" s="32"/>
      <c r="L135" s="35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36"/>
      <c r="B136" s="37"/>
      <c r="C136" s="37"/>
      <c r="D136" s="38"/>
      <c r="E136" s="26"/>
      <c r="F136" s="39"/>
      <c r="G136" s="40"/>
      <c r="H136" s="32"/>
      <c r="I136" s="33"/>
      <c r="J136" s="34"/>
      <c r="K136" s="32"/>
      <c r="L136" s="35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36"/>
      <c r="B137" s="37"/>
      <c r="C137" s="37"/>
      <c r="D137" s="38"/>
      <c r="E137" s="26"/>
      <c r="F137" s="39"/>
      <c r="G137" s="40"/>
      <c r="H137" s="32"/>
      <c r="I137" s="33"/>
      <c r="J137" s="34"/>
      <c r="K137" s="32"/>
      <c r="L137" s="35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36"/>
      <c r="B138" s="37"/>
      <c r="C138" s="37"/>
      <c r="D138" s="38"/>
      <c r="E138" s="26"/>
      <c r="F138" s="39"/>
      <c r="G138" s="40"/>
      <c r="H138" s="32"/>
      <c r="I138" s="33"/>
      <c r="J138" s="34"/>
      <c r="K138" s="32"/>
      <c r="L138" s="35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36"/>
      <c r="B139" s="37"/>
      <c r="C139" s="37"/>
      <c r="D139" s="38"/>
      <c r="E139" s="26"/>
      <c r="F139" s="39"/>
      <c r="G139" s="40"/>
      <c r="H139" s="32"/>
      <c r="I139" s="33"/>
      <c r="J139" s="34"/>
      <c r="K139" s="32"/>
      <c r="L139" s="35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6"/>
      <c r="B140" s="37"/>
      <c r="C140" s="37"/>
      <c r="D140" s="38"/>
      <c r="E140" s="26"/>
      <c r="F140" s="39"/>
      <c r="G140" s="40"/>
      <c r="H140" s="32"/>
      <c r="I140" s="33"/>
      <c r="J140" s="34"/>
      <c r="K140" s="32"/>
      <c r="L140" s="35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36"/>
      <c r="B141" s="37"/>
      <c r="C141" s="37"/>
      <c r="D141" s="38"/>
      <c r="E141" s="26"/>
      <c r="F141" s="39"/>
      <c r="G141" s="40"/>
      <c r="H141" s="32"/>
      <c r="I141" s="33"/>
      <c r="J141" s="34"/>
      <c r="K141" s="32"/>
      <c r="L141" s="35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36"/>
      <c r="B142" s="37"/>
      <c r="C142" s="37"/>
      <c r="D142" s="38"/>
      <c r="E142" s="26"/>
      <c r="F142" s="39"/>
      <c r="G142" s="40"/>
      <c r="H142" s="32"/>
      <c r="I142" s="33"/>
      <c r="J142" s="34"/>
      <c r="K142" s="32"/>
      <c r="L142" s="35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36"/>
      <c r="B143" s="37"/>
      <c r="C143" s="37"/>
      <c r="D143" s="38"/>
      <c r="E143" s="26"/>
      <c r="F143" s="39"/>
      <c r="G143" s="40"/>
      <c r="H143" s="32"/>
      <c r="I143" s="33"/>
      <c r="J143" s="34"/>
      <c r="K143" s="32"/>
      <c r="L143" s="35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36"/>
      <c r="B144" s="37"/>
      <c r="C144" s="37"/>
      <c r="D144" s="38"/>
      <c r="E144" s="26"/>
      <c r="F144" s="39"/>
      <c r="G144" s="40"/>
      <c r="H144" s="32"/>
      <c r="I144" s="33"/>
      <c r="J144" s="34"/>
      <c r="K144" s="32"/>
      <c r="L144" s="35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36"/>
      <c r="B145" s="37"/>
      <c r="C145" s="37"/>
      <c r="D145" s="38"/>
      <c r="E145" s="26"/>
      <c r="F145" s="39"/>
      <c r="G145" s="40"/>
      <c r="H145" s="32"/>
      <c r="I145" s="33"/>
      <c r="J145" s="34"/>
      <c r="K145" s="32"/>
      <c r="L145" s="35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36"/>
      <c r="B146" s="37"/>
      <c r="C146" s="37"/>
      <c r="D146" s="38"/>
      <c r="E146" s="26"/>
      <c r="F146" s="39"/>
      <c r="G146" s="40"/>
      <c r="H146" s="32"/>
      <c r="I146" s="33"/>
      <c r="J146" s="34"/>
      <c r="K146" s="32"/>
      <c r="L146" s="35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36"/>
      <c r="B147" s="37"/>
      <c r="C147" s="37"/>
      <c r="D147" s="38"/>
      <c r="E147" s="26"/>
      <c r="F147" s="39"/>
      <c r="G147" s="40"/>
      <c r="H147" s="32"/>
      <c r="I147" s="33"/>
      <c r="J147" s="34"/>
      <c r="K147" s="32"/>
      <c r="L147" s="35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36"/>
      <c r="B148" s="37"/>
      <c r="C148" s="37"/>
      <c r="D148" s="38"/>
      <c r="E148" s="26"/>
      <c r="F148" s="39"/>
      <c r="G148" s="40"/>
      <c r="H148" s="32"/>
      <c r="I148" s="33"/>
      <c r="J148" s="34"/>
      <c r="K148" s="32"/>
      <c r="L148" s="35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36"/>
      <c r="B149" s="37"/>
      <c r="C149" s="37"/>
      <c r="D149" s="38"/>
      <c r="E149" s="26"/>
      <c r="F149" s="39"/>
      <c r="G149" s="40"/>
      <c r="H149" s="32"/>
      <c r="I149" s="33"/>
      <c r="J149" s="34"/>
      <c r="K149" s="32"/>
      <c r="L149" s="35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36"/>
      <c r="B150" s="37"/>
      <c r="C150" s="37"/>
      <c r="D150" s="38"/>
      <c r="E150" s="26"/>
      <c r="F150" s="39"/>
      <c r="G150" s="40"/>
      <c r="H150" s="32"/>
      <c r="I150" s="33"/>
      <c r="J150" s="34"/>
      <c r="K150" s="32"/>
      <c r="L150" s="35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36"/>
      <c r="B151" s="37"/>
      <c r="C151" s="37"/>
      <c r="D151" s="38"/>
      <c r="E151" s="26"/>
      <c r="F151" s="39"/>
      <c r="G151" s="40"/>
      <c r="H151" s="32"/>
      <c r="I151" s="33"/>
      <c r="J151" s="34"/>
      <c r="K151" s="32"/>
      <c r="L151" s="35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36"/>
      <c r="B152" s="37"/>
      <c r="C152" s="37"/>
      <c r="D152" s="38"/>
      <c r="E152" s="26"/>
      <c r="F152" s="39"/>
      <c r="G152" s="40"/>
      <c r="H152" s="32"/>
      <c r="I152" s="33"/>
      <c r="J152" s="34"/>
      <c r="K152" s="32"/>
      <c r="L152" s="35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36"/>
      <c r="B153" s="37"/>
      <c r="C153" s="37"/>
      <c r="D153" s="38"/>
      <c r="E153" s="26"/>
      <c r="F153" s="39"/>
      <c r="G153" s="40"/>
      <c r="H153" s="32"/>
      <c r="I153" s="33"/>
      <c r="J153" s="34"/>
      <c r="K153" s="32"/>
      <c r="L153" s="35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36"/>
      <c r="B154" s="37"/>
      <c r="C154" s="37"/>
      <c r="D154" s="38"/>
      <c r="E154" s="26"/>
      <c r="F154" s="39"/>
      <c r="G154" s="40"/>
      <c r="H154" s="32"/>
      <c r="I154" s="33"/>
      <c r="J154" s="34"/>
      <c r="K154" s="32"/>
      <c r="L154" s="35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36"/>
      <c r="B155" s="37"/>
      <c r="C155" s="37"/>
      <c r="D155" s="38"/>
      <c r="E155" s="26"/>
      <c r="F155" s="39"/>
      <c r="G155" s="40"/>
      <c r="H155" s="32"/>
      <c r="I155" s="33"/>
      <c r="J155" s="34"/>
      <c r="K155" s="32"/>
      <c r="L155" s="35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36"/>
      <c r="B156" s="37"/>
      <c r="C156" s="37"/>
      <c r="D156" s="38"/>
      <c r="E156" s="26"/>
      <c r="F156" s="39"/>
      <c r="G156" s="40"/>
      <c r="H156" s="32"/>
      <c r="I156" s="33"/>
      <c r="J156" s="34"/>
      <c r="K156" s="32"/>
      <c r="L156" s="35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36"/>
      <c r="B157" s="37"/>
      <c r="C157" s="37"/>
      <c r="D157" s="38"/>
      <c r="E157" s="26"/>
      <c r="F157" s="39"/>
      <c r="G157" s="40"/>
      <c r="H157" s="32"/>
      <c r="I157" s="33"/>
      <c r="J157" s="34"/>
      <c r="K157" s="32"/>
      <c r="L157" s="35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36"/>
      <c r="B158" s="37"/>
      <c r="C158" s="37"/>
      <c r="D158" s="38"/>
      <c r="E158" s="26"/>
      <c r="F158" s="39"/>
      <c r="G158" s="40"/>
      <c r="H158" s="32"/>
      <c r="I158" s="33"/>
      <c r="J158" s="34"/>
      <c r="K158" s="32"/>
      <c r="L158" s="35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36"/>
      <c r="B159" s="37"/>
      <c r="C159" s="37"/>
      <c r="D159" s="38"/>
      <c r="E159" s="26"/>
      <c r="F159" s="39"/>
      <c r="G159" s="40"/>
      <c r="H159" s="32"/>
      <c r="I159" s="33"/>
      <c r="J159" s="34"/>
      <c r="K159" s="32"/>
      <c r="L159" s="35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36"/>
      <c r="B160" s="37"/>
      <c r="C160" s="37"/>
      <c r="D160" s="38"/>
      <c r="E160" s="26"/>
      <c r="F160" s="39"/>
      <c r="G160" s="40"/>
      <c r="H160" s="32"/>
      <c r="I160" s="33"/>
      <c r="J160" s="34"/>
      <c r="K160" s="32"/>
      <c r="L160" s="35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36"/>
      <c r="B161" s="37"/>
      <c r="C161" s="37"/>
      <c r="D161" s="38"/>
      <c r="E161" s="26"/>
      <c r="F161" s="39"/>
      <c r="G161" s="40"/>
      <c r="H161" s="32"/>
      <c r="I161" s="33"/>
      <c r="J161" s="34"/>
      <c r="K161" s="32"/>
      <c r="L161" s="35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36"/>
      <c r="B162" s="37"/>
      <c r="C162" s="37"/>
      <c r="D162" s="38"/>
      <c r="E162" s="26"/>
      <c r="F162" s="39"/>
      <c r="G162" s="40"/>
      <c r="H162" s="32"/>
      <c r="I162" s="33"/>
      <c r="J162" s="34"/>
      <c r="K162" s="32"/>
      <c r="L162" s="35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36"/>
      <c r="B163" s="37"/>
      <c r="C163" s="37"/>
      <c r="D163" s="38"/>
      <c r="E163" s="26"/>
      <c r="F163" s="39"/>
      <c r="G163" s="40"/>
      <c r="H163" s="32"/>
      <c r="I163" s="33"/>
      <c r="J163" s="34"/>
      <c r="K163" s="32"/>
      <c r="L163" s="35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36"/>
      <c r="B164" s="37"/>
      <c r="C164" s="37"/>
      <c r="D164" s="38"/>
      <c r="E164" s="26"/>
      <c r="F164" s="39"/>
      <c r="G164" s="40"/>
      <c r="H164" s="32"/>
      <c r="I164" s="33"/>
      <c r="J164" s="34"/>
      <c r="K164" s="32"/>
      <c r="L164" s="35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36"/>
      <c r="B165" s="37"/>
      <c r="C165" s="37"/>
      <c r="D165" s="38"/>
      <c r="E165" s="26"/>
      <c r="F165" s="39"/>
      <c r="G165" s="40"/>
      <c r="H165" s="32"/>
      <c r="I165" s="33"/>
      <c r="J165" s="34"/>
      <c r="K165" s="32"/>
      <c r="L165" s="35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36"/>
      <c r="B166" s="37"/>
      <c r="C166" s="37"/>
      <c r="D166" s="38"/>
      <c r="E166" s="26"/>
      <c r="F166" s="39"/>
      <c r="G166" s="40"/>
      <c r="H166" s="32"/>
      <c r="I166" s="33"/>
      <c r="J166" s="34"/>
      <c r="K166" s="32"/>
      <c r="L166" s="35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36"/>
      <c r="B167" s="37"/>
      <c r="C167" s="37"/>
      <c r="D167" s="38"/>
      <c r="E167" s="26"/>
      <c r="F167" s="39"/>
      <c r="G167" s="40"/>
      <c r="H167" s="32"/>
      <c r="I167" s="33"/>
      <c r="J167" s="34"/>
      <c r="K167" s="32"/>
      <c r="L167" s="35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36"/>
      <c r="B168" s="37"/>
      <c r="C168" s="37"/>
      <c r="D168" s="38"/>
      <c r="E168" s="26"/>
      <c r="F168" s="39"/>
      <c r="G168" s="40"/>
      <c r="H168" s="32"/>
      <c r="I168" s="33"/>
      <c r="J168" s="34"/>
      <c r="K168" s="32"/>
      <c r="L168" s="35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36"/>
      <c r="B169" s="37"/>
      <c r="C169" s="37"/>
      <c r="D169" s="38"/>
      <c r="E169" s="26"/>
      <c r="F169" s="39"/>
      <c r="G169" s="40"/>
      <c r="H169" s="32"/>
      <c r="I169" s="33"/>
      <c r="J169" s="34"/>
      <c r="K169" s="32"/>
      <c r="L169" s="35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36"/>
      <c r="B170" s="37"/>
      <c r="C170" s="37"/>
      <c r="D170" s="38"/>
      <c r="E170" s="26"/>
      <c r="F170" s="39"/>
      <c r="G170" s="40"/>
      <c r="H170" s="32"/>
      <c r="I170" s="33"/>
      <c r="J170" s="34"/>
      <c r="K170" s="32"/>
      <c r="L170" s="35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26"/>
      <c r="B171" s="37"/>
      <c r="C171" s="37"/>
      <c r="D171" s="38"/>
      <c r="E171" s="26"/>
      <c r="F171" s="39"/>
      <c r="G171" s="40"/>
      <c r="H171" s="32"/>
      <c r="I171" s="33"/>
      <c r="J171" s="34"/>
      <c r="K171" s="32"/>
      <c r="L171" s="35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26"/>
      <c r="B172" s="37"/>
      <c r="C172" s="37"/>
      <c r="D172" s="38"/>
      <c r="E172" s="26"/>
      <c r="F172" s="39"/>
      <c r="G172" s="40"/>
      <c r="H172" s="32"/>
      <c r="I172" s="33"/>
      <c r="J172" s="34"/>
      <c r="K172" s="32"/>
      <c r="L172" s="35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26"/>
      <c r="B173" s="37"/>
      <c r="C173" s="37"/>
      <c r="D173" s="38"/>
      <c r="E173" s="26"/>
      <c r="F173" s="39"/>
      <c r="G173" s="40"/>
      <c r="H173" s="32"/>
      <c r="I173" s="33"/>
      <c r="J173" s="34"/>
      <c r="K173" s="32"/>
      <c r="L173" s="35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26"/>
      <c r="B174" s="37"/>
      <c r="C174" s="37"/>
      <c r="D174" s="38"/>
      <c r="E174" s="26"/>
      <c r="F174" s="39"/>
      <c r="G174" s="40"/>
      <c r="H174" s="32"/>
      <c r="I174" s="33"/>
      <c r="J174" s="34"/>
      <c r="K174" s="32"/>
      <c r="L174" s="35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26"/>
      <c r="B175" s="37"/>
      <c r="C175" s="37"/>
      <c r="D175" s="38"/>
      <c r="E175" s="26"/>
      <c r="F175" s="39"/>
      <c r="G175" s="40"/>
      <c r="H175" s="32"/>
      <c r="I175" s="33"/>
      <c r="J175" s="34"/>
      <c r="K175" s="32"/>
      <c r="L175" s="35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26"/>
      <c r="B176" s="37"/>
      <c r="C176" s="37"/>
      <c r="D176" s="38"/>
      <c r="E176" s="26"/>
      <c r="F176" s="39"/>
      <c r="G176" s="40"/>
      <c r="H176" s="32"/>
      <c r="I176" s="33"/>
      <c r="J176" s="34"/>
      <c r="K176" s="32"/>
      <c r="L176" s="35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26"/>
      <c r="B177" s="37"/>
      <c r="C177" s="37"/>
      <c r="D177" s="38"/>
      <c r="E177" s="26"/>
      <c r="F177" s="39"/>
      <c r="G177" s="40"/>
      <c r="H177" s="32"/>
      <c r="I177" s="33"/>
      <c r="J177" s="34"/>
      <c r="K177" s="32"/>
      <c r="L177" s="35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26"/>
      <c r="B178" s="37"/>
      <c r="C178" s="37"/>
      <c r="D178" s="38"/>
      <c r="E178" s="26"/>
      <c r="F178" s="39"/>
      <c r="G178" s="40"/>
      <c r="H178" s="32"/>
      <c r="I178" s="33"/>
      <c r="J178" s="34"/>
      <c r="K178" s="32"/>
      <c r="L178" s="35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26"/>
      <c r="B179" s="37"/>
      <c r="C179" s="37"/>
      <c r="D179" s="38"/>
      <c r="E179" s="26"/>
      <c r="F179" s="39"/>
      <c r="G179" s="40"/>
      <c r="H179" s="32"/>
      <c r="I179" s="33"/>
      <c r="J179" s="34"/>
      <c r="K179" s="32"/>
      <c r="L179" s="35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26"/>
      <c r="B180" s="37"/>
      <c r="C180" s="37"/>
      <c r="D180" s="38"/>
      <c r="E180" s="26"/>
      <c r="F180" s="39"/>
      <c r="G180" s="40"/>
      <c r="H180" s="32"/>
      <c r="I180" s="33"/>
      <c r="J180" s="34"/>
      <c r="K180" s="32"/>
      <c r="L180" s="35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26"/>
      <c r="B181" s="37"/>
      <c r="C181" s="37"/>
      <c r="D181" s="38"/>
      <c r="E181" s="26"/>
      <c r="F181" s="39"/>
      <c r="G181" s="40"/>
      <c r="H181" s="32"/>
      <c r="I181" s="33"/>
      <c r="J181" s="34"/>
      <c r="K181" s="32"/>
      <c r="L181" s="35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26"/>
      <c r="B182" s="37"/>
      <c r="C182" s="37"/>
      <c r="D182" s="38"/>
      <c r="E182" s="26"/>
      <c r="F182" s="39"/>
      <c r="G182" s="40"/>
      <c r="H182" s="32"/>
      <c r="I182" s="33"/>
      <c r="J182" s="34"/>
      <c r="K182" s="32"/>
      <c r="L182" s="35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26"/>
      <c r="B183" s="37"/>
      <c r="C183" s="37"/>
      <c r="D183" s="38"/>
      <c r="E183" s="26"/>
      <c r="F183" s="39"/>
      <c r="G183" s="40"/>
      <c r="H183" s="32"/>
      <c r="I183" s="33"/>
      <c r="J183" s="34"/>
      <c r="K183" s="32"/>
      <c r="L183" s="35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26"/>
      <c r="B184" s="37"/>
      <c r="C184" s="37"/>
      <c r="D184" s="38"/>
      <c r="E184" s="26"/>
      <c r="F184" s="39"/>
      <c r="G184" s="40"/>
      <c r="H184" s="32"/>
      <c r="I184" s="33"/>
      <c r="J184" s="34"/>
      <c r="K184" s="32"/>
      <c r="L184" s="35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26"/>
      <c r="B185" s="37"/>
      <c r="C185" s="37"/>
      <c r="D185" s="38"/>
      <c r="E185" s="26"/>
      <c r="F185" s="39"/>
      <c r="G185" s="40"/>
      <c r="H185" s="32"/>
      <c r="I185" s="33"/>
      <c r="J185" s="34"/>
      <c r="K185" s="32"/>
      <c r="L185" s="35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26"/>
      <c r="B186" s="37"/>
      <c r="C186" s="37"/>
      <c r="D186" s="38"/>
      <c r="E186" s="26"/>
      <c r="F186" s="39"/>
      <c r="G186" s="40"/>
      <c r="H186" s="32"/>
      <c r="I186" s="33"/>
      <c r="J186" s="34"/>
      <c r="K186" s="32"/>
      <c r="L186" s="35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26"/>
      <c r="B187" s="37"/>
      <c r="C187" s="37"/>
      <c r="D187" s="38"/>
      <c r="E187" s="26"/>
      <c r="F187" s="39"/>
      <c r="G187" s="40"/>
      <c r="H187" s="32"/>
      <c r="I187" s="33"/>
      <c r="J187" s="34"/>
      <c r="K187" s="32"/>
      <c r="L187" s="35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26"/>
      <c r="B188" s="37"/>
      <c r="C188" s="37"/>
      <c r="D188" s="38"/>
      <c r="E188" s="26"/>
      <c r="F188" s="39"/>
      <c r="G188" s="40"/>
      <c r="H188" s="32"/>
      <c r="I188" s="33"/>
      <c r="J188" s="34"/>
      <c r="K188" s="32"/>
      <c r="L188" s="35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26"/>
      <c r="B189" s="37"/>
      <c r="C189" s="37"/>
      <c r="D189" s="38"/>
      <c r="E189" s="26"/>
      <c r="F189" s="39"/>
      <c r="G189" s="40"/>
      <c r="H189" s="32"/>
      <c r="I189" s="33"/>
      <c r="J189" s="34"/>
      <c r="K189" s="32"/>
      <c r="L189" s="35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26"/>
      <c r="B190" s="37"/>
      <c r="C190" s="37"/>
      <c r="D190" s="38"/>
      <c r="E190" s="26"/>
      <c r="F190" s="39"/>
      <c r="G190" s="40"/>
      <c r="H190" s="32"/>
      <c r="I190" s="33"/>
      <c r="J190" s="34"/>
      <c r="K190" s="32"/>
      <c r="L190" s="35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26"/>
      <c r="B191" s="37"/>
      <c r="C191" s="37"/>
      <c r="D191" s="38"/>
      <c r="E191" s="26"/>
      <c r="F191" s="39"/>
      <c r="G191" s="40"/>
      <c r="H191" s="32"/>
      <c r="I191" s="33"/>
      <c r="J191" s="34"/>
      <c r="K191" s="32"/>
      <c r="L191" s="35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26"/>
      <c r="B192" s="37"/>
      <c r="C192" s="37"/>
      <c r="D192" s="38"/>
      <c r="E192" s="26"/>
      <c r="F192" s="39"/>
      <c r="G192" s="40"/>
      <c r="H192" s="32"/>
      <c r="I192" s="33"/>
      <c r="J192" s="34"/>
      <c r="K192" s="32"/>
      <c r="L192" s="35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26"/>
      <c r="B193" s="37"/>
      <c r="C193" s="37"/>
      <c r="D193" s="38"/>
      <c r="E193" s="26"/>
      <c r="F193" s="39"/>
      <c r="G193" s="40"/>
      <c r="H193" s="32"/>
      <c r="I193" s="33"/>
      <c r="J193" s="34"/>
      <c r="K193" s="32"/>
      <c r="L193" s="35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26"/>
      <c r="B194" s="37"/>
      <c r="C194" s="37"/>
      <c r="D194" s="38"/>
      <c r="E194" s="26"/>
      <c r="F194" s="39"/>
      <c r="G194" s="40"/>
      <c r="H194" s="32"/>
      <c r="I194" s="33"/>
      <c r="J194" s="34"/>
      <c r="K194" s="32"/>
      <c r="L194" s="35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26"/>
      <c r="B195" s="37"/>
      <c r="C195" s="37"/>
      <c r="D195" s="38"/>
      <c r="E195" s="26"/>
      <c r="F195" s="39"/>
      <c r="G195" s="40"/>
      <c r="H195" s="32"/>
      <c r="I195" s="33"/>
      <c r="J195" s="34"/>
      <c r="K195" s="32"/>
      <c r="L195" s="35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26"/>
      <c r="B196" s="37"/>
      <c r="C196" s="37"/>
      <c r="D196" s="38"/>
      <c r="E196" s="26"/>
      <c r="F196" s="39"/>
      <c r="G196" s="40"/>
      <c r="H196" s="32"/>
      <c r="I196" s="33"/>
      <c r="J196" s="34"/>
      <c r="K196" s="32"/>
      <c r="L196" s="35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26"/>
      <c r="B197" s="37"/>
      <c r="C197" s="37"/>
      <c r="D197" s="38"/>
      <c r="E197" s="26"/>
      <c r="F197" s="39"/>
      <c r="G197" s="40"/>
      <c r="H197" s="32"/>
      <c r="I197" s="33"/>
      <c r="J197" s="34"/>
      <c r="K197" s="32"/>
      <c r="L197" s="35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26"/>
      <c r="B198" s="37"/>
      <c r="C198" s="37"/>
      <c r="D198" s="38"/>
      <c r="E198" s="26"/>
      <c r="F198" s="39"/>
      <c r="G198" s="40"/>
      <c r="H198" s="32"/>
      <c r="I198" s="33"/>
      <c r="J198" s="34"/>
      <c r="K198" s="32"/>
      <c r="L198" s="35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26"/>
      <c r="B199" s="37"/>
      <c r="C199" s="37"/>
      <c r="D199" s="38"/>
      <c r="E199" s="26"/>
      <c r="F199" s="39"/>
      <c r="G199" s="40"/>
      <c r="H199" s="32"/>
      <c r="I199" s="33"/>
      <c r="J199" s="34"/>
      <c r="K199" s="32"/>
      <c r="L199" s="35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26"/>
      <c r="B200" s="37"/>
      <c r="C200" s="37"/>
      <c r="D200" s="38"/>
      <c r="E200" s="26"/>
      <c r="F200" s="39"/>
      <c r="G200" s="40"/>
      <c r="H200" s="32"/>
      <c r="I200" s="33"/>
      <c r="J200" s="34"/>
      <c r="K200" s="32"/>
      <c r="L200" s="35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26"/>
      <c r="B201" s="37"/>
      <c r="C201" s="37"/>
      <c r="D201" s="38"/>
      <c r="E201" s="26"/>
      <c r="F201" s="39"/>
      <c r="G201" s="40"/>
      <c r="H201" s="32"/>
      <c r="I201" s="33"/>
      <c r="J201" s="34"/>
      <c r="K201" s="32"/>
      <c r="L201" s="35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26"/>
      <c r="B202" s="37"/>
      <c r="C202" s="37"/>
      <c r="D202" s="38"/>
      <c r="E202" s="26"/>
      <c r="F202" s="39"/>
      <c r="G202" s="40"/>
      <c r="H202" s="32"/>
      <c r="I202" s="33"/>
      <c r="J202" s="34"/>
      <c r="K202" s="32"/>
      <c r="L202" s="35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26"/>
      <c r="B203" s="37"/>
      <c r="C203" s="37"/>
      <c r="D203" s="38"/>
      <c r="E203" s="26"/>
      <c r="F203" s="39"/>
      <c r="G203" s="40"/>
      <c r="H203" s="32"/>
      <c r="I203" s="33"/>
      <c r="J203" s="34"/>
      <c r="K203" s="32"/>
      <c r="L203" s="35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26"/>
      <c r="B204" s="37"/>
      <c r="C204" s="37"/>
      <c r="D204" s="38"/>
      <c r="E204" s="26"/>
      <c r="F204" s="39"/>
      <c r="G204" s="40"/>
      <c r="H204" s="32"/>
      <c r="I204" s="33"/>
      <c r="J204" s="34"/>
      <c r="K204" s="32"/>
      <c r="L204" s="35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26"/>
      <c r="B205" s="37"/>
      <c r="C205" s="37"/>
      <c r="D205" s="38"/>
      <c r="E205" s="26"/>
      <c r="F205" s="39"/>
      <c r="G205" s="40"/>
      <c r="H205" s="32"/>
      <c r="I205" s="33"/>
      <c r="J205" s="34"/>
      <c r="K205" s="32"/>
      <c r="L205" s="35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36"/>
      <c r="B206" s="37"/>
      <c r="C206" s="37"/>
      <c r="D206" s="38"/>
      <c r="E206" s="26"/>
      <c r="F206" s="39"/>
      <c r="G206" s="40"/>
      <c r="H206" s="32"/>
      <c r="I206" s="33"/>
      <c r="J206" s="34"/>
      <c r="K206" s="32"/>
      <c r="L206" s="35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36"/>
      <c r="B207" s="37"/>
      <c r="C207" s="37"/>
      <c r="D207" s="38"/>
      <c r="E207" s="26"/>
      <c r="F207" s="39"/>
      <c r="G207" s="40"/>
      <c r="H207" s="32"/>
      <c r="I207" s="33"/>
      <c r="J207" s="34"/>
      <c r="K207" s="32"/>
      <c r="L207" s="35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36"/>
      <c r="B208" s="37"/>
      <c r="C208" s="37"/>
      <c r="D208" s="38"/>
      <c r="E208" s="26"/>
      <c r="F208" s="39"/>
      <c r="G208" s="40"/>
      <c r="H208" s="32"/>
      <c r="I208" s="33"/>
      <c r="J208" s="34"/>
      <c r="K208" s="32"/>
      <c r="L208" s="35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36"/>
      <c r="B209" s="37"/>
      <c r="C209" s="37"/>
      <c r="D209" s="38"/>
      <c r="E209" s="26"/>
      <c r="F209" s="39"/>
      <c r="G209" s="40"/>
      <c r="H209" s="32"/>
      <c r="I209" s="33"/>
      <c r="J209" s="34"/>
      <c r="K209" s="32"/>
      <c r="L209" s="35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36"/>
      <c r="B210" s="37"/>
      <c r="C210" s="37"/>
      <c r="D210" s="38"/>
      <c r="E210" s="26"/>
      <c r="F210" s="39"/>
      <c r="G210" s="40"/>
      <c r="H210" s="32"/>
      <c r="I210" s="33"/>
      <c r="J210" s="34"/>
      <c r="K210" s="32"/>
      <c r="L210" s="35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36"/>
      <c r="B211" s="37"/>
      <c r="C211" s="37"/>
      <c r="D211" s="38"/>
      <c r="E211" s="26"/>
      <c r="F211" s="39"/>
      <c r="G211" s="40"/>
      <c r="H211" s="32"/>
      <c r="I211" s="33"/>
      <c r="J211" s="34"/>
      <c r="K211" s="32"/>
      <c r="L211" s="35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36"/>
      <c r="B212" s="37"/>
      <c r="C212" s="37"/>
      <c r="D212" s="38"/>
      <c r="E212" s="26"/>
      <c r="F212" s="39"/>
      <c r="G212" s="40"/>
      <c r="H212" s="32"/>
      <c r="I212" s="33"/>
      <c r="J212" s="34"/>
      <c r="K212" s="32"/>
      <c r="L212" s="35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36"/>
      <c r="B213" s="37"/>
      <c r="C213" s="37"/>
      <c r="D213" s="38"/>
      <c r="E213" s="26"/>
      <c r="F213" s="39"/>
      <c r="G213" s="40"/>
      <c r="H213" s="32"/>
      <c r="I213" s="33"/>
      <c r="J213" s="34"/>
      <c r="K213" s="32"/>
      <c r="L213" s="35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36"/>
      <c r="B214" s="37"/>
      <c r="C214" s="37"/>
      <c r="D214" s="38"/>
      <c r="E214" s="26"/>
      <c r="F214" s="39"/>
      <c r="G214" s="40"/>
      <c r="H214" s="32"/>
      <c r="I214" s="33"/>
      <c r="J214" s="34"/>
      <c r="K214" s="32"/>
      <c r="L214" s="35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36"/>
      <c r="B215" s="37"/>
      <c r="C215" s="37"/>
      <c r="D215" s="38"/>
      <c r="E215" s="26"/>
      <c r="F215" s="39"/>
      <c r="G215" s="40"/>
      <c r="H215" s="32"/>
      <c r="I215" s="33"/>
      <c r="J215" s="34"/>
      <c r="K215" s="32"/>
      <c r="L215" s="35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36"/>
      <c r="B216" s="37"/>
      <c r="C216" s="37"/>
      <c r="D216" s="38"/>
      <c r="E216" s="26"/>
      <c r="F216" s="39"/>
      <c r="G216" s="40"/>
      <c r="H216" s="32"/>
      <c r="I216" s="33"/>
      <c r="J216" s="34"/>
      <c r="K216" s="32"/>
      <c r="L216" s="35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36"/>
      <c r="B217" s="37"/>
      <c r="C217" s="37"/>
      <c r="D217" s="38"/>
      <c r="E217" s="26"/>
      <c r="F217" s="39"/>
      <c r="G217" s="40"/>
      <c r="H217" s="32"/>
      <c r="I217" s="33"/>
      <c r="J217" s="34"/>
      <c r="K217" s="32"/>
      <c r="L217" s="35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36"/>
      <c r="B218" s="37"/>
      <c r="C218" s="37"/>
      <c r="D218" s="38"/>
      <c r="E218" s="26"/>
      <c r="F218" s="39"/>
      <c r="G218" s="40"/>
      <c r="H218" s="32"/>
      <c r="I218" s="33"/>
      <c r="J218" s="34"/>
      <c r="K218" s="32"/>
      <c r="L218" s="35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36"/>
      <c r="B219" s="37"/>
      <c r="C219" s="37"/>
      <c r="D219" s="38"/>
      <c r="E219" s="26"/>
      <c r="F219" s="39"/>
      <c r="G219" s="40"/>
      <c r="H219" s="32"/>
      <c r="I219" s="33"/>
      <c r="J219" s="34"/>
      <c r="K219" s="32"/>
      <c r="L219" s="35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36"/>
      <c r="B220" s="37"/>
      <c r="C220" s="37"/>
      <c r="D220" s="38"/>
      <c r="E220" s="26"/>
      <c r="F220" s="39"/>
      <c r="G220" s="40"/>
      <c r="H220" s="32"/>
      <c r="I220" s="33"/>
      <c r="J220" s="34"/>
      <c r="K220" s="32"/>
      <c r="L220" s="35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36"/>
      <c r="B221" s="37"/>
      <c r="C221" s="37"/>
      <c r="D221" s="38"/>
      <c r="E221" s="26"/>
      <c r="F221" s="39"/>
      <c r="G221" s="40"/>
      <c r="H221" s="32"/>
      <c r="I221" s="33"/>
      <c r="J221" s="34"/>
      <c r="K221" s="32"/>
      <c r="L221" s="35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36"/>
      <c r="B222" s="37"/>
      <c r="C222" s="37"/>
      <c r="D222" s="38"/>
      <c r="E222" s="26"/>
      <c r="F222" s="39"/>
      <c r="G222" s="40"/>
      <c r="H222" s="32"/>
      <c r="I222" s="33"/>
      <c r="J222" s="34"/>
      <c r="K222" s="32"/>
      <c r="L222" s="35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36"/>
      <c r="B223" s="37"/>
      <c r="C223" s="37"/>
      <c r="D223" s="38"/>
      <c r="E223" s="26"/>
      <c r="F223" s="39"/>
      <c r="G223" s="40"/>
      <c r="H223" s="32"/>
      <c r="I223" s="33"/>
      <c r="J223" s="34"/>
      <c r="K223" s="32"/>
      <c r="L223" s="35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36"/>
      <c r="B224" s="37"/>
      <c r="C224" s="37"/>
      <c r="D224" s="38"/>
      <c r="E224" s="26"/>
      <c r="F224" s="39"/>
      <c r="G224" s="40"/>
      <c r="H224" s="32"/>
      <c r="I224" s="33"/>
      <c r="J224" s="34"/>
      <c r="K224" s="32"/>
      <c r="L224" s="35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36"/>
      <c r="B225" s="37"/>
      <c r="C225" s="37"/>
      <c r="D225" s="38"/>
      <c r="E225" s="26"/>
      <c r="F225" s="39"/>
      <c r="G225" s="40"/>
      <c r="H225" s="32"/>
      <c r="I225" s="33"/>
      <c r="J225" s="34"/>
      <c r="K225" s="32"/>
      <c r="L225" s="35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36"/>
      <c r="B226" s="37"/>
      <c r="C226" s="37"/>
      <c r="D226" s="38"/>
      <c r="E226" s="26"/>
      <c r="F226" s="39"/>
      <c r="G226" s="40"/>
      <c r="H226" s="32"/>
      <c r="I226" s="33"/>
      <c r="J226" s="34"/>
      <c r="K226" s="32"/>
      <c r="L226" s="35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36"/>
      <c r="B227" s="37"/>
      <c r="C227" s="37"/>
      <c r="D227" s="38"/>
      <c r="E227" s="26"/>
      <c r="F227" s="39"/>
      <c r="G227" s="40"/>
      <c r="H227" s="32"/>
      <c r="I227" s="33"/>
      <c r="J227" s="34"/>
      <c r="K227" s="32"/>
      <c r="L227" s="35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36"/>
      <c r="B228" s="37"/>
      <c r="C228" s="37"/>
      <c r="D228" s="38"/>
      <c r="E228" s="26"/>
      <c r="F228" s="39"/>
      <c r="G228" s="40"/>
      <c r="H228" s="32"/>
      <c r="I228" s="33"/>
      <c r="J228" s="34"/>
      <c r="K228" s="32"/>
      <c r="L228" s="35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36"/>
      <c r="B229" s="37"/>
      <c r="C229" s="37"/>
      <c r="D229" s="38"/>
      <c r="E229" s="26"/>
      <c r="F229" s="39"/>
      <c r="G229" s="40"/>
      <c r="H229" s="32"/>
      <c r="I229" s="33"/>
      <c r="J229" s="34"/>
      <c r="K229" s="32"/>
      <c r="L229" s="35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36"/>
      <c r="B230" s="37"/>
      <c r="C230" s="37"/>
      <c r="D230" s="38"/>
      <c r="E230" s="26"/>
      <c r="F230" s="39"/>
      <c r="G230" s="40"/>
      <c r="H230" s="32"/>
      <c r="I230" s="33"/>
      <c r="J230" s="34"/>
      <c r="K230" s="32"/>
      <c r="L230" s="35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36"/>
      <c r="B231" s="37"/>
      <c r="C231" s="37"/>
      <c r="D231" s="38"/>
      <c r="E231" s="26"/>
      <c r="F231" s="39"/>
      <c r="G231" s="40"/>
      <c r="H231" s="32"/>
      <c r="I231" s="33"/>
      <c r="J231" s="34"/>
      <c r="K231" s="32"/>
      <c r="L231" s="35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36"/>
      <c r="B232" s="37"/>
      <c r="C232" s="37"/>
      <c r="D232" s="38"/>
      <c r="E232" s="26"/>
      <c r="F232" s="39"/>
      <c r="G232" s="40"/>
      <c r="H232" s="32"/>
      <c r="I232" s="33"/>
      <c r="J232" s="34"/>
      <c r="K232" s="32"/>
      <c r="L232" s="35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36"/>
      <c r="B233" s="37"/>
      <c r="C233" s="37"/>
      <c r="D233" s="38"/>
      <c r="E233" s="26"/>
      <c r="F233" s="39"/>
      <c r="G233" s="40"/>
      <c r="H233" s="32"/>
      <c r="I233" s="33"/>
      <c r="J233" s="34"/>
      <c r="K233" s="32"/>
      <c r="L233" s="35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36"/>
      <c r="B234" s="37"/>
      <c r="C234" s="37"/>
      <c r="D234" s="38"/>
      <c r="E234" s="26"/>
      <c r="F234" s="39"/>
      <c r="G234" s="40"/>
      <c r="H234" s="32"/>
      <c r="I234" s="33"/>
      <c r="J234" s="34"/>
      <c r="K234" s="32"/>
      <c r="L234" s="35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36"/>
      <c r="B235" s="37"/>
      <c r="C235" s="37"/>
      <c r="D235" s="38"/>
      <c r="E235" s="26"/>
      <c r="F235" s="39"/>
      <c r="G235" s="40"/>
      <c r="H235" s="32"/>
      <c r="I235" s="33"/>
      <c r="J235" s="34"/>
      <c r="K235" s="32"/>
      <c r="L235" s="35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36"/>
      <c r="B236" s="37"/>
      <c r="C236" s="37"/>
      <c r="D236" s="38"/>
      <c r="E236" s="26"/>
      <c r="F236" s="39"/>
      <c r="G236" s="40"/>
      <c r="H236" s="32"/>
      <c r="I236" s="33"/>
      <c r="J236" s="34"/>
      <c r="K236" s="32"/>
      <c r="L236" s="35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36"/>
      <c r="B237" s="37"/>
      <c r="C237" s="37"/>
      <c r="D237" s="38"/>
      <c r="E237" s="26"/>
      <c r="F237" s="39"/>
      <c r="G237" s="40"/>
      <c r="H237" s="32"/>
      <c r="I237" s="33"/>
      <c r="J237" s="34"/>
      <c r="K237" s="32"/>
      <c r="L237" s="35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36"/>
      <c r="B238" s="37"/>
      <c r="C238" s="37"/>
      <c r="D238" s="38"/>
      <c r="E238" s="26"/>
      <c r="F238" s="39"/>
      <c r="G238" s="40"/>
      <c r="H238" s="32"/>
      <c r="I238" s="33"/>
      <c r="J238" s="34"/>
      <c r="K238" s="32"/>
      <c r="L238" s="35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36"/>
      <c r="B239" s="37"/>
      <c r="C239" s="37"/>
      <c r="D239" s="38"/>
      <c r="E239" s="26"/>
      <c r="F239" s="39"/>
      <c r="G239" s="40"/>
      <c r="H239" s="32"/>
      <c r="I239" s="33"/>
      <c r="J239" s="34"/>
      <c r="K239" s="32"/>
      <c r="L239" s="35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36"/>
      <c r="B240" s="37"/>
      <c r="C240" s="37"/>
      <c r="D240" s="38"/>
      <c r="E240" s="26"/>
      <c r="F240" s="39"/>
      <c r="G240" s="40"/>
      <c r="H240" s="32"/>
      <c r="I240" s="33"/>
      <c r="J240" s="34"/>
      <c r="K240" s="32"/>
      <c r="L240" s="35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36"/>
      <c r="B241" s="37"/>
      <c r="C241" s="37"/>
      <c r="D241" s="38"/>
      <c r="E241" s="26"/>
      <c r="F241" s="39"/>
      <c r="G241" s="40"/>
      <c r="H241" s="32"/>
      <c r="I241" s="33"/>
      <c r="J241" s="34"/>
      <c r="K241" s="32"/>
      <c r="L241" s="35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36"/>
      <c r="B242" s="37"/>
      <c r="C242" s="37"/>
      <c r="D242" s="38"/>
      <c r="E242" s="26"/>
      <c r="F242" s="39"/>
      <c r="G242" s="40"/>
      <c r="H242" s="32"/>
      <c r="I242" s="33"/>
      <c r="J242" s="34"/>
      <c r="K242" s="32"/>
      <c r="L242" s="35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36"/>
      <c r="B243" s="37"/>
      <c r="C243" s="37"/>
      <c r="D243" s="38"/>
      <c r="E243" s="26"/>
      <c r="F243" s="39"/>
      <c r="G243" s="40"/>
      <c r="H243" s="32"/>
      <c r="I243" s="33"/>
      <c r="J243" s="34"/>
      <c r="K243" s="32"/>
      <c r="L243" s="35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36"/>
      <c r="B244" s="37"/>
      <c r="C244" s="37"/>
      <c r="D244" s="38"/>
      <c r="E244" s="26"/>
      <c r="F244" s="39"/>
      <c r="G244" s="40"/>
      <c r="H244" s="32"/>
      <c r="I244" s="33"/>
      <c r="J244" s="34"/>
      <c r="K244" s="32"/>
      <c r="L244" s="35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36"/>
      <c r="B245" s="37"/>
      <c r="C245" s="37"/>
      <c r="D245" s="38"/>
      <c r="E245" s="26"/>
      <c r="F245" s="39"/>
      <c r="G245" s="40"/>
      <c r="H245" s="32"/>
      <c r="I245" s="33"/>
      <c r="J245" s="34"/>
      <c r="K245" s="32"/>
      <c r="L245" s="35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36"/>
      <c r="B246" s="37"/>
      <c r="C246" s="37"/>
      <c r="D246" s="38"/>
      <c r="E246" s="26"/>
      <c r="F246" s="39"/>
      <c r="G246" s="40"/>
      <c r="H246" s="32"/>
      <c r="I246" s="33"/>
      <c r="J246" s="34"/>
      <c r="K246" s="32"/>
      <c r="L246" s="35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36"/>
      <c r="B247" s="37"/>
      <c r="C247" s="37"/>
      <c r="D247" s="38"/>
      <c r="E247" s="26"/>
      <c r="F247" s="39"/>
      <c r="G247" s="40"/>
      <c r="H247" s="32"/>
      <c r="I247" s="33"/>
      <c r="J247" s="34"/>
      <c r="K247" s="32"/>
      <c r="L247" s="35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36"/>
      <c r="B248" s="37"/>
      <c r="C248" s="37"/>
      <c r="D248" s="38"/>
      <c r="E248" s="26"/>
      <c r="F248" s="39"/>
      <c r="G248" s="40"/>
      <c r="H248" s="32"/>
      <c r="I248" s="33"/>
      <c r="J248" s="34"/>
      <c r="K248" s="32"/>
      <c r="L248" s="35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36"/>
      <c r="B249" s="37"/>
      <c r="C249" s="37"/>
      <c r="D249" s="38"/>
      <c r="E249" s="26"/>
      <c r="F249" s="39"/>
      <c r="G249" s="40"/>
      <c r="H249" s="32"/>
      <c r="I249" s="33"/>
      <c r="J249" s="34"/>
      <c r="K249" s="32"/>
      <c r="L249" s="35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36"/>
      <c r="B250" s="37"/>
      <c r="C250" s="37"/>
      <c r="D250" s="38"/>
      <c r="E250" s="26"/>
      <c r="F250" s="39"/>
      <c r="G250" s="40"/>
      <c r="H250" s="32"/>
      <c r="I250" s="33"/>
      <c r="J250" s="34"/>
      <c r="K250" s="32"/>
      <c r="L250" s="35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36"/>
      <c r="B251" s="37"/>
      <c r="C251" s="37"/>
      <c r="D251" s="38"/>
      <c r="E251" s="26"/>
      <c r="F251" s="39"/>
      <c r="G251" s="40"/>
      <c r="H251" s="32"/>
      <c r="I251" s="33"/>
      <c r="J251" s="34"/>
      <c r="K251" s="32"/>
      <c r="L251" s="35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36"/>
      <c r="B252" s="37"/>
      <c r="C252" s="37"/>
      <c r="D252" s="38"/>
      <c r="E252" s="26"/>
      <c r="F252" s="39"/>
      <c r="G252" s="40"/>
      <c r="H252" s="32"/>
      <c r="I252" s="33"/>
      <c r="J252" s="34"/>
      <c r="K252" s="32"/>
      <c r="L252" s="35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36"/>
      <c r="B253" s="37"/>
      <c r="C253" s="37"/>
      <c r="D253" s="38"/>
      <c r="E253" s="26"/>
      <c r="F253" s="39"/>
      <c r="G253" s="40"/>
      <c r="H253" s="32"/>
      <c r="I253" s="33"/>
      <c r="J253" s="34"/>
      <c r="K253" s="32"/>
      <c r="L253" s="35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36"/>
      <c r="B254" s="37"/>
      <c r="C254" s="37"/>
      <c r="D254" s="38"/>
      <c r="E254" s="26"/>
      <c r="F254" s="39"/>
      <c r="G254" s="40"/>
      <c r="H254" s="32"/>
      <c r="I254" s="33"/>
      <c r="J254" s="34"/>
      <c r="K254" s="32"/>
      <c r="L254" s="35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36"/>
      <c r="B255" s="37"/>
      <c r="C255" s="37"/>
      <c r="D255" s="38"/>
      <c r="E255" s="26"/>
      <c r="F255" s="39"/>
      <c r="G255" s="40"/>
      <c r="H255" s="32"/>
      <c r="I255" s="33"/>
      <c r="J255" s="34"/>
      <c r="K255" s="32"/>
      <c r="L255" s="35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36"/>
      <c r="B256" s="37"/>
      <c r="C256" s="37"/>
      <c r="D256" s="38"/>
      <c r="E256" s="26"/>
      <c r="F256" s="39"/>
      <c r="G256" s="40"/>
      <c r="H256" s="32"/>
      <c r="I256" s="33"/>
      <c r="J256" s="34"/>
      <c r="K256" s="32"/>
      <c r="L256" s="35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36"/>
      <c r="B257" s="37"/>
      <c r="C257" s="37"/>
      <c r="D257" s="38"/>
      <c r="E257" s="26"/>
      <c r="F257" s="39"/>
      <c r="G257" s="40"/>
      <c r="H257" s="32"/>
      <c r="I257" s="33"/>
      <c r="J257" s="34"/>
      <c r="K257" s="32"/>
      <c r="L257" s="35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36"/>
      <c r="B258" s="37"/>
      <c r="C258" s="37"/>
      <c r="D258" s="38"/>
      <c r="E258" s="26"/>
      <c r="F258" s="39"/>
      <c r="G258" s="40"/>
      <c r="H258" s="32"/>
      <c r="I258" s="33"/>
      <c r="J258" s="34"/>
      <c r="K258" s="32"/>
      <c r="L258" s="35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36"/>
      <c r="B259" s="37"/>
      <c r="C259" s="37"/>
      <c r="D259" s="38"/>
      <c r="E259" s="26"/>
      <c r="F259" s="39"/>
      <c r="G259" s="40"/>
      <c r="H259" s="32"/>
      <c r="I259" s="33"/>
      <c r="J259" s="34"/>
      <c r="K259" s="32"/>
      <c r="L259" s="35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36"/>
      <c r="B260" s="37"/>
      <c r="C260" s="37"/>
      <c r="D260" s="38"/>
      <c r="E260" s="26"/>
      <c r="F260" s="39"/>
      <c r="G260" s="40"/>
      <c r="H260" s="32"/>
      <c r="I260" s="33"/>
      <c r="J260" s="34"/>
      <c r="K260" s="32"/>
      <c r="L260" s="35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36"/>
      <c r="B261" s="37"/>
      <c r="C261" s="37"/>
      <c r="D261" s="38"/>
      <c r="E261" s="26"/>
      <c r="F261" s="39"/>
      <c r="G261" s="40"/>
      <c r="H261" s="32"/>
      <c r="I261" s="33"/>
      <c r="J261" s="34"/>
      <c r="K261" s="32"/>
      <c r="L261" s="35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36"/>
      <c r="B262" s="37"/>
      <c r="C262" s="37"/>
      <c r="D262" s="38"/>
      <c r="E262" s="26"/>
      <c r="F262" s="39"/>
      <c r="G262" s="40"/>
      <c r="H262" s="32"/>
      <c r="I262" s="33"/>
      <c r="J262" s="34"/>
      <c r="K262" s="32"/>
      <c r="L262" s="35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36"/>
      <c r="B263" s="37"/>
      <c r="C263" s="37"/>
      <c r="D263" s="38"/>
      <c r="E263" s="26"/>
      <c r="F263" s="39"/>
      <c r="G263" s="40"/>
      <c r="H263" s="32"/>
      <c r="I263" s="33"/>
      <c r="J263" s="34"/>
      <c r="K263" s="32"/>
      <c r="L263" s="35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36"/>
      <c r="B264" s="37"/>
      <c r="C264" s="37"/>
      <c r="D264" s="38"/>
      <c r="E264" s="26"/>
      <c r="F264" s="39"/>
      <c r="G264" s="40"/>
      <c r="H264" s="32"/>
      <c r="I264" s="33"/>
      <c r="J264" s="34"/>
      <c r="K264" s="32"/>
      <c r="L264" s="35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36"/>
      <c r="B265" s="37"/>
      <c r="C265" s="37"/>
      <c r="D265" s="38"/>
      <c r="E265" s="26"/>
      <c r="F265" s="39"/>
      <c r="G265" s="40"/>
      <c r="H265" s="32"/>
      <c r="I265" s="33"/>
      <c r="J265" s="34"/>
      <c r="K265" s="32"/>
      <c r="L265" s="35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36"/>
      <c r="B266" s="37"/>
      <c r="C266" s="37"/>
      <c r="D266" s="38"/>
      <c r="E266" s="26"/>
      <c r="F266" s="39"/>
      <c r="G266" s="40"/>
      <c r="H266" s="32"/>
      <c r="I266" s="33"/>
      <c r="J266" s="34"/>
      <c r="K266" s="32"/>
      <c r="L266" s="35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36"/>
      <c r="B267" s="37"/>
      <c r="C267" s="37"/>
      <c r="D267" s="38"/>
      <c r="E267" s="26"/>
      <c r="F267" s="39"/>
      <c r="G267" s="40"/>
      <c r="H267" s="32"/>
      <c r="I267" s="33"/>
      <c r="J267" s="34"/>
      <c r="K267" s="32"/>
      <c r="L267" s="35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36"/>
      <c r="B268" s="37"/>
      <c r="C268" s="37"/>
      <c r="D268" s="38"/>
      <c r="E268" s="26"/>
      <c r="F268" s="39"/>
      <c r="G268" s="40"/>
      <c r="H268" s="32"/>
      <c r="I268" s="33"/>
      <c r="J268" s="34"/>
      <c r="K268" s="32"/>
      <c r="L268" s="35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36"/>
      <c r="B269" s="37"/>
      <c r="C269" s="37"/>
      <c r="D269" s="38"/>
      <c r="E269" s="26"/>
      <c r="F269" s="39"/>
      <c r="G269" s="40"/>
      <c r="H269" s="32"/>
      <c r="I269" s="33"/>
      <c r="J269" s="34"/>
      <c r="K269" s="32"/>
      <c r="L269" s="35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36"/>
      <c r="B270" s="37"/>
      <c r="C270" s="37"/>
      <c r="D270" s="38"/>
      <c r="E270" s="26"/>
      <c r="F270" s="39"/>
      <c r="G270" s="40"/>
      <c r="H270" s="32"/>
      <c r="I270" s="33"/>
      <c r="J270" s="34"/>
      <c r="K270" s="32"/>
      <c r="L270" s="35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36"/>
      <c r="B271" s="37"/>
      <c r="C271" s="37"/>
      <c r="D271" s="38"/>
      <c r="E271" s="26"/>
      <c r="F271" s="39"/>
      <c r="G271" s="40"/>
      <c r="H271" s="32"/>
      <c r="I271" s="33"/>
      <c r="J271" s="34"/>
      <c r="K271" s="32"/>
      <c r="L271" s="35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36"/>
      <c r="B272" s="37"/>
      <c r="C272" s="37"/>
      <c r="D272" s="38"/>
      <c r="E272" s="26"/>
      <c r="F272" s="39"/>
      <c r="G272" s="40"/>
      <c r="H272" s="32"/>
      <c r="I272" s="33"/>
      <c r="J272" s="34"/>
      <c r="K272" s="32"/>
      <c r="L272" s="35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36"/>
      <c r="B273" s="37"/>
      <c r="C273" s="37"/>
      <c r="D273" s="38"/>
      <c r="E273" s="26"/>
      <c r="F273" s="39"/>
      <c r="G273" s="40"/>
      <c r="H273" s="32"/>
      <c r="I273" s="33"/>
      <c r="J273" s="34"/>
      <c r="K273" s="32"/>
      <c r="L273" s="35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36"/>
      <c r="B274" s="37"/>
      <c r="C274" s="37"/>
      <c r="D274" s="38"/>
      <c r="E274" s="26"/>
      <c r="F274" s="39"/>
      <c r="G274" s="40"/>
      <c r="H274" s="32"/>
      <c r="I274" s="33"/>
      <c r="J274" s="34"/>
      <c r="K274" s="32"/>
      <c r="L274" s="35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36"/>
      <c r="B275" s="37"/>
      <c r="C275" s="37"/>
      <c r="D275" s="38"/>
      <c r="E275" s="26"/>
      <c r="F275" s="39"/>
      <c r="G275" s="40"/>
      <c r="H275" s="32"/>
      <c r="I275" s="33"/>
      <c r="J275" s="34"/>
      <c r="K275" s="32"/>
      <c r="L275" s="35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36"/>
      <c r="B276" s="37"/>
      <c r="C276" s="37"/>
      <c r="D276" s="38"/>
      <c r="E276" s="26"/>
      <c r="F276" s="39"/>
      <c r="G276" s="40"/>
      <c r="H276" s="32"/>
      <c r="I276" s="33"/>
      <c r="J276" s="34"/>
      <c r="K276" s="32"/>
      <c r="L276" s="35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36"/>
      <c r="B277" s="37"/>
      <c r="C277" s="37"/>
      <c r="D277" s="38"/>
      <c r="E277" s="26"/>
      <c r="F277" s="39"/>
      <c r="G277" s="40"/>
      <c r="H277" s="32"/>
      <c r="I277" s="33"/>
      <c r="J277" s="34"/>
      <c r="K277" s="32"/>
      <c r="L277" s="35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36"/>
      <c r="B278" s="37"/>
      <c r="C278" s="37"/>
      <c r="D278" s="38"/>
      <c r="E278" s="26"/>
      <c r="F278" s="39"/>
      <c r="G278" s="40"/>
      <c r="H278" s="32"/>
      <c r="I278" s="33"/>
      <c r="J278" s="34"/>
      <c r="K278" s="32"/>
      <c r="L278" s="35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36"/>
      <c r="B279" s="37"/>
      <c r="C279" s="37"/>
      <c r="D279" s="38"/>
      <c r="E279" s="26"/>
      <c r="F279" s="39"/>
      <c r="G279" s="40"/>
      <c r="H279" s="32"/>
      <c r="I279" s="33"/>
      <c r="J279" s="34"/>
      <c r="K279" s="32"/>
      <c r="L279" s="35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36"/>
      <c r="B280" s="37"/>
      <c r="C280" s="37"/>
      <c r="D280" s="38"/>
      <c r="E280" s="26"/>
      <c r="F280" s="39"/>
      <c r="G280" s="40"/>
      <c r="H280" s="32"/>
      <c r="I280" s="33"/>
      <c r="J280" s="34"/>
      <c r="K280" s="32"/>
      <c r="L280" s="35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36"/>
      <c r="B281" s="37"/>
      <c r="C281" s="37"/>
      <c r="D281" s="38"/>
      <c r="E281" s="26"/>
      <c r="F281" s="39"/>
      <c r="G281" s="40"/>
      <c r="H281" s="32"/>
      <c r="I281" s="33"/>
      <c r="J281" s="34"/>
      <c r="K281" s="32"/>
      <c r="L281" s="35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36"/>
      <c r="B282" s="37"/>
      <c r="C282" s="37"/>
      <c r="D282" s="38"/>
      <c r="E282" s="26"/>
      <c r="F282" s="39"/>
      <c r="G282" s="40"/>
      <c r="H282" s="32"/>
      <c r="I282" s="33"/>
      <c r="J282" s="34"/>
      <c r="K282" s="32"/>
      <c r="L282" s="35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36"/>
      <c r="B283" s="37"/>
      <c r="C283" s="37"/>
      <c r="D283" s="38"/>
      <c r="E283" s="26"/>
      <c r="F283" s="39"/>
      <c r="G283" s="40"/>
      <c r="H283" s="32"/>
      <c r="I283" s="33"/>
      <c r="J283" s="34"/>
      <c r="K283" s="32"/>
      <c r="L283" s="35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36"/>
      <c r="B284" s="37"/>
      <c r="C284" s="37"/>
      <c r="D284" s="38"/>
      <c r="E284" s="26"/>
      <c r="F284" s="39"/>
      <c r="G284" s="40"/>
      <c r="H284" s="32"/>
      <c r="I284" s="33"/>
      <c r="J284" s="34"/>
      <c r="K284" s="32"/>
      <c r="L284" s="35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36"/>
      <c r="B285" s="37"/>
      <c r="C285" s="37"/>
      <c r="D285" s="38"/>
      <c r="E285" s="26"/>
      <c r="F285" s="39"/>
      <c r="G285" s="40"/>
      <c r="H285" s="32"/>
      <c r="I285" s="33"/>
      <c r="J285" s="34"/>
      <c r="K285" s="32"/>
      <c r="L285" s="35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36"/>
      <c r="B286" s="37"/>
      <c r="C286" s="37"/>
      <c r="D286" s="38"/>
      <c r="E286" s="26"/>
      <c r="F286" s="39"/>
      <c r="G286" s="40"/>
      <c r="H286" s="32"/>
      <c r="I286" s="33"/>
      <c r="J286" s="34"/>
      <c r="K286" s="32"/>
      <c r="L286" s="35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36"/>
      <c r="B287" s="37"/>
      <c r="C287" s="37"/>
      <c r="D287" s="38"/>
      <c r="E287" s="26"/>
      <c r="F287" s="39"/>
      <c r="G287" s="40"/>
      <c r="H287" s="32"/>
      <c r="I287" s="33"/>
      <c r="J287" s="34"/>
      <c r="K287" s="32"/>
      <c r="L287" s="35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36"/>
      <c r="B288" s="37"/>
      <c r="C288" s="37"/>
      <c r="D288" s="38"/>
      <c r="E288" s="26"/>
      <c r="F288" s="39"/>
      <c r="G288" s="40"/>
      <c r="H288" s="32"/>
      <c r="I288" s="33"/>
      <c r="J288" s="34"/>
      <c r="K288" s="32"/>
      <c r="L288" s="35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36"/>
      <c r="B289" s="37"/>
      <c r="C289" s="37"/>
      <c r="D289" s="38"/>
      <c r="E289" s="26"/>
      <c r="F289" s="39"/>
      <c r="G289" s="40"/>
      <c r="H289" s="32"/>
      <c r="I289" s="33"/>
      <c r="J289" s="34"/>
      <c r="K289" s="32"/>
      <c r="L289" s="35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36"/>
      <c r="B290" s="37"/>
      <c r="C290" s="37"/>
      <c r="D290" s="38"/>
      <c r="E290" s="26"/>
      <c r="F290" s="39"/>
      <c r="G290" s="40"/>
      <c r="H290" s="32"/>
      <c r="I290" s="33"/>
      <c r="J290" s="34"/>
      <c r="K290" s="32"/>
      <c r="L290" s="35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36"/>
      <c r="B291" s="37"/>
      <c r="C291" s="37"/>
      <c r="D291" s="38"/>
      <c r="E291" s="26"/>
      <c r="F291" s="39"/>
      <c r="G291" s="40"/>
      <c r="H291" s="32"/>
      <c r="I291" s="33"/>
      <c r="J291" s="34"/>
      <c r="K291" s="32"/>
      <c r="L291" s="35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36"/>
      <c r="B292" s="37"/>
      <c r="C292" s="37"/>
      <c r="D292" s="38"/>
      <c r="E292" s="26"/>
      <c r="F292" s="39"/>
      <c r="G292" s="40"/>
      <c r="H292" s="32"/>
      <c r="I292" s="33"/>
      <c r="J292" s="34"/>
      <c r="K292" s="32"/>
      <c r="L292" s="35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36"/>
      <c r="B293" s="37"/>
      <c r="C293" s="37"/>
      <c r="D293" s="38"/>
      <c r="E293" s="26"/>
      <c r="F293" s="39"/>
      <c r="G293" s="40"/>
      <c r="H293" s="32"/>
      <c r="I293" s="33"/>
      <c r="J293" s="34"/>
      <c r="K293" s="32"/>
      <c r="L293" s="35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36" t="str">
        <f t="shared" ref="A294:A343" si="1">LEFT('[1]DECEMBER 13, 2025'!$E86,FIND("-",'[1]DECEMBER 13, 2025'!$E86&amp;"-")-1)</f>
        <v>#REF!</v>
      </c>
      <c r="B294" s="37"/>
      <c r="C294" s="37"/>
      <c r="D294" s="38"/>
      <c r="E294" s="26"/>
      <c r="F294" s="39"/>
      <c r="G294" s="40"/>
      <c r="H294" s="32"/>
      <c r="I294" s="33"/>
      <c r="J294" s="34"/>
      <c r="K294" s="32"/>
      <c r="L294" s="35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36" t="str">
        <f t="shared" si="1"/>
        <v>#REF!</v>
      </c>
      <c r="B295" s="37"/>
      <c r="C295" s="37"/>
      <c r="D295" s="38"/>
      <c r="E295" s="26"/>
      <c r="F295" s="39"/>
      <c r="G295" s="40"/>
      <c r="H295" s="32"/>
      <c r="I295" s="33"/>
      <c r="J295" s="34"/>
      <c r="K295" s="32"/>
      <c r="L295" s="35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1.75" customHeight="1">
      <c r="A296" s="36" t="str">
        <f t="shared" si="1"/>
        <v>#REF!</v>
      </c>
      <c r="B296" s="37"/>
      <c r="C296" s="37"/>
      <c r="D296" s="38"/>
      <c r="E296" s="26"/>
      <c r="F296" s="39"/>
      <c r="G296" s="40"/>
      <c r="H296" s="32"/>
      <c r="I296" s="33"/>
      <c r="J296" s="34"/>
      <c r="K296" s="32"/>
      <c r="L296" s="35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36" t="str">
        <f t="shared" si="1"/>
        <v>#REF!</v>
      </c>
      <c r="B297" s="37"/>
      <c r="C297" s="37"/>
      <c r="D297" s="38"/>
      <c r="E297" s="26"/>
      <c r="F297" s="39"/>
      <c r="G297" s="40"/>
      <c r="H297" s="32"/>
      <c r="I297" s="33"/>
      <c r="J297" s="34"/>
      <c r="K297" s="32"/>
      <c r="L297" s="35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36" t="str">
        <f t="shared" si="1"/>
        <v>#REF!</v>
      </c>
      <c r="B298" s="37"/>
      <c r="C298" s="37"/>
      <c r="D298" s="38"/>
      <c r="E298" s="26"/>
      <c r="F298" s="39"/>
      <c r="G298" s="40"/>
      <c r="H298" s="32"/>
      <c r="I298" s="33"/>
      <c r="J298" s="34"/>
      <c r="K298" s="32"/>
      <c r="L298" s="35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36" t="str">
        <f t="shared" si="1"/>
        <v>#REF!</v>
      </c>
      <c r="B299" s="37"/>
      <c r="C299" s="37"/>
      <c r="D299" s="38"/>
      <c r="E299" s="26"/>
      <c r="F299" s="39"/>
      <c r="G299" s="40"/>
      <c r="H299" s="32"/>
      <c r="I299" s="33"/>
      <c r="J299" s="34"/>
      <c r="K299" s="32"/>
      <c r="L299" s="35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36" t="str">
        <f t="shared" si="1"/>
        <v>#REF!</v>
      </c>
      <c r="B300" s="37"/>
      <c r="C300" s="37"/>
      <c r="D300" s="38"/>
      <c r="E300" s="26"/>
      <c r="F300" s="39"/>
      <c r="G300" s="40"/>
      <c r="H300" s="32"/>
      <c r="I300" s="33"/>
      <c r="J300" s="34"/>
      <c r="K300" s="32"/>
      <c r="L300" s="35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36" t="str">
        <f t="shared" si="1"/>
        <v>#REF!</v>
      </c>
      <c r="B301" s="37"/>
      <c r="C301" s="37"/>
      <c r="D301" s="38"/>
      <c r="E301" s="26"/>
      <c r="F301" s="39"/>
      <c r="G301" s="40"/>
      <c r="H301" s="32"/>
      <c r="I301" s="33"/>
      <c r="J301" s="34"/>
      <c r="K301" s="32"/>
      <c r="L301" s="35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36" t="str">
        <f t="shared" si="1"/>
        <v>#REF!</v>
      </c>
      <c r="B302" s="37"/>
      <c r="C302" s="37"/>
      <c r="D302" s="38"/>
      <c r="E302" s="26"/>
      <c r="F302" s="39"/>
      <c r="G302" s="40"/>
      <c r="H302" s="32"/>
      <c r="I302" s="33"/>
      <c r="J302" s="34"/>
      <c r="K302" s="32"/>
      <c r="L302" s="35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36" t="str">
        <f t="shared" si="1"/>
        <v>#REF!</v>
      </c>
      <c r="B303" s="37"/>
      <c r="C303" s="37"/>
      <c r="D303" s="38"/>
      <c r="E303" s="26"/>
      <c r="F303" s="39"/>
      <c r="G303" s="40"/>
      <c r="H303" s="32"/>
      <c r="I303" s="33"/>
      <c r="J303" s="34"/>
      <c r="K303" s="32"/>
      <c r="L303" s="35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36" t="str">
        <f t="shared" si="1"/>
        <v>#REF!</v>
      </c>
      <c r="B304" s="37"/>
      <c r="C304" s="37"/>
      <c r="D304" s="38"/>
      <c r="E304" s="26"/>
      <c r="F304" s="39"/>
      <c r="G304" s="40"/>
      <c r="H304" s="32"/>
      <c r="I304" s="33"/>
      <c r="J304" s="34"/>
      <c r="K304" s="32"/>
      <c r="L304" s="35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36" t="str">
        <f t="shared" si="1"/>
        <v>#REF!</v>
      </c>
      <c r="B305" s="37"/>
      <c r="C305" s="37"/>
      <c r="D305" s="38"/>
      <c r="E305" s="26"/>
      <c r="F305" s="39"/>
      <c r="G305" s="40"/>
      <c r="H305" s="32"/>
      <c r="I305" s="33"/>
      <c r="J305" s="34"/>
      <c r="K305" s="32"/>
      <c r="L305" s="35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36" t="str">
        <f t="shared" si="1"/>
        <v>#REF!</v>
      </c>
      <c r="B306" s="37"/>
      <c r="C306" s="37"/>
      <c r="D306" s="38"/>
      <c r="E306" s="26"/>
      <c r="F306" s="39"/>
      <c r="G306" s="40"/>
      <c r="H306" s="32"/>
      <c r="I306" s="33"/>
      <c r="J306" s="34"/>
      <c r="K306" s="32"/>
      <c r="L306" s="35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36" t="str">
        <f t="shared" si="1"/>
        <v>#REF!</v>
      </c>
      <c r="B307" s="37"/>
      <c r="C307" s="37"/>
      <c r="D307" s="38"/>
      <c r="E307" s="26"/>
      <c r="F307" s="39"/>
      <c r="G307" s="40"/>
      <c r="H307" s="32"/>
      <c r="I307" s="33"/>
      <c r="J307" s="34"/>
      <c r="K307" s="32"/>
      <c r="L307" s="35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36" t="str">
        <f t="shared" si="1"/>
        <v>#REF!</v>
      </c>
      <c r="B308" s="37"/>
      <c r="C308" s="37"/>
      <c r="D308" s="38"/>
      <c r="E308" s="26"/>
      <c r="F308" s="39"/>
      <c r="G308" s="40"/>
      <c r="H308" s="32"/>
      <c r="I308" s="33"/>
      <c r="J308" s="34"/>
      <c r="K308" s="32"/>
      <c r="L308" s="35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36" t="str">
        <f t="shared" si="1"/>
        <v>#REF!</v>
      </c>
      <c r="B309" s="37"/>
      <c r="C309" s="37"/>
      <c r="D309" s="38"/>
      <c r="E309" s="26"/>
      <c r="F309" s="39"/>
      <c r="G309" s="40"/>
      <c r="H309" s="32"/>
      <c r="I309" s="33"/>
      <c r="J309" s="34"/>
      <c r="K309" s="32"/>
      <c r="L309" s="35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36" t="str">
        <f t="shared" si="1"/>
        <v>#REF!</v>
      </c>
      <c r="B310" s="37"/>
      <c r="C310" s="37"/>
      <c r="D310" s="38"/>
      <c r="E310" s="26"/>
      <c r="F310" s="39"/>
      <c r="G310" s="40"/>
      <c r="H310" s="32"/>
      <c r="I310" s="33"/>
      <c r="J310" s="34"/>
      <c r="K310" s="32"/>
      <c r="L310" s="35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36" t="str">
        <f t="shared" si="1"/>
        <v>#REF!</v>
      </c>
      <c r="B311" s="37"/>
      <c r="C311" s="37"/>
      <c r="D311" s="38"/>
      <c r="E311" s="26"/>
      <c r="F311" s="39"/>
      <c r="G311" s="40"/>
      <c r="H311" s="32"/>
      <c r="I311" s="33"/>
      <c r="J311" s="34"/>
      <c r="K311" s="32"/>
      <c r="L311" s="35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36" t="str">
        <f t="shared" si="1"/>
        <v>#REF!</v>
      </c>
      <c r="B312" s="37"/>
      <c r="C312" s="37"/>
      <c r="D312" s="38"/>
      <c r="E312" s="26"/>
      <c r="F312" s="39"/>
      <c r="G312" s="40"/>
      <c r="H312" s="32"/>
      <c r="I312" s="33"/>
      <c r="J312" s="34"/>
      <c r="K312" s="32"/>
      <c r="L312" s="35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36" t="str">
        <f t="shared" si="1"/>
        <v>#REF!</v>
      </c>
      <c r="B313" s="37"/>
      <c r="C313" s="37"/>
      <c r="D313" s="38"/>
      <c r="E313" s="26"/>
      <c r="F313" s="39"/>
      <c r="G313" s="40"/>
      <c r="H313" s="32"/>
      <c r="I313" s="33"/>
      <c r="J313" s="34"/>
      <c r="K313" s="32"/>
      <c r="L313" s="35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36" t="str">
        <f t="shared" si="1"/>
        <v>#REF!</v>
      </c>
      <c r="B314" s="37"/>
      <c r="C314" s="37"/>
      <c r="D314" s="38"/>
      <c r="E314" s="26"/>
      <c r="F314" s="39"/>
      <c r="G314" s="40"/>
      <c r="H314" s="32"/>
      <c r="I314" s="33"/>
      <c r="J314" s="34"/>
      <c r="K314" s="32"/>
      <c r="L314" s="35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36" t="str">
        <f t="shared" si="1"/>
        <v>#REF!</v>
      </c>
      <c r="B315" s="37"/>
      <c r="C315" s="37"/>
      <c r="D315" s="38"/>
      <c r="E315" s="26"/>
      <c r="F315" s="39"/>
      <c r="G315" s="40"/>
      <c r="H315" s="32"/>
      <c r="I315" s="33"/>
      <c r="J315" s="34"/>
      <c r="K315" s="32"/>
      <c r="L315" s="35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36" t="str">
        <f t="shared" si="1"/>
        <v>#REF!</v>
      </c>
      <c r="B316" s="37"/>
      <c r="C316" s="37"/>
      <c r="D316" s="38"/>
      <c r="E316" s="26"/>
      <c r="F316" s="39"/>
      <c r="G316" s="40"/>
      <c r="H316" s="32"/>
      <c r="I316" s="33"/>
      <c r="J316" s="34"/>
      <c r="K316" s="32"/>
      <c r="L316" s="35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36" t="str">
        <f t="shared" si="1"/>
        <v>#REF!</v>
      </c>
      <c r="B317" s="37"/>
      <c r="C317" s="37"/>
      <c r="D317" s="38"/>
      <c r="E317" s="26"/>
      <c r="F317" s="39"/>
      <c r="G317" s="40"/>
      <c r="H317" s="32"/>
      <c r="I317" s="33"/>
      <c r="J317" s="34"/>
      <c r="K317" s="32"/>
      <c r="L317" s="35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36" t="str">
        <f t="shared" si="1"/>
        <v>#REF!</v>
      </c>
      <c r="B318" s="37"/>
      <c r="C318" s="37"/>
      <c r="D318" s="38"/>
      <c r="E318" s="26"/>
      <c r="F318" s="39"/>
      <c r="G318" s="40"/>
      <c r="H318" s="32"/>
      <c r="I318" s="33"/>
      <c r="J318" s="34"/>
      <c r="K318" s="32"/>
      <c r="L318" s="35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36" t="str">
        <f t="shared" si="1"/>
        <v>#REF!</v>
      </c>
      <c r="B319" s="37"/>
      <c r="C319" s="37"/>
      <c r="D319" s="38"/>
      <c r="E319" s="26"/>
      <c r="F319" s="39"/>
      <c r="G319" s="40"/>
      <c r="H319" s="32"/>
      <c r="I319" s="33"/>
      <c r="J319" s="34"/>
      <c r="K319" s="32"/>
      <c r="L319" s="35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36" t="str">
        <f t="shared" si="1"/>
        <v>#REF!</v>
      </c>
      <c r="B320" s="37"/>
      <c r="C320" s="37"/>
      <c r="D320" s="38"/>
      <c r="E320" s="26"/>
      <c r="F320" s="39"/>
      <c r="G320" s="40"/>
      <c r="H320" s="32"/>
      <c r="I320" s="33"/>
      <c r="J320" s="34"/>
      <c r="K320" s="32"/>
      <c r="L320" s="35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26" t="str">
        <f t="shared" si="1"/>
        <v>#REF!</v>
      </c>
      <c r="B321" s="37"/>
      <c r="C321" s="37"/>
      <c r="D321" s="38"/>
      <c r="E321" s="26"/>
      <c r="F321" s="39"/>
      <c r="G321" s="40"/>
      <c r="H321" s="32"/>
      <c r="I321" s="33"/>
      <c r="J321" s="34"/>
      <c r="K321" s="32"/>
      <c r="L321" s="35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36" t="str">
        <f t="shared" si="1"/>
        <v>#REF!</v>
      </c>
      <c r="B322" s="37"/>
      <c r="C322" s="37"/>
      <c r="D322" s="38"/>
      <c r="E322" s="26"/>
      <c r="F322" s="39"/>
      <c r="G322" s="40"/>
      <c r="H322" s="32"/>
      <c r="I322" s="33"/>
      <c r="J322" s="34"/>
      <c r="K322" s="32"/>
      <c r="L322" s="35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36" t="str">
        <f t="shared" si="1"/>
        <v>#REF!</v>
      </c>
      <c r="B323" s="37"/>
      <c r="C323" s="37"/>
      <c r="D323" s="38"/>
      <c r="E323" s="26"/>
      <c r="F323" s="39"/>
      <c r="G323" s="40"/>
      <c r="H323" s="32"/>
      <c r="I323" s="33"/>
      <c r="J323" s="34"/>
      <c r="K323" s="32"/>
      <c r="L323" s="35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36" t="str">
        <f t="shared" si="1"/>
        <v>#REF!</v>
      </c>
      <c r="B324" s="37"/>
      <c r="C324" s="37"/>
      <c r="D324" s="38"/>
      <c r="E324" s="26"/>
      <c r="F324" s="39"/>
      <c r="G324" s="40"/>
      <c r="H324" s="32"/>
      <c r="I324" s="33"/>
      <c r="J324" s="34"/>
      <c r="K324" s="32"/>
      <c r="L324" s="35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36" t="str">
        <f t="shared" si="1"/>
        <v>#REF!</v>
      </c>
      <c r="B325" s="37"/>
      <c r="C325" s="37"/>
      <c r="D325" s="38"/>
      <c r="E325" s="26"/>
      <c r="F325" s="39"/>
      <c r="G325" s="40"/>
      <c r="H325" s="32"/>
      <c r="I325" s="33"/>
      <c r="J325" s="34"/>
      <c r="K325" s="32"/>
      <c r="L325" s="35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36" t="str">
        <f t="shared" si="1"/>
        <v>#REF!</v>
      </c>
      <c r="B326" s="37"/>
      <c r="C326" s="37"/>
      <c r="D326" s="38"/>
      <c r="E326" s="26"/>
      <c r="F326" s="39"/>
      <c r="G326" s="40"/>
      <c r="H326" s="32"/>
      <c r="I326" s="33"/>
      <c r="J326" s="34"/>
      <c r="K326" s="32"/>
      <c r="L326" s="35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36" t="str">
        <f t="shared" si="1"/>
        <v>#REF!</v>
      </c>
      <c r="B327" s="37"/>
      <c r="C327" s="37"/>
      <c r="D327" s="38"/>
      <c r="E327" s="26"/>
      <c r="F327" s="39"/>
      <c r="G327" s="40"/>
      <c r="H327" s="32"/>
      <c r="I327" s="33"/>
      <c r="J327" s="34"/>
      <c r="K327" s="32"/>
      <c r="L327" s="35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36" t="str">
        <f t="shared" si="1"/>
        <v>#REF!</v>
      </c>
      <c r="B328" s="37"/>
      <c r="C328" s="37"/>
      <c r="D328" s="38"/>
      <c r="E328" s="26"/>
      <c r="F328" s="39"/>
      <c r="G328" s="40"/>
      <c r="H328" s="32"/>
      <c r="I328" s="33"/>
      <c r="J328" s="34"/>
      <c r="K328" s="32"/>
      <c r="L328" s="35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36" t="str">
        <f t="shared" si="1"/>
        <v>#REF!</v>
      </c>
      <c r="B329" s="37"/>
      <c r="C329" s="37"/>
      <c r="D329" s="38"/>
      <c r="E329" s="26"/>
      <c r="F329" s="39"/>
      <c r="G329" s="40"/>
      <c r="H329" s="32"/>
      <c r="I329" s="33"/>
      <c r="J329" s="34"/>
      <c r="K329" s="32"/>
      <c r="L329" s="35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36" t="str">
        <f t="shared" si="1"/>
        <v>#REF!</v>
      </c>
      <c r="B330" s="37"/>
      <c r="C330" s="37"/>
      <c r="D330" s="38"/>
      <c r="E330" s="26"/>
      <c r="F330" s="39"/>
      <c r="G330" s="40"/>
      <c r="H330" s="32"/>
      <c r="I330" s="33"/>
      <c r="J330" s="34"/>
      <c r="K330" s="32"/>
      <c r="L330" s="35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36" t="str">
        <f t="shared" si="1"/>
        <v>#REF!</v>
      </c>
      <c r="B331" s="37"/>
      <c r="C331" s="37"/>
      <c r="D331" s="38"/>
      <c r="E331" s="26"/>
      <c r="F331" s="39"/>
      <c r="G331" s="40"/>
      <c r="H331" s="32"/>
      <c r="I331" s="33"/>
      <c r="J331" s="34"/>
      <c r="K331" s="32"/>
      <c r="L331" s="35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36" t="str">
        <f t="shared" si="1"/>
        <v>#REF!</v>
      </c>
      <c r="B332" s="37"/>
      <c r="C332" s="37"/>
      <c r="D332" s="38"/>
      <c r="E332" s="26"/>
      <c r="F332" s="39"/>
      <c r="G332" s="40"/>
      <c r="H332" s="32"/>
      <c r="I332" s="33"/>
      <c r="J332" s="34"/>
      <c r="K332" s="32"/>
      <c r="L332" s="35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36" t="str">
        <f t="shared" si="1"/>
        <v>#REF!</v>
      </c>
      <c r="B333" s="37"/>
      <c r="C333" s="37"/>
      <c r="D333" s="38"/>
      <c r="E333" s="26"/>
      <c r="F333" s="39"/>
      <c r="G333" s="40"/>
      <c r="H333" s="32"/>
      <c r="I333" s="33"/>
      <c r="J333" s="34"/>
      <c r="K333" s="32"/>
      <c r="L333" s="35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36" t="str">
        <f t="shared" si="1"/>
        <v>#REF!</v>
      </c>
      <c r="B334" s="37"/>
      <c r="C334" s="37"/>
      <c r="D334" s="38"/>
      <c r="E334" s="26"/>
      <c r="F334" s="39"/>
      <c r="G334" s="40"/>
      <c r="H334" s="32"/>
      <c r="I334" s="33"/>
      <c r="J334" s="34"/>
      <c r="K334" s="32"/>
      <c r="L334" s="35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36" t="str">
        <f t="shared" si="1"/>
        <v>#REF!</v>
      </c>
      <c r="B335" s="37"/>
      <c r="C335" s="37"/>
      <c r="D335" s="38"/>
      <c r="E335" s="26"/>
      <c r="F335" s="39"/>
      <c r="G335" s="40"/>
      <c r="H335" s="32"/>
      <c r="I335" s="33"/>
      <c r="J335" s="34"/>
      <c r="K335" s="32"/>
      <c r="L335" s="35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36" t="str">
        <f t="shared" si="1"/>
        <v>#REF!</v>
      </c>
      <c r="B336" s="37"/>
      <c r="C336" s="37"/>
      <c r="D336" s="38"/>
      <c r="E336" s="26"/>
      <c r="F336" s="39"/>
      <c r="G336" s="40"/>
      <c r="H336" s="32"/>
      <c r="I336" s="33"/>
      <c r="J336" s="34"/>
      <c r="K336" s="32"/>
      <c r="L336" s="35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36" t="str">
        <f t="shared" si="1"/>
        <v>#REF!</v>
      </c>
      <c r="B337" s="37"/>
      <c r="C337" s="37"/>
      <c r="D337" s="38"/>
      <c r="E337" s="26"/>
      <c r="F337" s="39"/>
      <c r="G337" s="40"/>
      <c r="H337" s="32"/>
      <c r="I337" s="33"/>
      <c r="J337" s="34"/>
      <c r="K337" s="32"/>
      <c r="L337" s="35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36" t="str">
        <f t="shared" si="1"/>
        <v>#REF!</v>
      </c>
      <c r="B338" s="37"/>
      <c r="C338" s="37"/>
      <c r="D338" s="38"/>
      <c r="E338" s="26"/>
      <c r="F338" s="39"/>
      <c r="G338" s="40"/>
      <c r="H338" s="32"/>
      <c r="I338" s="33"/>
      <c r="J338" s="34"/>
      <c r="K338" s="32"/>
      <c r="L338" s="35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36" t="str">
        <f t="shared" si="1"/>
        <v>#REF!</v>
      </c>
      <c r="B339" s="37"/>
      <c r="C339" s="37"/>
      <c r="D339" s="38"/>
      <c r="E339" s="26"/>
      <c r="F339" s="39"/>
      <c r="G339" s="40"/>
      <c r="H339" s="32"/>
      <c r="I339" s="33"/>
      <c r="J339" s="34"/>
      <c r="K339" s="32"/>
      <c r="L339" s="35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36" t="str">
        <f t="shared" si="1"/>
        <v>#REF!</v>
      </c>
      <c r="B340" s="37"/>
      <c r="C340" s="37"/>
      <c r="D340" s="38"/>
      <c r="E340" s="26"/>
      <c r="F340" s="39"/>
      <c r="G340" s="40"/>
      <c r="H340" s="32"/>
      <c r="I340" s="33"/>
      <c r="J340" s="34"/>
      <c r="K340" s="32"/>
      <c r="L340" s="35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36" t="str">
        <f t="shared" si="1"/>
        <v>#REF!</v>
      </c>
      <c r="B341" s="37"/>
      <c r="C341" s="37"/>
      <c r="D341" s="38"/>
      <c r="E341" s="26"/>
      <c r="F341" s="39"/>
      <c r="G341" s="40"/>
      <c r="H341" s="32"/>
      <c r="I341" s="33"/>
      <c r="J341" s="34"/>
      <c r="K341" s="32"/>
      <c r="L341" s="35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36" t="str">
        <f t="shared" si="1"/>
        <v>#REF!</v>
      </c>
      <c r="B342" s="37"/>
      <c r="C342" s="37"/>
      <c r="D342" s="38"/>
      <c r="E342" s="26"/>
      <c r="F342" s="39"/>
      <c r="G342" s="40"/>
      <c r="H342" s="32"/>
      <c r="I342" s="33"/>
      <c r="J342" s="34"/>
      <c r="K342" s="32"/>
      <c r="L342" s="35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36" t="str">
        <f t="shared" si="1"/>
        <v>#REF!</v>
      </c>
      <c r="B343" s="37"/>
      <c r="C343" s="37"/>
      <c r="D343" s="38"/>
      <c r="E343" s="26"/>
      <c r="F343" s="39"/>
      <c r="G343" s="40"/>
      <c r="H343" s="32"/>
      <c r="I343" s="33"/>
      <c r="J343" s="34"/>
      <c r="K343" s="32"/>
      <c r="L343" s="35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36">
        <v>37425.0</v>
      </c>
      <c r="B344" s="37"/>
      <c r="C344" s="37"/>
      <c r="D344" s="38"/>
      <c r="E344" s="26"/>
      <c r="F344" s="39"/>
      <c r="G344" s="40"/>
      <c r="H344" s="32"/>
      <c r="I344" s="33"/>
      <c r="J344" s="34"/>
      <c r="K344" s="32"/>
      <c r="L344" s="35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36" t="str">
        <f t="shared" ref="A345:A469" si="2">LEFT('[1]DECEMBER 13, 2025'!$E137,FIND("-",'[1]DECEMBER 13, 2025'!$E137&amp;"-")-1)</f>
        <v>#REF!</v>
      </c>
      <c r="B345" s="37"/>
      <c r="C345" s="37"/>
      <c r="D345" s="38"/>
      <c r="E345" s="26"/>
      <c r="F345" s="39"/>
      <c r="G345" s="40"/>
      <c r="H345" s="32"/>
      <c r="I345" s="33"/>
      <c r="J345" s="34"/>
      <c r="K345" s="32"/>
      <c r="L345" s="35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36" t="str">
        <f t="shared" si="2"/>
        <v>#REF!</v>
      </c>
      <c r="B346" s="37"/>
      <c r="C346" s="37"/>
      <c r="D346" s="38"/>
      <c r="E346" s="26"/>
      <c r="F346" s="39"/>
      <c r="G346" s="40"/>
      <c r="H346" s="32"/>
      <c r="I346" s="33"/>
      <c r="J346" s="34"/>
      <c r="K346" s="32"/>
      <c r="L346" s="35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36" t="str">
        <f t="shared" si="2"/>
        <v>#REF!</v>
      </c>
      <c r="B347" s="37"/>
      <c r="C347" s="37"/>
      <c r="D347" s="38"/>
      <c r="E347" s="26"/>
      <c r="F347" s="39"/>
      <c r="G347" s="40"/>
      <c r="H347" s="32"/>
      <c r="I347" s="33"/>
      <c r="J347" s="34"/>
      <c r="K347" s="32"/>
      <c r="L347" s="35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36" t="str">
        <f t="shared" si="2"/>
        <v>#REF!</v>
      </c>
      <c r="B348" s="37"/>
      <c r="C348" s="37"/>
      <c r="D348" s="38"/>
      <c r="E348" s="26"/>
      <c r="F348" s="39"/>
      <c r="G348" s="40"/>
      <c r="H348" s="32"/>
      <c r="I348" s="33"/>
      <c r="J348" s="34"/>
      <c r="K348" s="32"/>
      <c r="L348" s="35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36" t="str">
        <f t="shared" si="2"/>
        <v>#REF!</v>
      </c>
      <c r="B349" s="37"/>
      <c r="C349" s="37"/>
      <c r="D349" s="38"/>
      <c r="E349" s="26"/>
      <c r="F349" s="39"/>
      <c r="G349" s="40"/>
      <c r="H349" s="32"/>
      <c r="I349" s="33"/>
      <c r="J349" s="34"/>
      <c r="K349" s="32"/>
      <c r="L349" s="35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36" t="str">
        <f t="shared" si="2"/>
        <v>#REF!</v>
      </c>
      <c r="B350" s="37"/>
      <c r="C350" s="37"/>
      <c r="D350" s="38"/>
      <c r="E350" s="26"/>
      <c r="F350" s="39"/>
      <c r="G350" s="40"/>
      <c r="H350" s="32"/>
      <c r="I350" s="33"/>
      <c r="J350" s="34"/>
      <c r="K350" s="32"/>
      <c r="L350" s="35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36" t="str">
        <f t="shared" si="2"/>
        <v>#REF!</v>
      </c>
      <c r="B351" s="37"/>
      <c r="C351" s="37"/>
      <c r="D351" s="38"/>
      <c r="E351" s="26"/>
      <c r="F351" s="39"/>
      <c r="G351" s="40"/>
      <c r="H351" s="32"/>
      <c r="I351" s="33"/>
      <c r="J351" s="34"/>
      <c r="K351" s="32"/>
      <c r="L351" s="35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36" t="str">
        <f t="shared" si="2"/>
        <v>#REF!</v>
      </c>
      <c r="B352" s="37"/>
      <c r="C352" s="37"/>
      <c r="D352" s="38"/>
      <c r="E352" s="26"/>
      <c r="F352" s="39"/>
      <c r="G352" s="40"/>
      <c r="H352" s="32"/>
      <c r="I352" s="33"/>
      <c r="J352" s="34"/>
      <c r="K352" s="32"/>
      <c r="L352" s="35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36" t="str">
        <f t="shared" si="2"/>
        <v>#REF!</v>
      </c>
      <c r="B353" s="37"/>
      <c r="C353" s="37"/>
      <c r="D353" s="38"/>
      <c r="E353" s="26"/>
      <c r="F353" s="39"/>
      <c r="G353" s="40"/>
      <c r="H353" s="32"/>
      <c r="I353" s="33"/>
      <c r="J353" s="34"/>
      <c r="K353" s="32"/>
      <c r="L353" s="35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36" t="str">
        <f t="shared" si="2"/>
        <v>#REF!</v>
      </c>
      <c r="B354" s="37"/>
      <c r="C354" s="37"/>
      <c r="D354" s="38"/>
      <c r="E354" s="26"/>
      <c r="F354" s="39"/>
      <c r="G354" s="40"/>
      <c r="H354" s="32"/>
      <c r="I354" s="33"/>
      <c r="J354" s="34"/>
      <c r="K354" s="32"/>
      <c r="L354" s="35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36" t="str">
        <f t="shared" si="2"/>
        <v>#REF!</v>
      </c>
      <c r="B355" s="37"/>
      <c r="C355" s="37"/>
      <c r="D355" s="38"/>
      <c r="E355" s="26"/>
      <c r="F355" s="39"/>
      <c r="G355" s="40"/>
      <c r="H355" s="32"/>
      <c r="I355" s="33"/>
      <c r="J355" s="34"/>
      <c r="K355" s="32"/>
      <c r="L355" s="35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36" t="str">
        <f t="shared" si="2"/>
        <v>#REF!</v>
      </c>
      <c r="B356" s="37"/>
      <c r="C356" s="37"/>
      <c r="D356" s="38"/>
      <c r="E356" s="26"/>
      <c r="F356" s="39"/>
      <c r="G356" s="40"/>
      <c r="H356" s="32"/>
      <c r="I356" s="33"/>
      <c r="J356" s="34"/>
      <c r="K356" s="32"/>
      <c r="L356" s="35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36" t="str">
        <f t="shared" si="2"/>
        <v>#REF!</v>
      </c>
      <c r="B357" s="37"/>
      <c r="C357" s="37"/>
      <c r="D357" s="38"/>
      <c r="E357" s="26"/>
      <c r="F357" s="39"/>
      <c r="G357" s="40"/>
      <c r="H357" s="32"/>
      <c r="I357" s="33"/>
      <c r="J357" s="34"/>
      <c r="K357" s="32"/>
      <c r="L357" s="35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36" t="str">
        <f t="shared" si="2"/>
        <v>#REF!</v>
      </c>
      <c r="B358" s="37"/>
      <c r="C358" s="37"/>
      <c r="D358" s="38"/>
      <c r="E358" s="26"/>
      <c r="F358" s="39"/>
      <c r="G358" s="40"/>
      <c r="H358" s="32"/>
      <c r="I358" s="33"/>
      <c r="J358" s="34"/>
      <c r="K358" s="32"/>
      <c r="L358" s="35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36" t="str">
        <f t="shared" si="2"/>
        <v>#REF!</v>
      </c>
      <c r="B359" s="37"/>
      <c r="C359" s="37"/>
      <c r="D359" s="38"/>
      <c r="E359" s="26"/>
      <c r="F359" s="39"/>
      <c r="G359" s="40"/>
      <c r="H359" s="32"/>
      <c r="I359" s="33"/>
      <c r="J359" s="34"/>
      <c r="K359" s="32"/>
      <c r="L359" s="35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36" t="str">
        <f t="shared" si="2"/>
        <v>#REF!</v>
      </c>
      <c r="B360" s="37"/>
      <c r="C360" s="37"/>
      <c r="D360" s="38"/>
      <c r="E360" s="26"/>
      <c r="F360" s="39"/>
      <c r="G360" s="40"/>
      <c r="H360" s="32"/>
      <c r="I360" s="33"/>
      <c r="J360" s="34"/>
      <c r="K360" s="32"/>
      <c r="L360" s="35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36" t="str">
        <f t="shared" si="2"/>
        <v>#REF!</v>
      </c>
      <c r="B361" s="37"/>
      <c r="C361" s="37"/>
      <c r="D361" s="38"/>
      <c r="E361" s="26"/>
      <c r="F361" s="39"/>
      <c r="G361" s="40"/>
      <c r="H361" s="32"/>
      <c r="I361" s="33"/>
      <c r="J361" s="34"/>
      <c r="K361" s="32"/>
      <c r="L361" s="35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36" t="str">
        <f t="shared" si="2"/>
        <v>#REF!</v>
      </c>
      <c r="B362" s="37"/>
      <c r="C362" s="37"/>
      <c r="D362" s="38"/>
      <c r="E362" s="26"/>
      <c r="F362" s="39"/>
      <c r="G362" s="40"/>
      <c r="H362" s="32"/>
      <c r="I362" s="33"/>
      <c r="J362" s="34"/>
      <c r="K362" s="32"/>
      <c r="L362" s="35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36" t="str">
        <f t="shared" si="2"/>
        <v>#REF!</v>
      </c>
      <c r="B363" s="37"/>
      <c r="C363" s="37"/>
      <c r="D363" s="38"/>
      <c r="E363" s="26"/>
      <c r="F363" s="39"/>
      <c r="G363" s="40"/>
      <c r="H363" s="32"/>
      <c r="I363" s="33"/>
      <c r="J363" s="34"/>
      <c r="K363" s="32"/>
      <c r="L363" s="35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36" t="str">
        <f t="shared" si="2"/>
        <v>#REF!</v>
      </c>
      <c r="B364" s="37"/>
      <c r="C364" s="37"/>
      <c r="D364" s="38"/>
      <c r="E364" s="26"/>
      <c r="F364" s="39"/>
      <c r="G364" s="40"/>
      <c r="H364" s="32"/>
      <c r="I364" s="33"/>
      <c r="J364" s="34"/>
      <c r="K364" s="32"/>
      <c r="L364" s="35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36" t="str">
        <f t="shared" si="2"/>
        <v>#REF!</v>
      </c>
      <c r="B365" s="37"/>
      <c r="C365" s="37"/>
      <c r="D365" s="38"/>
      <c r="E365" s="26"/>
      <c r="F365" s="39"/>
      <c r="G365" s="40"/>
      <c r="H365" s="32"/>
      <c r="I365" s="33"/>
      <c r="J365" s="34"/>
      <c r="K365" s="32"/>
      <c r="L365" s="35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36" t="str">
        <f t="shared" si="2"/>
        <v>#REF!</v>
      </c>
      <c r="B366" s="37"/>
      <c r="C366" s="37"/>
      <c r="D366" s="38"/>
      <c r="E366" s="26"/>
      <c r="F366" s="39"/>
      <c r="G366" s="40"/>
      <c r="H366" s="32"/>
      <c r="I366" s="33"/>
      <c r="J366" s="34"/>
      <c r="K366" s="32"/>
      <c r="L366" s="35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36" t="str">
        <f t="shared" si="2"/>
        <v>#REF!</v>
      </c>
      <c r="B367" s="37"/>
      <c r="C367" s="37"/>
      <c r="D367" s="38"/>
      <c r="E367" s="26"/>
      <c r="F367" s="39"/>
      <c r="G367" s="40"/>
      <c r="H367" s="32"/>
      <c r="I367" s="33"/>
      <c r="J367" s="34"/>
      <c r="K367" s="32"/>
      <c r="L367" s="35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36" t="str">
        <f t="shared" si="2"/>
        <v>#REF!</v>
      </c>
      <c r="B368" s="37"/>
      <c r="C368" s="37"/>
      <c r="D368" s="38"/>
      <c r="E368" s="26"/>
      <c r="F368" s="39"/>
      <c r="G368" s="40"/>
      <c r="H368" s="32"/>
      <c r="I368" s="33"/>
      <c r="J368" s="34"/>
      <c r="K368" s="32"/>
      <c r="L368" s="35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36" t="str">
        <f t="shared" si="2"/>
        <v>#REF!</v>
      </c>
      <c r="B369" s="37"/>
      <c r="C369" s="37"/>
      <c r="D369" s="38"/>
      <c r="E369" s="26"/>
      <c r="F369" s="39"/>
      <c r="G369" s="40"/>
      <c r="H369" s="32"/>
      <c r="I369" s="33"/>
      <c r="J369" s="34"/>
      <c r="K369" s="32"/>
      <c r="L369" s="35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36" t="str">
        <f t="shared" si="2"/>
        <v>#REF!</v>
      </c>
      <c r="B370" s="37"/>
      <c r="C370" s="37"/>
      <c r="D370" s="38"/>
      <c r="E370" s="26"/>
      <c r="F370" s="39"/>
      <c r="G370" s="40"/>
      <c r="H370" s="32"/>
      <c r="I370" s="33"/>
      <c r="J370" s="34"/>
      <c r="K370" s="32"/>
      <c r="L370" s="35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36" t="str">
        <f t="shared" si="2"/>
        <v>#REF!</v>
      </c>
      <c r="B371" s="37"/>
      <c r="C371" s="37"/>
      <c r="D371" s="38"/>
      <c r="E371" s="26"/>
      <c r="F371" s="39"/>
      <c r="G371" s="40"/>
      <c r="H371" s="32"/>
      <c r="I371" s="33"/>
      <c r="J371" s="34"/>
      <c r="K371" s="32"/>
      <c r="L371" s="35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36" t="str">
        <f t="shared" si="2"/>
        <v>#REF!</v>
      </c>
      <c r="B372" s="37"/>
      <c r="C372" s="37"/>
      <c r="D372" s="38"/>
      <c r="E372" s="26"/>
      <c r="F372" s="39"/>
      <c r="G372" s="40"/>
      <c r="H372" s="32"/>
      <c r="I372" s="33"/>
      <c r="J372" s="34"/>
      <c r="K372" s="32"/>
      <c r="L372" s="35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36" t="str">
        <f t="shared" si="2"/>
        <v>#REF!</v>
      </c>
      <c r="B373" s="37"/>
      <c r="C373" s="37"/>
      <c r="D373" s="38"/>
      <c r="E373" s="26"/>
      <c r="F373" s="39"/>
      <c r="G373" s="40"/>
      <c r="H373" s="32"/>
      <c r="I373" s="33"/>
      <c r="J373" s="34"/>
      <c r="K373" s="32"/>
      <c r="L373" s="35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36" t="str">
        <f t="shared" si="2"/>
        <v>#REF!</v>
      </c>
      <c r="B374" s="37"/>
      <c r="C374" s="37"/>
      <c r="D374" s="38"/>
      <c r="E374" s="26"/>
      <c r="F374" s="39"/>
      <c r="G374" s="40"/>
      <c r="H374" s="32"/>
      <c r="I374" s="33"/>
      <c r="J374" s="34"/>
      <c r="K374" s="32"/>
      <c r="L374" s="35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36" t="str">
        <f t="shared" si="2"/>
        <v>#REF!</v>
      </c>
      <c r="B375" s="37"/>
      <c r="C375" s="37"/>
      <c r="D375" s="38"/>
      <c r="E375" s="26"/>
      <c r="F375" s="39"/>
      <c r="G375" s="40"/>
      <c r="H375" s="32"/>
      <c r="I375" s="33"/>
      <c r="J375" s="34"/>
      <c r="K375" s="32"/>
      <c r="L375" s="35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36" t="str">
        <f t="shared" si="2"/>
        <v>#REF!</v>
      </c>
      <c r="B376" s="37"/>
      <c r="C376" s="37"/>
      <c r="D376" s="38"/>
      <c r="E376" s="26"/>
      <c r="F376" s="39"/>
      <c r="G376" s="40"/>
      <c r="H376" s="32"/>
      <c r="I376" s="33"/>
      <c r="J376" s="34"/>
      <c r="K376" s="32"/>
      <c r="L376" s="35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36" t="str">
        <f t="shared" si="2"/>
        <v>#REF!</v>
      </c>
      <c r="B377" s="37"/>
      <c r="C377" s="37"/>
      <c r="D377" s="38"/>
      <c r="E377" s="26"/>
      <c r="F377" s="39"/>
      <c r="G377" s="40"/>
      <c r="H377" s="32"/>
      <c r="I377" s="33"/>
      <c r="J377" s="34"/>
      <c r="K377" s="32"/>
      <c r="L377" s="35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36" t="str">
        <f t="shared" si="2"/>
        <v>#REF!</v>
      </c>
      <c r="B378" s="37"/>
      <c r="C378" s="37"/>
      <c r="D378" s="38"/>
      <c r="E378" s="26"/>
      <c r="F378" s="39"/>
      <c r="G378" s="40"/>
      <c r="H378" s="32"/>
      <c r="I378" s="33"/>
      <c r="J378" s="34"/>
      <c r="K378" s="32"/>
      <c r="L378" s="35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36" t="str">
        <f t="shared" si="2"/>
        <v>#REF!</v>
      </c>
      <c r="B379" s="37"/>
      <c r="C379" s="37"/>
      <c r="D379" s="38"/>
      <c r="E379" s="26"/>
      <c r="F379" s="39"/>
      <c r="G379" s="40"/>
      <c r="H379" s="32"/>
      <c r="I379" s="33"/>
      <c r="J379" s="34"/>
      <c r="K379" s="32"/>
      <c r="L379" s="35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36" t="str">
        <f t="shared" si="2"/>
        <v>#REF!</v>
      </c>
      <c r="B380" s="37"/>
      <c r="C380" s="37"/>
      <c r="D380" s="38"/>
      <c r="E380" s="26"/>
      <c r="F380" s="39"/>
      <c r="G380" s="40"/>
      <c r="H380" s="32"/>
      <c r="I380" s="33"/>
      <c r="J380" s="34"/>
      <c r="K380" s="32"/>
      <c r="L380" s="35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36" t="str">
        <f t="shared" si="2"/>
        <v>#REF!</v>
      </c>
      <c r="B381" s="37"/>
      <c r="C381" s="37"/>
      <c r="D381" s="38"/>
      <c r="E381" s="26"/>
      <c r="F381" s="39"/>
      <c r="G381" s="40"/>
      <c r="H381" s="32"/>
      <c r="I381" s="33"/>
      <c r="J381" s="34"/>
      <c r="K381" s="32"/>
      <c r="L381" s="35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36" t="str">
        <f t="shared" si="2"/>
        <v>#REF!</v>
      </c>
      <c r="B382" s="37"/>
      <c r="C382" s="37"/>
      <c r="D382" s="38"/>
      <c r="E382" s="26"/>
      <c r="F382" s="39"/>
      <c r="G382" s="40"/>
      <c r="H382" s="32"/>
      <c r="I382" s="33"/>
      <c r="J382" s="34"/>
      <c r="K382" s="32"/>
      <c r="L382" s="35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36" t="str">
        <f t="shared" si="2"/>
        <v>#REF!</v>
      </c>
      <c r="B383" s="37"/>
      <c r="C383" s="37"/>
      <c r="D383" s="38"/>
      <c r="E383" s="26"/>
      <c r="F383" s="39"/>
      <c r="G383" s="40"/>
      <c r="H383" s="32"/>
      <c r="I383" s="33"/>
      <c r="J383" s="34"/>
      <c r="K383" s="32"/>
      <c r="L383" s="35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36" t="str">
        <f t="shared" si="2"/>
        <v>#REF!</v>
      </c>
      <c r="B384" s="37"/>
      <c r="C384" s="37"/>
      <c r="D384" s="38"/>
      <c r="E384" s="26"/>
      <c r="F384" s="39"/>
      <c r="G384" s="40"/>
      <c r="H384" s="32"/>
      <c r="I384" s="33"/>
      <c r="J384" s="34"/>
      <c r="K384" s="32"/>
      <c r="L384" s="35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36" t="str">
        <f t="shared" si="2"/>
        <v>#REF!</v>
      </c>
      <c r="B385" s="37"/>
      <c r="C385" s="37"/>
      <c r="D385" s="38"/>
      <c r="E385" s="26"/>
      <c r="F385" s="39"/>
      <c r="G385" s="40"/>
      <c r="H385" s="32"/>
      <c r="I385" s="33"/>
      <c r="J385" s="34"/>
      <c r="K385" s="32"/>
      <c r="L385" s="35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36" t="str">
        <f t="shared" si="2"/>
        <v>#REF!</v>
      </c>
      <c r="B386" s="37"/>
      <c r="C386" s="37"/>
      <c r="D386" s="38"/>
      <c r="E386" s="26"/>
      <c r="F386" s="39"/>
      <c r="G386" s="40"/>
      <c r="H386" s="32"/>
      <c r="I386" s="33"/>
      <c r="J386" s="34"/>
      <c r="K386" s="32"/>
      <c r="L386" s="35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36" t="str">
        <f t="shared" si="2"/>
        <v>#REF!</v>
      </c>
      <c r="B387" s="37"/>
      <c r="C387" s="37"/>
      <c r="D387" s="38"/>
      <c r="E387" s="26"/>
      <c r="F387" s="39"/>
      <c r="G387" s="40"/>
      <c r="H387" s="32"/>
      <c r="I387" s="33"/>
      <c r="J387" s="34"/>
      <c r="K387" s="32"/>
      <c r="L387" s="35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36" t="str">
        <f t="shared" si="2"/>
        <v>#REF!</v>
      </c>
      <c r="B388" s="37"/>
      <c r="C388" s="37"/>
      <c r="D388" s="38"/>
      <c r="E388" s="26"/>
      <c r="F388" s="39"/>
      <c r="G388" s="40"/>
      <c r="H388" s="32"/>
      <c r="I388" s="33"/>
      <c r="J388" s="34"/>
      <c r="K388" s="32"/>
      <c r="L388" s="35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36" t="str">
        <f t="shared" si="2"/>
        <v>#REF!</v>
      </c>
      <c r="B389" s="37"/>
      <c r="C389" s="37"/>
      <c r="D389" s="38"/>
      <c r="E389" s="26"/>
      <c r="F389" s="39"/>
      <c r="G389" s="40"/>
      <c r="H389" s="32"/>
      <c r="I389" s="33"/>
      <c r="J389" s="34"/>
      <c r="K389" s="32"/>
      <c r="L389" s="35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36" t="str">
        <f t="shared" si="2"/>
        <v>#REF!</v>
      </c>
      <c r="B390" s="37"/>
      <c r="C390" s="37"/>
      <c r="D390" s="38"/>
      <c r="E390" s="26"/>
      <c r="F390" s="39"/>
      <c r="G390" s="40"/>
      <c r="H390" s="32"/>
      <c r="I390" s="33"/>
      <c r="J390" s="34"/>
      <c r="K390" s="32"/>
      <c r="L390" s="35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36" t="str">
        <f t="shared" si="2"/>
        <v>#REF!</v>
      </c>
      <c r="B391" s="37"/>
      <c r="C391" s="37"/>
      <c r="D391" s="38"/>
      <c r="E391" s="26"/>
      <c r="F391" s="39"/>
      <c r="G391" s="40"/>
      <c r="H391" s="32"/>
      <c r="I391" s="33"/>
      <c r="J391" s="34"/>
      <c r="K391" s="32"/>
      <c r="L391" s="35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>
      <c r="A392" s="26" t="str">
        <f t="shared" si="2"/>
        <v>#REF!</v>
      </c>
      <c r="B392" s="37"/>
      <c r="C392" s="37"/>
      <c r="D392" s="38"/>
      <c r="E392" s="26"/>
      <c r="F392" s="39"/>
      <c r="G392" s="40"/>
      <c r="H392" s="32"/>
      <c r="I392" s="33"/>
      <c r="J392" s="34"/>
      <c r="K392" s="32"/>
      <c r="L392" s="35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>
      <c r="A393" s="36" t="str">
        <f t="shared" si="2"/>
        <v>#REF!</v>
      </c>
      <c r="B393" s="37"/>
      <c r="C393" s="37"/>
      <c r="D393" s="38"/>
      <c r="E393" s="26"/>
      <c r="F393" s="39"/>
      <c r="G393" s="40"/>
      <c r="H393" s="32"/>
      <c r="I393" s="33"/>
      <c r="J393" s="34"/>
      <c r="K393" s="32"/>
      <c r="L393" s="35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>
      <c r="A394" s="36" t="str">
        <f t="shared" si="2"/>
        <v>#REF!</v>
      </c>
      <c r="B394" s="37"/>
      <c r="C394" s="37"/>
      <c r="D394" s="38"/>
      <c r="E394" s="26"/>
      <c r="F394" s="39"/>
      <c r="G394" s="40"/>
      <c r="H394" s="32"/>
      <c r="I394" s="33"/>
      <c r="J394" s="34"/>
      <c r="K394" s="32"/>
      <c r="L394" s="35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>
      <c r="A395" s="36" t="str">
        <f t="shared" si="2"/>
        <v>#REF!</v>
      </c>
      <c r="B395" s="37"/>
      <c r="C395" s="37"/>
      <c r="D395" s="38"/>
      <c r="E395" s="26"/>
      <c r="F395" s="39"/>
      <c r="G395" s="40"/>
      <c r="H395" s="32"/>
      <c r="I395" s="33"/>
      <c r="J395" s="34"/>
      <c r="K395" s="32"/>
      <c r="L395" s="35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>
      <c r="A396" s="36" t="str">
        <f t="shared" si="2"/>
        <v>#REF!</v>
      </c>
      <c r="B396" s="37"/>
      <c r="C396" s="37"/>
      <c r="D396" s="38"/>
      <c r="E396" s="26"/>
      <c r="F396" s="39"/>
      <c r="G396" s="40"/>
      <c r="H396" s="32"/>
      <c r="I396" s="33"/>
      <c r="J396" s="34"/>
      <c r="K396" s="32"/>
      <c r="L396" s="35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>
      <c r="A397" s="36" t="str">
        <f t="shared" si="2"/>
        <v>#REF!</v>
      </c>
      <c r="B397" s="37"/>
      <c r="C397" s="37"/>
      <c r="D397" s="38"/>
      <c r="E397" s="26"/>
      <c r="F397" s="39"/>
      <c r="G397" s="40"/>
      <c r="H397" s="32"/>
      <c r="I397" s="33"/>
      <c r="J397" s="34"/>
      <c r="K397" s="32"/>
      <c r="L397" s="35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9.5" customHeight="1">
      <c r="A398" s="36" t="str">
        <f t="shared" si="2"/>
        <v>#REF!</v>
      </c>
      <c r="B398" s="37"/>
      <c r="C398" s="37"/>
      <c r="D398" s="38"/>
      <c r="E398" s="26"/>
      <c r="F398" s="39"/>
      <c r="G398" s="40"/>
      <c r="H398" s="32"/>
      <c r="I398" s="33"/>
      <c r="J398" s="34"/>
      <c r="K398" s="32"/>
      <c r="L398" s="35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9.5" customHeight="1">
      <c r="A399" s="36" t="str">
        <f t="shared" si="2"/>
        <v>#REF!</v>
      </c>
      <c r="B399" s="37"/>
      <c r="C399" s="37"/>
      <c r="D399" s="38"/>
      <c r="E399" s="26"/>
      <c r="F399" s="39"/>
      <c r="G399" s="40"/>
      <c r="H399" s="32"/>
      <c r="I399" s="33"/>
      <c r="J399" s="34"/>
      <c r="K399" s="32"/>
      <c r="L399" s="35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9.5" customHeight="1">
      <c r="A400" s="36" t="str">
        <f t="shared" si="2"/>
        <v>#REF!</v>
      </c>
      <c r="B400" s="37"/>
      <c r="C400" s="37"/>
      <c r="D400" s="38"/>
      <c r="E400" s="26"/>
      <c r="F400" s="39"/>
      <c r="G400" s="40"/>
      <c r="H400" s="32"/>
      <c r="I400" s="33"/>
      <c r="J400" s="34"/>
      <c r="K400" s="32"/>
      <c r="L400" s="35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9.5" customHeight="1">
      <c r="A401" s="36" t="str">
        <f t="shared" si="2"/>
        <v>#REF!</v>
      </c>
      <c r="B401" s="37"/>
      <c r="C401" s="37"/>
      <c r="D401" s="38"/>
      <c r="E401" s="26"/>
      <c r="F401" s="39"/>
      <c r="G401" s="40"/>
      <c r="H401" s="32"/>
      <c r="I401" s="33"/>
      <c r="J401" s="34"/>
      <c r="K401" s="32"/>
      <c r="L401" s="35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9.5" customHeight="1">
      <c r="A402" s="36" t="str">
        <f t="shared" si="2"/>
        <v>#REF!</v>
      </c>
      <c r="B402" s="37"/>
      <c r="C402" s="37"/>
      <c r="D402" s="38"/>
      <c r="E402" s="26"/>
      <c r="F402" s="39"/>
      <c r="G402" s="40"/>
      <c r="H402" s="32"/>
      <c r="I402" s="33"/>
      <c r="J402" s="34"/>
      <c r="K402" s="32"/>
      <c r="L402" s="35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9.5" customHeight="1">
      <c r="A403" s="36" t="str">
        <f t="shared" si="2"/>
        <v>#REF!</v>
      </c>
      <c r="B403" s="37"/>
      <c r="C403" s="37"/>
      <c r="D403" s="38"/>
      <c r="E403" s="26"/>
      <c r="F403" s="39"/>
      <c r="G403" s="40"/>
      <c r="H403" s="32"/>
      <c r="I403" s="33"/>
      <c r="J403" s="34"/>
      <c r="K403" s="32"/>
      <c r="L403" s="35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9.5" customHeight="1">
      <c r="A404" s="36" t="str">
        <f t="shared" si="2"/>
        <v>#REF!</v>
      </c>
      <c r="B404" s="37"/>
      <c r="C404" s="37"/>
      <c r="D404" s="38"/>
      <c r="E404" s="26"/>
      <c r="F404" s="39"/>
      <c r="G404" s="40"/>
      <c r="H404" s="32"/>
      <c r="I404" s="33"/>
      <c r="J404" s="34"/>
      <c r="K404" s="32"/>
      <c r="L404" s="35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9.5" customHeight="1">
      <c r="A405" s="36" t="str">
        <f t="shared" si="2"/>
        <v>#REF!</v>
      </c>
      <c r="B405" s="37"/>
      <c r="C405" s="37"/>
      <c r="D405" s="38"/>
      <c r="E405" s="26"/>
      <c r="F405" s="39"/>
      <c r="G405" s="40"/>
      <c r="H405" s="32"/>
      <c r="I405" s="33"/>
      <c r="J405" s="34"/>
      <c r="K405" s="32"/>
      <c r="L405" s="35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9.5" customHeight="1">
      <c r="A406" s="36" t="str">
        <f t="shared" si="2"/>
        <v>#REF!</v>
      </c>
      <c r="B406" s="37"/>
      <c r="C406" s="37"/>
      <c r="D406" s="38"/>
      <c r="E406" s="26"/>
      <c r="F406" s="39"/>
      <c r="G406" s="40"/>
      <c r="H406" s="32"/>
      <c r="I406" s="33"/>
      <c r="J406" s="34"/>
      <c r="K406" s="32"/>
      <c r="L406" s="35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9.5" customHeight="1">
      <c r="A407" s="36" t="str">
        <f t="shared" si="2"/>
        <v>#REF!</v>
      </c>
      <c r="B407" s="37"/>
      <c r="C407" s="37"/>
      <c r="D407" s="38"/>
      <c r="E407" s="26"/>
      <c r="F407" s="39"/>
      <c r="G407" s="40"/>
      <c r="H407" s="32"/>
      <c r="I407" s="33"/>
      <c r="J407" s="34"/>
      <c r="K407" s="32"/>
      <c r="L407" s="35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9.5" customHeight="1">
      <c r="A408" s="36" t="str">
        <f t="shared" si="2"/>
        <v>#REF!</v>
      </c>
      <c r="B408" s="37"/>
      <c r="C408" s="37"/>
      <c r="D408" s="38"/>
      <c r="E408" s="26"/>
      <c r="F408" s="39"/>
      <c r="G408" s="40"/>
      <c r="H408" s="32"/>
      <c r="I408" s="33"/>
      <c r="J408" s="34"/>
      <c r="K408" s="32"/>
      <c r="L408" s="35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9.5" customHeight="1">
      <c r="A409" s="36" t="str">
        <f t="shared" si="2"/>
        <v>#REF!</v>
      </c>
      <c r="B409" s="37"/>
      <c r="C409" s="37"/>
      <c r="D409" s="38"/>
      <c r="E409" s="26"/>
      <c r="F409" s="39"/>
      <c r="G409" s="40"/>
      <c r="H409" s="32"/>
      <c r="I409" s="33"/>
      <c r="J409" s="34"/>
      <c r="K409" s="32"/>
      <c r="L409" s="35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9.5" customHeight="1">
      <c r="A410" s="36" t="str">
        <f t="shared" si="2"/>
        <v>#REF!</v>
      </c>
      <c r="B410" s="37"/>
      <c r="C410" s="37"/>
      <c r="D410" s="38"/>
      <c r="E410" s="26"/>
      <c r="F410" s="39"/>
      <c r="G410" s="40"/>
      <c r="H410" s="32"/>
      <c r="I410" s="33"/>
      <c r="J410" s="34"/>
      <c r="K410" s="32"/>
      <c r="L410" s="35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9.5" customHeight="1">
      <c r="A411" s="36" t="str">
        <f t="shared" si="2"/>
        <v>#REF!</v>
      </c>
      <c r="B411" s="37"/>
      <c r="C411" s="37"/>
      <c r="D411" s="38"/>
      <c r="E411" s="26"/>
      <c r="F411" s="39"/>
      <c r="G411" s="40"/>
      <c r="H411" s="32"/>
      <c r="I411" s="33"/>
      <c r="J411" s="34"/>
      <c r="K411" s="32"/>
      <c r="L411" s="35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9.5" customHeight="1">
      <c r="A412" s="36" t="str">
        <f t="shared" si="2"/>
        <v>#REF!</v>
      </c>
      <c r="B412" s="37"/>
      <c r="C412" s="37"/>
      <c r="D412" s="38"/>
      <c r="E412" s="26"/>
      <c r="F412" s="39"/>
      <c r="G412" s="40"/>
      <c r="H412" s="32"/>
      <c r="I412" s="33"/>
      <c r="J412" s="34"/>
      <c r="K412" s="32"/>
      <c r="L412" s="35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9.5" customHeight="1">
      <c r="A413" s="36" t="str">
        <f t="shared" si="2"/>
        <v>#REF!</v>
      </c>
      <c r="B413" s="37"/>
      <c r="C413" s="37"/>
      <c r="D413" s="38"/>
      <c r="E413" s="26"/>
      <c r="F413" s="39"/>
      <c r="G413" s="40"/>
      <c r="H413" s="32"/>
      <c r="I413" s="33"/>
      <c r="J413" s="34"/>
      <c r="K413" s="32"/>
      <c r="L413" s="35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9.5" customHeight="1">
      <c r="A414" s="26" t="str">
        <f t="shared" si="2"/>
        <v>#REF!</v>
      </c>
      <c r="B414" s="37"/>
      <c r="C414" s="37"/>
      <c r="D414" s="38"/>
      <c r="E414" s="26"/>
      <c r="F414" s="39"/>
      <c r="G414" s="40"/>
      <c r="H414" s="32"/>
      <c r="I414" s="33"/>
      <c r="J414" s="34"/>
      <c r="K414" s="32"/>
      <c r="L414" s="35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9.5" customHeight="1">
      <c r="A415" s="36" t="str">
        <f t="shared" si="2"/>
        <v>#REF!</v>
      </c>
      <c r="B415" s="37"/>
      <c r="C415" s="37"/>
      <c r="D415" s="38"/>
      <c r="E415" s="26"/>
      <c r="F415" s="39"/>
      <c r="G415" s="40"/>
      <c r="H415" s="32"/>
      <c r="I415" s="33"/>
      <c r="J415" s="34"/>
      <c r="K415" s="32"/>
      <c r="L415" s="35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9.5" customHeight="1">
      <c r="A416" s="36" t="str">
        <f t="shared" si="2"/>
        <v>#REF!</v>
      </c>
      <c r="B416" s="37"/>
      <c r="C416" s="37"/>
      <c r="D416" s="38"/>
      <c r="E416" s="26"/>
      <c r="F416" s="39"/>
      <c r="G416" s="40"/>
      <c r="H416" s="32"/>
      <c r="I416" s="33"/>
      <c r="J416" s="34"/>
      <c r="K416" s="32"/>
      <c r="L416" s="35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9.5" customHeight="1">
      <c r="A417" s="36" t="str">
        <f t="shared" si="2"/>
        <v>#REF!</v>
      </c>
      <c r="B417" s="37"/>
      <c r="C417" s="37"/>
      <c r="D417" s="38"/>
      <c r="E417" s="26"/>
      <c r="F417" s="39"/>
      <c r="G417" s="40"/>
      <c r="H417" s="32"/>
      <c r="I417" s="33"/>
      <c r="J417" s="34"/>
      <c r="K417" s="32"/>
      <c r="L417" s="35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9.5" customHeight="1">
      <c r="A418" s="36" t="str">
        <f t="shared" si="2"/>
        <v>#REF!</v>
      </c>
      <c r="B418" s="37"/>
      <c r="C418" s="37"/>
      <c r="D418" s="38"/>
      <c r="E418" s="26"/>
      <c r="F418" s="39"/>
      <c r="G418" s="40"/>
      <c r="H418" s="32"/>
      <c r="I418" s="33"/>
      <c r="J418" s="34"/>
      <c r="K418" s="32"/>
      <c r="L418" s="35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9.5" customHeight="1">
      <c r="A419" s="36" t="str">
        <f t="shared" si="2"/>
        <v>#REF!</v>
      </c>
      <c r="B419" s="37"/>
      <c r="C419" s="37"/>
      <c r="D419" s="38"/>
      <c r="E419" s="26"/>
      <c r="F419" s="39"/>
      <c r="G419" s="40"/>
      <c r="H419" s="32"/>
      <c r="I419" s="33"/>
      <c r="J419" s="34"/>
      <c r="K419" s="32"/>
      <c r="L419" s="35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9.5" customHeight="1">
      <c r="A420" s="36" t="str">
        <f t="shared" si="2"/>
        <v>#REF!</v>
      </c>
      <c r="B420" s="37"/>
      <c r="C420" s="37"/>
      <c r="D420" s="38"/>
      <c r="E420" s="26"/>
      <c r="F420" s="39"/>
      <c r="G420" s="40"/>
      <c r="H420" s="32"/>
      <c r="I420" s="33"/>
      <c r="J420" s="34"/>
      <c r="K420" s="32"/>
      <c r="L420" s="35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9.5" customHeight="1">
      <c r="A421" s="36" t="str">
        <f t="shared" si="2"/>
        <v>#REF!</v>
      </c>
      <c r="B421" s="37"/>
      <c r="C421" s="37"/>
      <c r="D421" s="38"/>
      <c r="E421" s="26"/>
      <c r="F421" s="39"/>
      <c r="G421" s="40"/>
      <c r="H421" s="32"/>
      <c r="I421" s="33"/>
      <c r="J421" s="34"/>
      <c r="K421" s="32"/>
      <c r="L421" s="35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9.5" customHeight="1">
      <c r="A422" s="36" t="str">
        <f t="shared" si="2"/>
        <v>#REF!</v>
      </c>
      <c r="B422" s="37"/>
      <c r="C422" s="37"/>
      <c r="D422" s="38"/>
      <c r="E422" s="26"/>
      <c r="F422" s="39"/>
      <c r="G422" s="40"/>
      <c r="H422" s="32"/>
      <c r="I422" s="33"/>
      <c r="J422" s="34"/>
      <c r="K422" s="32"/>
      <c r="L422" s="35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9.5" customHeight="1">
      <c r="A423" s="36" t="str">
        <f t="shared" si="2"/>
        <v>#REF!</v>
      </c>
      <c r="B423" s="37"/>
      <c r="C423" s="37"/>
      <c r="D423" s="38"/>
      <c r="E423" s="26"/>
      <c r="F423" s="39"/>
      <c r="G423" s="40"/>
      <c r="H423" s="32"/>
      <c r="I423" s="33"/>
      <c r="J423" s="34"/>
      <c r="K423" s="32"/>
      <c r="L423" s="35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9.5" customHeight="1">
      <c r="A424" s="36" t="str">
        <f t="shared" si="2"/>
        <v>#REF!</v>
      </c>
      <c r="B424" s="37"/>
      <c r="C424" s="37"/>
      <c r="D424" s="38"/>
      <c r="E424" s="26"/>
      <c r="F424" s="39"/>
      <c r="G424" s="40"/>
      <c r="H424" s="32"/>
      <c r="I424" s="33"/>
      <c r="J424" s="34"/>
      <c r="K424" s="32"/>
      <c r="L424" s="35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9.5" customHeight="1">
      <c r="A425" s="36" t="str">
        <f t="shared" si="2"/>
        <v>#REF!</v>
      </c>
      <c r="B425" s="37"/>
      <c r="C425" s="37"/>
      <c r="D425" s="38"/>
      <c r="E425" s="26"/>
      <c r="F425" s="39"/>
      <c r="G425" s="40"/>
      <c r="H425" s="32"/>
      <c r="I425" s="33"/>
      <c r="J425" s="34"/>
      <c r="K425" s="32"/>
      <c r="L425" s="35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9.5" customHeight="1">
      <c r="A426" s="36" t="str">
        <f t="shared" si="2"/>
        <v>#REF!</v>
      </c>
      <c r="B426" s="37"/>
      <c r="C426" s="37"/>
      <c r="D426" s="38"/>
      <c r="E426" s="26"/>
      <c r="F426" s="39"/>
      <c r="G426" s="40"/>
      <c r="H426" s="32"/>
      <c r="I426" s="33"/>
      <c r="J426" s="34"/>
      <c r="K426" s="32"/>
      <c r="L426" s="35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9.5" customHeight="1">
      <c r="A427" s="36" t="str">
        <f t="shared" si="2"/>
        <v>#REF!</v>
      </c>
      <c r="B427" s="37"/>
      <c r="C427" s="37"/>
      <c r="D427" s="38"/>
      <c r="E427" s="26"/>
      <c r="F427" s="39"/>
      <c r="G427" s="40"/>
      <c r="H427" s="32"/>
      <c r="I427" s="33"/>
      <c r="J427" s="34"/>
      <c r="K427" s="32"/>
      <c r="L427" s="35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9.5" customHeight="1">
      <c r="A428" s="36" t="str">
        <f t="shared" si="2"/>
        <v>#REF!</v>
      </c>
      <c r="B428" s="37"/>
      <c r="C428" s="37"/>
      <c r="D428" s="38"/>
      <c r="E428" s="26"/>
      <c r="F428" s="39"/>
      <c r="G428" s="40"/>
      <c r="H428" s="32"/>
      <c r="I428" s="33"/>
      <c r="J428" s="34"/>
      <c r="K428" s="32"/>
      <c r="L428" s="35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9.5" customHeight="1">
      <c r="A429" s="36" t="str">
        <f t="shared" si="2"/>
        <v>#REF!</v>
      </c>
      <c r="B429" s="37"/>
      <c r="C429" s="37"/>
      <c r="D429" s="38"/>
      <c r="E429" s="26"/>
      <c r="F429" s="39"/>
      <c r="G429" s="40"/>
      <c r="H429" s="32"/>
      <c r="I429" s="33"/>
      <c r="J429" s="34"/>
      <c r="K429" s="32"/>
      <c r="L429" s="35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9.5" customHeight="1">
      <c r="A430" s="36" t="str">
        <f t="shared" si="2"/>
        <v>#REF!</v>
      </c>
      <c r="B430" s="37"/>
      <c r="C430" s="37"/>
      <c r="D430" s="38"/>
      <c r="E430" s="26"/>
      <c r="F430" s="39"/>
      <c r="G430" s="40"/>
      <c r="H430" s="32"/>
      <c r="I430" s="33"/>
      <c r="J430" s="34"/>
      <c r="K430" s="32"/>
      <c r="L430" s="35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9.5" customHeight="1">
      <c r="A431" s="36" t="str">
        <f t="shared" si="2"/>
        <v>#REF!</v>
      </c>
      <c r="B431" s="37"/>
      <c r="C431" s="37"/>
      <c r="D431" s="38"/>
      <c r="E431" s="26"/>
      <c r="F431" s="39"/>
      <c r="G431" s="40"/>
      <c r="H431" s="32"/>
      <c r="I431" s="33"/>
      <c r="J431" s="34"/>
      <c r="K431" s="32"/>
      <c r="L431" s="35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9.5" customHeight="1">
      <c r="A432" s="36" t="str">
        <f t="shared" si="2"/>
        <v>#REF!</v>
      </c>
      <c r="B432" s="37"/>
      <c r="C432" s="37"/>
      <c r="D432" s="38"/>
      <c r="E432" s="26"/>
      <c r="F432" s="39"/>
      <c r="G432" s="40"/>
      <c r="H432" s="32"/>
      <c r="I432" s="33"/>
      <c r="J432" s="34"/>
      <c r="K432" s="32"/>
      <c r="L432" s="35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9.5" customHeight="1">
      <c r="A433" s="36" t="str">
        <f t="shared" si="2"/>
        <v>#REF!</v>
      </c>
      <c r="B433" s="37"/>
      <c r="C433" s="37"/>
      <c r="D433" s="38"/>
      <c r="E433" s="26"/>
      <c r="F433" s="39"/>
      <c r="G433" s="40"/>
      <c r="H433" s="32"/>
      <c r="I433" s="33"/>
      <c r="J433" s="34"/>
      <c r="K433" s="32"/>
      <c r="L433" s="35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9.5" customHeight="1">
      <c r="A434" s="36" t="str">
        <f t="shared" si="2"/>
        <v>#REF!</v>
      </c>
      <c r="B434" s="37"/>
      <c r="C434" s="37"/>
      <c r="D434" s="38"/>
      <c r="E434" s="26"/>
      <c r="F434" s="39"/>
      <c r="G434" s="40"/>
      <c r="H434" s="32"/>
      <c r="I434" s="33"/>
      <c r="J434" s="34"/>
      <c r="K434" s="32"/>
      <c r="L434" s="35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9.5" customHeight="1">
      <c r="A435" s="36" t="str">
        <f t="shared" si="2"/>
        <v>#REF!</v>
      </c>
      <c r="B435" s="37"/>
      <c r="C435" s="37"/>
      <c r="D435" s="38"/>
      <c r="E435" s="26"/>
      <c r="F435" s="39"/>
      <c r="G435" s="40"/>
      <c r="H435" s="32"/>
      <c r="I435" s="33"/>
      <c r="J435" s="34"/>
      <c r="K435" s="32"/>
      <c r="L435" s="35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9.5" customHeight="1">
      <c r="A436" s="36" t="str">
        <f t="shared" si="2"/>
        <v>#REF!</v>
      </c>
      <c r="B436" s="37"/>
      <c r="C436" s="37"/>
      <c r="D436" s="38"/>
      <c r="E436" s="26"/>
      <c r="F436" s="39"/>
      <c r="G436" s="40"/>
      <c r="H436" s="32"/>
      <c r="I436" s="33"/>
      <c r="J436" s="34"/>
      <c r="K436" s="32"/>
      <c r="L436" s="35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9.5" customHeight="1">
      <c r="A437" s="36" t="str">
        <f t="shared" si="2"/>
        <v>#REF!</v>
      </c>
      <c r="B437" s="37"/>
      <c r="C437" s="37"/>
      <c r="D437" s="38"/>
      <c r="E437" s="26"/>
      <c r="F437" s="39"/>
      <c r="G437" s="40"/>
      <c r="H437" s="32"/>
      <c r="I437" s="33"/>
      <c r="J437" s="34"/>
      <c r="K437" s="32"/>
      <c r="L437" s="35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9.5" customHeight="1">
      <c r="A438" s="36" t="str">
        <f t="shared" si="2"/>
        <v>#REF!</v>
      </c>
      <c r="B438" s="37"/>
      <c r="C438" s="37"/>
      <c r="D438" s="38"/>
      <c r="E438" s="26"/>
      <c r="F438" s="39"/>
      <c r="G438" s="40"/>
      <c r="H438" s="32"/>
      <c r="I438" s="33"/>
      <c r="J438" s="34"/>
      <c r="K438" s="32"/>
      <c r="L438" s="35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9.5" customHeight="1">
      <c r="A439" s="36" t="str">
        <f t="shared" si="2"/>
        <v>#REF!</v>
      </c>
      <c r="B439" s="37"/>
      <c r="C439" s="37"/>
      <c r="D439" s="38"/>
      <c r="E439" s="26"/>
      <c r="F439" s="39"/>
      <c r="G439" s="40"/>
      <c r="H439" s="32"/>
      <c r="I439" s="33"/>
      <c r="J439" s="34"/>
      <c r="K439" s="32"/>
      <c r="L439" s="35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9.5" customHeight="1">
      <c r="A440" s="36" t="str">
        <f t="shared" si="2"/>
        <v>#REF!</v>
      </c>
      <c r="B440" s="37"/>
      <c r="C440" s="37"/>
      <c r="D440" s="38"/>
      <c r="E440" s="26"/>
      <c r="F440" s="39"/>
      <c r="G440" s="40"/>
      <c r="H440" s="32"/>
      <c r="I440" s="33"/>
      <c r="J440" s="34"/>
      <c r="K440" s="32"/>
      <c r="L440" s="35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9.5" customHeight="1">
      <c r="A441" s="36" t="str">
        <f t="shared" si="2"/>
        <v>#REF!</v>
      </c>
      <c r="B441" s="37"/>
      <c r="C441" s="37"/>
      <c r="D441" s="38"/>
      <c r="E441" s="26"/>
      <c r="F441" s="39"/>
      <c r="G441" s="40"/>
      <c r="H441" s="32"/>
      <c r="I441" s="33"/>
      <c r="J441" s="34"/>
      <c r="K441" s="32"/>
      <c r="L441" s="35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9.5" customHeight="1">
      <c r="A442" s="36" t="str">
        <f t="shared" si="2"/>
        <v>#REF!</v>
      </c>
      <c r="B442" s="37"/>
      <c r="C442" s="37"/>
      <c r="D442" s="38"/>
      <c r="E442" s="26"/>
      <c r="F442" s="39"/>
      <c r="G442" s="40"/>
      <c r="H442" s="32"/>
      <c r="I442" s="33"/>
      <c r="J442" s="34"/>
      <c r="K442" s="32"/>
      <c r="L442" s="35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9.5" customHeight="1">
      <c r="A443" s="36" t="str">
        <f t="shared" si="2"/>
        <v>#REF!</v>
      </c>
      <c r="B443" s="37"/>
      <c r="C443" s="37"/>
      <c r="D443" s="38"/>
      <c r="E443" s="26"/>
      <c r="F443" s="39"/>
      <c r="G443" s="40"/>
      <c r="H443" s="32"/>
      <c r="I443" s="33"/>
      <c r="J443" s="34"/>
      <c r="K443" s="32"/>
      <c r="L443" s="35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9.5" customHeight="1">
      <c r="A444" s="36" t="str">
        <f t="shared" si="2"/>
        <v>#REF!</v>
      </c>
      <c r="B444" s="37"/>
      <c r="C444" s="37"/>
      <c r="D444" s="38"/>
      <c r="E444" s="26"/>
      <c r="F444" s="39"/>
      <c r="G444" s="40"/>
      <c r="H444" s="32"/>
      <c r="I444" s="33"/>
      <c r="J444" s="34"/>
      <c r="K444" s="32"/>
      <c r="L444" s="35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9.5" customHeight="1">
      <c r="A445" s="36" t="str">
        <f t="shared" si="2"/>
        <v>#REF!</v>
      </c>
      <c r="B445" s="37"/>
      <c r="C445" s="37"/>
      <c r="D445" s="38"/>
      <c r="E445" s="26"/>
      <c r="F445" s="39"/>
      <c r="G445" s="40"/>
      <c r="H445" s="32"/>
      <c r="I445" s="33"/>
      <c r="J445" s="34"/>
      <c r="K445" s="32"/>
      <c r="L445" s="35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9.5" customHeight="1">
      <c r="A446" s="36" t="str">
        <f t="shared" si="2"/>
        <v>#REF!</v>
      </c>
      <c r="B446" s="37"/>
      <c r="C446" s="37"/>
      <c r="D446" s="38"/>
      <c r="E446" s="26"/>
      <c r="F446" s="39"/>
      <c r="G446" s="40"/>
      <c r="H446" s="32"/>
      <c r="I446" s="33"/>
      <c r="J446" s="34"/>
      <c r="K446" s="32"/>
      <c r="L446" s="35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9.5" customHeight="1">
      <c r="A447" s="36" t="str">
        <f t="shared" si="2"/>
        <v>#REF!</v>
      </c>
      <c r="B447" s="37"/>
      <c r="C447" s="37"/>
      <c r="D447" s="38"/>
      <c r="E447" s="26"/>
      <c r="F447" s="39"/>
      <c r="G447" s="40"/>
      <c r="H447" s="32"/>
      <c r="I447" s="33"/>
      <c r="J447" s="34"/>
      <c r="K447" s="32"/>
      <c r="L447" s="35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9.5" customHeight="1">
      <c r="A448" s="36" t="str">
        <f t="shared" si="2"/>
        <v>#REF!</v>
      </c>
      <c r="B448" s="37"/>
      <c r="C448" s="37"/>
      <c r="D448" s="38"/>
      <c r="E448" s="26"/>
      <c r="F448" s="39"/>
      <c r="G448" s="40"/>
      <c r="H448" s="32"/>
      <c r="I448" s="33"/>
      <c r="J448" s="34"/>
      <c r="K448" s="32"/>
      <c r="L448" s="35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9.5" customHeight="1">
      <c r="A449" s="36" t="str">
        <f t="shared" si="2"/>
        <v>#REF!</v>
      </c>
      <c r="B449" s="37"/>
      <c r="C449" s="37"/>
      <c r="D449" s="38"/>
      <c r="E449" s="26"/>
      <c r="F449" s="39"/>
      <c r="G449" s="40"/>
      <c r="H449" s="32"/>
      <c r="I449" s="33"/>
      <c r="J449" s="34"/>
      <c r="K449" s="32"/>
      <c r="L449" s="35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9.5" customHeight="1">
      <c r="A450" s="36" t="str">
        <f t="shared" si="2"/>
        <v>#REF!</v>
      </c>
      <c r="B450" s="37"/>
      <c r="C450" s="37"/>
      <c r="D450" s="38"/>
      <c r="E450" s="26"/>
      <c r="F450" s="39"/>
      <c r="G450" s="40"/>
      <c r="H450" s="32"/>
      <c r="I450" s="33"/>
      <c r="J450" s="34"/>
      <c r="K450" s="32"/>
      <c r="L450" s="35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9.5" customHeight="1">
      <c r="A451" s="36" t="str">
        <f t="shared" si="2"/>
        <v>#REF!</v>
      </c>
      <c r="B451" s="37"/>
      <c r="C451" s="37"/>
      <c r="D451" s="38"/>
      <c r="E451" s="26"/>
      <c r="F451" s="39"/>
      <c r="G451" s="40"/>
      <c r="H451" s="32"/>
      <c r="I451" s="33"/>
      <c r="J451" s="34"/>
      <c r="K451" s="32"/>
      <c r="L451" s="35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9.5" customHeight="1">
      <c r="A452" s="36" t="str">
        <f t="shared" si="2"/>
        <v>#REF!</v>
      </c>
      <c r="B452" s="37"/>
      <c r="C452" s="37"/>
      <c r="D452" s="38"/>
      <c r="E452" s="26"/>
      <c r="F452" s="39"/>
      <c r="G452" s="40"/>
      <c r="H452" s="32"/>
      <c r="I452" s="33"/>
      <c r="J452" s="34"/>
      <c r="K452" s="32"/>
      <c r="L452" s="35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9.5" customHeight="1">
      <c r="A453" s="36" t="str">
        <f t="shared" si="2"/>
        <v>#REF!</v>
      </c>
      <c r="B453" s="37"/>
      <c r="C453" s="37"/>
      <c r="D453" s="38"/>
      <c r="E453" s="26"/>
      <c r="F453" s="39"/>
      <c r="G453" s="40"/>
      <c r="H453" s="32"/>
      <c r="I453" s="33"/>
      <c r="J453" s="34"/>
      <c r="K453" s="32"/>
      <c r="L453" s="35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9.5" customHeight="1">
      <c r="A454" s="26" t="str">
        <f t="shared" si="2"/>
        <v>#REF!</v>
      </c>
      <c r="B454" s="37"/>
      <c r="C454" s="37"/>
      <c r="D454" s="38"/>
      <c r="E454" s="26"/>
      <c r="F454" s="39"/>
      <c r="G454" s="40"/>
      <c r="H454" s="32"/>
      <c r="I454" s="33"/>
      <c r="J454" s="34"/>
      <c r="K454" s="32"/>
      <c r="L454" s="35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9.5" customHeight="1">
      <c r="A455" s="36" t="str">
        <f t="shared" si="2"/>
        <v>#REF!</v>
      </c>
      <c r="B455" s="37"/>
      <c r="C455" s="37"/>
      <c r="D455" s="38"/>
      <c r="E455" s="26"/>
      <c r="F455" s="39"/>
      <c r="G455" s="40"/>
      <c r="H455" s="32"/>
      <c r="I455" s="33"/>
      <c r="J455" s="34"/>
      <c r="K455" s="32"/>
      <c r="L455" s="35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9.5" customHeight="1">
      <c r="A456" s="36" t="str">
        <f t="shared" si="2"/>
        <v>#REF!</v>
      </c>
      <c r="B456" s="37"/>
      <c r="C456" s="37"/>
      <c r="D456" s="38"/>
      <c r="E456" s="26"/>
      <c r="F456" s="39"/>
      <c r="G456" s="40"/>
      <c r="H456" s="32"/>
      <c r="I456" s="33"/>
      <c r="J456" s="34"/>
      <c r="K456" s="32"/>
      <c r="L456" s="35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9.5" customHeight="1">
      <c r="A457" s="36" t="str">
        <f t="shared" si="2"/>
        <v>#REF!</v>
      </c>
      <c r="B457" s="37"/>
      <c r="C457" s="37"/>
      <c r="D457" s="38"/>
      <c r="E457" s="26"/>
      <c r="F457" s="39"/>
      <c r="G457" s="40"/>
      <c r="H457" s="32"/>
      <c r="I457" s="33"/>
      <c r="J457" s="34"/>
      <c r="K457" s="32"/>
      <c r="L457" s="35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9.5" customHeight="1">
      <c r="A458" s="36" t="str">
        <f t="shared" si="2"/>
        <v>#REF!</v>
      </c>
      <c r="B458" s="37"/>
      <c r="C458" s="37"/>
      <c r="D458" s="38"/>
      <c r="E458" s="26"/>
      <c r="F458" s="39"/>
      <c r="G458" s="40"/>
      <c r="H458" s="32"/>
      <c r="I458" s="33"/>
      <c r="J458" s="34"/>
      <c r="K458" s="32"/>
      <c r="L458" s="35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9.5" customHeight="1">
      <c r="A459" s="36" t="str">
        <f t="shared" si="2"/>
        <v>#REF!</v>
      </c>
      <c r="B459" s="37"/>
      <c r="C459" s="37"/>
      <c r="D459" s="38"/>
      <c r="E459" s="26"/>
      <c r="F459" s="39"/>
      <c r="G459" s="40"/>
      <c r="H459" s="32"/>
      <c r="I459" s="33"/>
      <c r="J459" s="34"/>
      <c r="K459" s="32"/>
      <c r="L459" s="35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9.5" customHeight="1">
      <c r="A460" s="36" t="str">
        <f t="shared" si="2"/>
        <v>#REF!</v>
      </c>
      <c r="B460" s="37"/>
      <c r="C460" s="37"/>
      <c r="D460" s="38"/>
      <c r="E460" s="26"/>
      <c r="F460" s="39"/>
      <c r="G460" s="40"/>
      <c r="H460" s="32"/>
      <c r="I460" s="33"/>
      <c r="J460" s="34"/>
      <c r="K460" s="32"/>
      <c r="L460" s="35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9.5" customHeight="1">
      <c r="A461" s="36" t="str">
        <f t="shared" si="2"/>
        <v>#REF!</v>
      </c>
      <c r="B461" s="37"/>
      <c r="C461" s="37"/>
      <c r="D461" s="38"/>
      <c r="E461" s="26"/>
      <c r="F461" s="39"/>
      <c r="G461" s="40"/>
      <c r="H461" s="32"/>
      <c r="I461" s="33"/>
      <c r="J461" s="34"/>
      <c r="K461" s="32"/>
      <c r="L461" s="35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9.5" customHeight="1">
      <c r="A462" s="36" t="str">
        <f t="shared" si="2"/>
        <v>#REF!</v>
      </c>
      <c r="B462" s="37"/>
      <c r="C462" s="37"/>
      <c r="D462" s="38"/>
      <c r="E462" s="26"/>
      <c r="F462" s="39"/>
      <c r="G462" s="40"/>
      <c r="H462" s="32"/>
      <c r="I462" s="33"/>
      <c r="J462" s="34"/>
      <c r="K462" s="32"/>
      <c r="L462" s="35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9.5" customHeight="1">
      <c r="A463" s="36" t="str">
        <f t="shared" si="2"/>
        <v>#REF!</v>
      </c>
      <c r="B463" s="37"/>
      <c r="C463" s="37"/>
      <c r="D463" s="38"/>
      <c r="E463" s="26"/>
      <c r="F463" s="39"/>
      <c r="G463" s="40"/>
      <c r="H463" s="32"/>
      <c r="I463" s="33"/>
      <c r="J463" s="34"/>
      <c r="K463" s="32"/>
      <c r="L463" s="35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9.5" customHeight="1">
      <c r="A464" s="36" t="str">
        <f t="shared" si="2"/>
        <v>#REF!</v>
      </c>
      <c r="B464" s="37"/>
      <c r="C464" s="37"/>
      <c r="D464" s="38"/>
      <c r="E464" s="26"/>
      <c r="F464" s="39"/>
      <c r="G464" s="40"/>
      <c r="H464" s="32"/>
      <c r="I464" s="33"/>
      <c r="J464" s="34"/>
      <c r="K464" s="32"/>
      <c r="L464" s="35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9.5" customHeight="1">
      <c r="A465" s="36" t="str">
        <f t="shared" si="2"/>
        <v>#REF!</v>
      </c>
      <c r="B465" s="37"/>
      <c r="C465" s="37"/>
      <c r="D465" s="38"/>
      <c r="E465" s="26"/>
      <c r="F465" s="39"/>
      <c r="G465" s="40"/>
      <c r="H465" s="32"/>
      <c r="I465" s="33"/>
      <c r="J465" s="34"/>
      <c r="K465" s="32"/>
      <c r="L465" s="35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9.5" customHeight="1">
      <c r="A466" s="36" t="str">
        <f t="shared" si="2"/>
        <v>#REF!</v>
      </c>
      <c r="B466" s="37"/>
      <c r="C466" s="37"/>
      <c r="D466" s="38"/>
      <c r="E466" s="26"/>
      <c r="F466" s="39"/>
      <c r="G466" s="40"/>
      <c r="H466" s="32"/>
      <c r="I466" s="33"/>
      <c r="J466" s="34"/>
      <c r="K466" s="32"/>
      <c r="L466" s="35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9.5" customHeight="1">
      <c r="A467" s="36" t="str">
        <f t="shared" si="2"/>
        <v>#REF!</v>
      </c>
      <c r="B467" s="37"/>
      <c r="C467" s="37"/>
      <c r="D467" s="38"/>
      <c r="E467" s="26"/>
      <c r="F467" s="39"/>
      <c r="G467" s="40"/>
      <c r="H467" s="32"/>
      <c r="I467" s="33"/>
      <c r="J467" s="34"/>
      <c r="K467" s="32"/>
      <c r="L467" s="35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9.5" customHeight="1">
      <c r="A468" s="36" t="str">
        <f t="shared" si="2"/>
        <v>#REF!</v>
      </c>
      <c r="B468" s="37"/>
      <c r="C468" s="37"/>
      <c r="D468" s="38"/>
      <c r="E468" s="26"/>
      <c r="F468" s="39"/>
      <c r="G468" s="40"/>
      <c r="H468" s="32"/>
      <c r="I468" s="33"/>
      <c r="J468" s="34"/>
      <c r="K468" s="32"/>
      <c r="L468" s="35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9.5" customHeight="1">
      <c r="A469" s="36" t="str">
        <f t="shared" si="2"/>
        <v>#REF!</v>
      </c>
      <c r="B469" s="37"/>
      <c r="C469" s="37"/>
      <c r="D469" s="38"/>
      <c r="E469" s="26"/>
      <c r="F469" s="39"/>
      <c r="G469" s="40"/>
      <c r="H469" s="32"/>
      <c r="I469" s="33"/>
      <c r="J469" s="34"/>
      <c r="K469" s="32"/>
      <c r="L469" s="35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9.5" customHeight="1">
      <c r="A470" s="36" t="str">
        <f>LEFT('JANUARY 10, 2026'!$E470,FIND("-",'JANUARY 10, 2026'!$E470&amp;"-")-1)</f>
        <v/>
      </c>
      <c r="B470" s="37"/>
      <c r="C470" s="37"/>
      <c r="D470" s="38"/>
      <c r="E470" s="26"/>
      <c r="F470" s="39"/>
      <c r="G470" s="40"/>
      <c r="H470" s="32"/>
      <c r="I470" s="33"/>
      <c r="J470" s="34"/>
      <c r="K470" s="32"/>
      <c r="L470" s="35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9.5" customHeight="1">
      <c r="A471" s="36" t="str">
        <f>LEFT('JANUARY 10, 2026'!$E471,FIND("-",'JANUARY 10, 2026'!$E471&amp;"-")-1)</f>
        <v/>
      </c>
      <c r="B471" s="37"/>
      <c r="C471" s="37"/>
      <c r="D471" s="38"/>
      <c r="E471" s="26"/>
      <c r="F471" s="39"/>
      <c r="G471" s="40"/>
      <c r="H471" s="32"/>
      <c r="I471" s="33"/>
      <c r="J471" s="34"/>
      <c r="K471" s="32"/>
      <c r="L471" s="35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9.5" customHeight="1">
      <c r="A472" s="36" t="str">
        <f>LEFT('JANUARY 10, 2026'!$E472,FIND("-",'JANUARY 10, 2026'!$E472&amp;"-")-1)</f>
        <v/>
      </c>
      <c r="B472" s="37"/>
      <c r="C472" s="37"/>
      <c r="D472" s="38"/>
      <c r="E472" s="26"/>
      <c r="F472" s="39"/>
      <c r="G472" s="40"/>
      <c r="H472" s="32"/>
      <c r="I472" s="33"/>
      <c r="J472" s="34"/>
      <c r="K472" s="32"/>
      <c r="L472" s="35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9.5" customHeight="1">
      <c r="A473" s="36" t="str">
        <f>LEFT('JANUARY 10, 2026'!$E473,FIND("-",'JANUARY 10, 2026'!$E473&amp;"-")-1)</f>
        <v/>
      </c>
      <c r="B473" s="37"/>
      <c r="C473" s="37"/>
      <c r="D473" s="38"/>
      <c r="E473" s="26"/>
      <c r="F473" s="39"/>
      <c r="G473" s="40"/>
      <c r="H473" s="32"/>
      <c r="I473" s="33"/>
      <c r="J473" s="34"/>
      <c r="K473" s="32"/>
      <c r="L473" s="35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9.5" customHeight="1">
      <c r="A474" s="36" t="str">
        <f>LEFT('JANUARY 10, 2026'!$E474,FIND("-",'JANUARY 10, 2026'!$E474&amp;"-")-1)</f>
        <v/>
      </c>
      <c r="B474" s="37"/>
      <c r="C474" s="37"/>
      <c r="D474" s="38"/>
      <c r="E474" s="26"/>
      <c r="F474" s="39"/>
      <c r="G474" s="40"/>
      <c r="H474" s="32"/>
      <c r="I474" s="33"/>
      <c r="J474" s="34"/>
      <c r="K474" s="32"/>
      <c r="L474" s="35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9.5" customHeight="1">
      <c r="A475" s="36" t="str">
        <f>LEFT('JANUARY 10, 2026'!$E475,FIND("-",'JANUARY 10, 2026'!$E475&amp;"-")-1)</f>
        <v/>
      </c>
      <c r="B475" s="37"/>
      <c r="C475" s="37"/>
      <c r="D475" s="38"/>
      <c r="E475" s="26"/>
      <c r="F475" s="39"/>
      <c r="G475" s="40"/>
      <c r="H475" s="32"/>
      <c r="I475" s="33"/>
      <c r="J475" s="34"/>
      <c r="K475" s="32"/>
      <c r="L475" s="35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9.5" customHeight="1">
      <c r="A476" s="36" t="str">
        <f>LEFT('JANUARY 10, 2026'!$E476,FIND("-",'JANUARY 10, 2026'!$E476&amp;"-")-1)</f>
        <v/>
      </c>
      <c r="B476" s="37"/>
      <c r="C476" s="37"/>
      <c r="D476" s="38"/>
      <c r="E476" s="26"/>
      <c r="F476" s="39"/>
      <c r="G476" s="40"/>
      <c r="H476" s="32"/>
      <c r="I476" s="33"/>
      <c r="J476" s="34"/>
      <c r="K476" s="32"/>
      <c r="L476" s="35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9.5" customHeight="1">
      <c r="A477" s="36" t="str">
        <f>LEFT('JANUARY 10, 2026'!$E477,FIND("-",'JANUARY 10, 2026'!$E477&amp;"-")-1)</f>
        <v/>
      </c>
      <c r="B477" s="37"/>
      <c r="C477" s="37"/>
      <c r="D477" s="38"/>
      <c r="E477" s="26"/>
      <c r="F477" s="39"/>
      <c r="G477" s="40"/>
      <c r="H477" s="32"/>
      <c r="I477" s="33"/>
      <c r="J477" s="34"/>
      <c r="K477" s="32"/>
      <c r="L477" s="35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9.5" customHeight="1">
      <c r="A478" s="36" t="str">
        <f>LEFT('JANUARY 10, 2026'!$E478,FIND("-",'JANUARY 10, 2026'!$E478&amp;"-")-1)</f>
        <v/>
      </c>
      <c r="B478" s="37"/>
      <c r="C478" s="37"/>
      <c r="D478" s="38"/>
      <c r="E478" s="26"/>
      <c r="F478" s="39"/>
      <c r="G478" s="40"/>
      <c r="H478" s="32"/>
      <c r="I478" s="33"/>
      <c r="J478" s="34"/>
      <c r="K478" s="32"/>
      <c r="L478" s="35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9.5" customHeight="1">
      <c r="A479" s="36" t="str">
        <f>LEFT('JANUARY 10, 2026'!$E479,FIND("-",'JANUARY 10, 2026'!$E479&amp;"-")-1)</f>
        <v/>
      </c>
      <c r="B479" s="37"/>
      <c r="C479" s="37"/>
      <c r="D479" s="38"/>
      <c r="E479" s="26"/>
      <c r="F479" s="39"/>
      <c r="G479" s="40"/>
      <c r="H479" s="32"/>
      <c r="I479" s="33"/>
      <c r="J479" s="34"/>
      <c r="K479" s="32"/>
      <c r="L479" s="35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9.5" customHeight="1">
      <c r="A480" s="36" t="str">
        <f>LEFT('JANUARY 10, 2026'!$E480,FIND("-",'JANUARY 10, 2026'!$E480&amp;"-")-1)</f>
        <v/>
      </c>
      <c r="B480" s="37"/>
      <c r="C480" s="37"/>
      <c r="D480" s="38"/>
      <c r="E480" s="26"/>
      <c r="F480" s="39"/>
      <c r="G480" s="40"/>
      <c r="H480" s="32"/>
      <c r="I480" s="33"/>
      <c r="J480" s="34"/>
      <c r="K480" s="32"/>
      <c r="L480" s="35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9.5" customHeight="1">
      <c r="A481" s="36" t="str">
        <f>LEFT('JANUARY 10, 2026'!$E481,FIND("-",'JANUARY 10, 2026'!$E481&amp;"-")-1)</f>
        <v/>
      </c>
      <c r="B481" s="37"/>
      <c r="C481" s="37"/>
      <c r="D481" s="38"/>
      <c r="E481" s="26"/>
      <c r="F481" s="39"/>
      <c r="G481" s="40"/>
      <c r="H481" s="32"/>
      <c r="I481" s="33"/>
      <c r="J481" s="34"/>
      <c r="K481" s="32"/>
      <c r="L481" s="35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9.5" customHeight="1">
      <c r="A482" s="36" t="str">
        <f>LEFT('JANUARY 10, 2026'!$E482,FIND("-",'JANUARY 10, 2026'!$E482&amp;"-")-1)</f>
        <v/>
      </c>
      <c r="B482" s="37"/>
      <c r="C482" s="37"/>
      <c r="D482" s="38"/>
      <c r="E482" s="26"/>
      <c r="F482" s="39"/>
      <c r="G482" s="40"/>
      <c r="H482" s="32"/>
      <c r="I482" s="33"/>
      <c r="J482" s="34"/>
      <c r="K482" s="32"/>
      <c r="L482" s="35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9.5" customHeight="1">
      <c r="A483" s="36" t="str">
        <f>LEFT('JANUARY 10, 2026'!$E483,FIND("-",'JANUARY 10, 2026'!$E483&amp;"-")-1)</f>
        <v/>
      </c>
      <c r="B483" s="37"/>
      <c r="C483" s="37"/>
      <c r="D483" s="38"/>
      <c r="E483" s="26"/>
      <c r="F483" s="39"/>
      <c r="G483" s="40"/>
      <c r="H483" s="32"/>
      <c r="I483" s="33"/>
      <c r="J483" s="34"/>
      <c r="K483" s="32"/>
      <c r="L483" s="35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9.5" customHeight="1">
      <c r="A484" s="36" t="str">
        <f>LEFT('JANUARY 10, 2026'!$E484,FIND("-",'JANUARY 10, 2026'!$E484&amp;"-")-1)</f>
        <v/>
      </c>
      <c r="B484" s="37"/>
      <c r="C484" s="37"/>
      <c r="D484" s="38"/>
      <c r="E484" s="26"/>
      <c r="F484" s="39"/>
      <c r="G484" s="40"/>
      <c r="H484" s="32"/>
      <c r="I484" s="33"/>
      <c r="J484" s="34"/>
      <c r="K484" s="32"/>
      <c r="L484" s="35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9.5" customHeight="1">
      <c r="A485" s="36" t="str">
        <f>LEFT('JANUARY 10, 2026'!$E485,FIND("-",'JANUARY 10, 2026'!$E485&amp;"-")-1)</f>
        <v/>
      </c>
      <c r="B485" s="37"/>
      <c r="C485" s="37"/>
      <c r="D485" s="38"/>
      <c r="E485" s="26"/>
      <c r="F485" s="39"/>
      <c r="G485" s="40"/>
      <c r="H485" s="32"/>
      <c r="I485" s="33"/>
      <c r="J485" s="34"/>
      <c r="K485" s="32"/>
      <c r="L485" s="35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9.5" customHeight="1">
      <c r="A486" s="36" t="str">
        <f>LEFT('JANUARY 10, 2026'!$E486,FIND("-",'JANUARY 10, 2026'!$E486&amp;"-")-1)</f>
        <v/>
      </c>
      <c r="B486" s="37"/>
      <c r="C486" s="37"/>
      <c r="D486" s="38"/>
      <c r="E486" s="26"/>
      <c r="F486" s="39"/>
      <c r="G486" s="40"/>
      <c r="H486" s="32"/>
      <c r="I486" s="33"/>
      <c r="J486" s="34"/>
      <c r="K486" s="32"/>
      <c r="L486" s="35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9.5" customHeight="1">
      <c r="A487" s="36" t="str">
        <f>LEFT('JANUARY 10, 2026'!$E487,FIND("-",'JANUARY 10, 2026'!$E487&amp;"-")-1)</f>
        <v/>
      </c>
      <c r="B487" s="37"/>
      <c r="C487" s="37"/>
      <c r="D487" s="38"/>
      <c r="E487" s="26"/>
      <c r="F487" s="39"/>
      <c r="G487" s="40"/>
      <c r="H487" s="32"/>
      <c r="I487" s="33"/>
      <c r="J487" s="34"/>
      <c r="K487" s="32"/>
      <c r="L487" s="35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9.5" customHeight="1">
      <c r="A488" s="36" t="str">
        <f>LEFT('JANUARY 10, 2026'!$E488,FIND("-",'JANUARY 10, 2026'!$E488&amp;"-")-1)</f>
        <v/>
      </c>
      <c r="B488" s="37"/>
      <c r="C488" s="37"/>
      <c r="D488" s="38"/>
      <c r="E488" s="26"/>
      <c r="F488" s="39"/>
      <c r="G488" s="40"/>
      <c r="H488" s="32"/>
      <c r="I488" s="33"/>
      <c r="J488" s="34"/>
      <c r="K488" s="32"/>
      <c r="L488" s="35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9.5" customHeight="1">
      <c r="A489" s="36" t="str">
        <f>LEFT('JANUARY 10, 2026'!$E489,FIND("-",'JANUARY 10, 2026'!$E489&amp;"-")-1)</f>
        <v/>
      </c>
      <c r="B489" s="37"/>
      <c r="C489" s="37"/>
      <c r="D489" s="38"/>
      <c r="E489" s="26"/>
      <c r="F489" s="39"/>
      <c r="G489" s="40"/>
      <c r="H489" s="32"/>
      <c r="I489" s="33"/>
      <c r="J489" s="34"/>
      <c r="K489" s="32"/>
      <c r="L489" s="35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9.5" customHeight="1">
      <c r="A490" s="36" t="str">
        <f>LEFT('JANUARY 10, 2026'!$E490,FIND("-",'JANUARY 10, 2026'!$E490&amp;"-")-1)</f>
        <v/>
      </c>
      <c r="B490" s="37"/>
      <c r="C490" s="37"/>
      <c r="D490" s="38"/>
      <c r="E490" s="26"/>
      <c r="F490" s="39"/>
      <c r="G490" s="40"/>
      <c r="H490" s="32"/>
      <c r="I490" s="33"/>
      <c r="J490" s="34"/>
      <c r="K490" s="32"/>
      <c r="L490" s="35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9.5" customHeight="1">
      <c r="A491" s="36" t="str">
        <f>LEFT('JANUARY 10, 2026'!$E491,FIND("-",'JANUARY 10, 2026'!$E491&amp;"-")-1)</f>
        <v/>
      </c>
      <c r="B491" s="37"/>
      <c r="C491" s="37"/>
      <c r="D491" s="38"/>
      <c r="E491" s="26"/>
      <c r="F491" s="39"/>
      <c r="G491" s="40"/>
      <c r="H491" s="32"/>
      <c r="I491" s="33"/>
      <c r="J491" s="34"/>
      <c r="K491" s="32"/>
      <c r="L491" s="35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9.5" customHeight="1">
      <c r="A492" s="36" t="str">
        <f>LEFT('JANUARY 10, 2026'!$E492,FIND("-",'JANUARY 10, 2026'!$E492&amp;"-")-1)</f>
        <v/>
      </c>
      <c r="B492" s="37"/>
      <c r="C492" s="37"/>
      <c r="D492" s="38"/>
      <c r="E492" s="26"/>
      <c r="F492" s="39"/>
      <c r="G492" s="40"/>
      <c r="H492" s="32"/>
      <c r="I492" s="33"/>
      <c r="J492" s="34"/>
      <c r="K492" s="32"/>
      <c r="L492" s="35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9.5" customHeight="1">
      <c r="A493" s="36" t="str">
        <f>LEFT('JANUARY 10, 2026'!$E493,FIND("-",'JANUARY 10, 2026'!$E493&amp;"-")-1)</f>
        <v/>
      </c>
      <c r="B493" s="37"/>
      <c r="C493" s="37"/>
      <c r="D493" s="38"/>
      <c r="E493" s="26"/>
      <c r="F493" s="39"/>
      <c r="G493" s="40"/>
      <c r="H493" s="32"/>
      <c r="I493" s="33"/>
      <c r="J493" s="34"/>
      <c r="K493" s="32"/>
      <c r="L493" s="35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9.5" customHeight="1">
      <c r="A494" s="36" t="str">
        <f>LEFT('JANUARY 10, 2026'!$E494,FIND("-",'JANUARY 10, 2026'!$E494&amp;"-")-1)</f>
        <v/>
      </c>
      <c r="B494" s="37"/>
      <c r="C494" s="37"/>
      <c r="D494" s="38"/>
      <c r="E494" s="26"/>
      <c r="F494" s="39"/>
      <c r="G494" s="40"/>
      <c r="H494" s="32"/>
      <c r="I494" s="33"/>
      <c r="J494" s="34"/>
      <c r="K494" s="32"/>
      <c r="L494" s="35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9.5" customHeight="1">
      <c r="A495" s="36" t="str">
        <f>LEFT('JANUARY 10, 2026'!$E495,FIND("-",'JANUARY 10, 2026'!$E495&amp;"-")-1)</f>
        <v/>
      </c>
      <c r="B495" s="37"/>
      <c r="C495" s="37"/>
      <c r="D495" s="38"/>
      <c r="E495" s="26"/>
      <c r="F495" s="39"/>
      <c r="G495" s="40"/>
      <c r="H495" s="32"/>
      <c r="I495" s="33"/>
      <c r="J495" s="34"/>
      <c r="K495" s="32"/>
      <c r="L495" s="35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9.5" customHeight="1">
      <c r="A496" s="36" t="str">
        <f>LEFT('JANUARY 10, 2026'!$E496,FIND("-",'JANUARY 10, 2026'!$E496&amp;"-")-1)</f>
        <v/>
      </c>
      <c r="B496" s="37"/>
      <c r="C496" s="37"/>
      <c r="D496" s="38"/>
      <c r="E496" s="26"/>
      <c r="F496" s="39"/>
      <c r="G496" s="40"/>
      <c r="H496" s="32"/>
      <c r="I496" s="33"/>
      <c r="J496" s="34"/>
      <c r="K496" s="32"/>
      <c r="L496" s="35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9.5" customHeight="1">
      <c r="A497" s="36" t="str">
        <f>LEFT('JANUARY 10, 2026'!$E497,FIND("-",'JANUARY 10, 2026'!$E497&amp;"-")-1)</f>
        <v/>
      </c>
      <c r="B497" s="37"/>
      <c r="C497" s="37"/>
      <c r="D497" s="38"/>
      <c r="E497" s="26"/>
      <c r="F497" s="39"/>
      <c r="G497" s="40"/>
      <c r="H497" s="32"/>
      <c r="I497" s="33"/>
      <c r="J497" s="34"/>
      <c r="K497" s="32"/>
      <c r="L497" s="35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9.5" customHeight="1">
      <c r="A498" s="36" t="str">
        <f>LEFT('JANUARY 10, 2026'!$E498,FIND("-",'JANUARY 10, 2026'!$E498&amp;"-")-1)</f>
        <v/>
      </c>
      <c r="B498" s="37"/>
      <c r="C498" s="37"/>
      <c r="D498" s="38"/>
      <c r="E498" s="26"/>
      <c r="F498" s="39"/>
      <c r="G498" s="40"/>
      <c r="H498" s="32"/>
      <c r="I498" s="33"/>
      <c r="J498" s="34"/>
      <c r="K498" s="32"/>
      <c r="L498" s="35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9.5" customHeight="1">
      <c r="A499" s="36" t="str">
        <f>LEFT('JANUARY 10, 2026'!$E499,FIND("-",'JANUARY 10, 2026'!$E499&amp;"-")-1)</f>
        <v/>
      </c>
      <c r="B499" s="37"/>
      <c r="C499" s="37"/>
      <c r="D499" s="38"/>
      <c r="E499" s="26"/>
      <c r="F499" s="39"/>
      <c r="G499" s="40"/>
      <c r="H499" s="32"/>
      <c r="I499" s="33"/>
      <c r="J499" s="34"/>
      <c r="K499" s="32"/>
      <c r="L499" s="35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9.5" customHeight="1">
      <c r="A500" s="36" t="str">
        <f>LEFT('JANUARY 10, 2026'!$E500,FIND("-",'JANUARY 10, 2026'!$E500&amp;"-")-1)</f>
        <v/>
      </c>
      <c r="B500" s="37"/>
      <c r="C500" s="37"/>
      <c r="D500" s="38"/>
      <c r="E500" s="26"/>
      <c r="F500" s="39"/>
      <c r="G500" s="40"/>
      <c r="H500" s="32"/>
      <c r="I500" s="33"/>
      <c r="J500" s="34"/>
      <c r="K500" s="32"/>
      <c r="L500" s="35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9.5" customHeight="1">
      <c r="A501" s="36" t="str">
        <f>LEFT('JANUARY 10, 2026'!$E501,FIND("-",'JANUARY 10, 2026'!$E501&amp;"-")-1)</f>
        <v/>
      </c>
      <c r="B501" s="37"/>
      <c r="C501" s="37"/>
      <c r="D501" s="38"/>
      <c r="E501" s="26"/>
      <c r="F501" s="39"/>
      <c r="G501" s="40"/>
      <c r="H501" s="32"/>
      <c r="I501" s="33"/>
      <c r="J501" s="34"/>
      <c r="K501" s="32"/>
      <c r="L501" s="35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9.5" customHeight="1">
      <c r="A502" s="36" t="str">
        <f>LEFT('JANUARY 10, 2026'!$E502,FIND("-",'JANUARY 10, 2026'!$E502&amp;"-")-1)</f>
        <v/>
      </c>
      <c r="B502" s="37"/>
      <c r="C502" s="37"/>
      <c r="D502" s="38"/>
      <c r="E502" s="26"/>
      <c r="F502" s="39"/>
      <c r="G502" s="40"/>
      <c r="H502" s="32"/>
      <c r="I502" s="33"/>
      <c r="J502" s="34"/>
      <c r="K502" s="32"/>
      <c r="L502" s="35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9.5" customHeight="1">
      <c r="A503" s="36" t="str">
        <f>LEFT('JANUARY 10, 2026'!$E503,FIND("-",'JANUARY 10, 2026'!$E503&amp;"-")-1)</f>
        <v/>
      </c>
      <c r="B503" s="37"/>
      <c r="C503" s="37"/>
      <c r="D503" s="38"/>
      <c r="E503" s="26"/>
      <c r="F503" s="39"/>
      <c r="G503" s="40"/>
      <c r="H503" s="32"/>
      <c r="I503" s="33"/>
      <c r="J503" s="34"/>
      <c r="K503" s="32"/>
      <c r="L503" s="35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9.5" customHeight="1">
      <c r="A504" s="36" t="str">
        <f>LEFT('JANUARY 10, 2026'!$E504,FIND("-",'JANUARY 10, 2026'!$E504&amp;"-")-1)</f>
        <v/>
      </c>
      <c r="B504" s="37"/>
      <c r="C504" s="37"/>
      <c r="D504" s="38"/>
      <c r="E504" s="26"/>
      <c r="F504" s="39"/>
      <c r="G504" s="40"/>
      <c r="H504" s="32"/>
      <c r="I504" s="33"/>
      <c r="J504" s="34"/>
      <c r="K504" s="32"/>
      <c r="L504" s="35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9.5" customHeight="1">
      <c r="A505" s="36" t="str">
        <f>LEFT('JANUARY 10, 2026'!$E505,FIND("-",'JANUARY 10, 2026'!$E505&amp;"-")-1)</f>
        <v/>
      </c>
      <c r="B505" s="37"/>
      <c r="C505" s="37"/>
      <c r="D505" s="38"/>
      <c r="E505" s="26"/>
      <c r="F505" s="39"/>
      <c r="G505" s="40"/>
      <c r="H505" s="32"/>
      <c r="I505" s="33"/>
      <c r="J505" s="34"/>
      <c r="K505" s="32"/>
      <c r="L505" s="35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9.5" customHeight="1">
      <c r="A506" s="36" t="str">
        <f>LEFT('JANUARY 10, 2026'!$E506,FIND("-",'JANUARY 10, 2026'!$E506&amp;"-")-1)</f>
        <v/>
      </c>
      <c r="B506" s="37"/>
      <c r="C506" s="37"/>
      <c r="D506" s="38"/>
      <c r="E506" s="26"/>
      <c r="F506" s="39"/>
      <c r="G506" s="40"/>
      <c r="H506" s="32"/>
      <c r="I506" s="33"/>
      <c r="J506" s="34"/>
      <c r="K506" s="32"/>
      <c r="L506" s="35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9.5" customHeight="1">
      <c r="A507" s="36" t="str">
        <f>LEFT('JANUARY 10, 2026'!$E507,FIND("-",'JANUARY 10, 2026'!$E507&amp;"-")-1)</f>
        <v/>
      </c>
      <c r="B507" s="37"/>
      <c r="C507" s="37"/>
      <c r="D507" s="38"/>
      <c r="E507" s="26"/>
      <c r="F507" s="39"/>
      <c r="G507" s="40"/>
      <c r="H507" s="32"/>
      <c r="I507" s="33"/>
      <c r="J507" s="34"/>
      <c r="K507" s="32"/>
      <c r="L507" s="35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9.5" customHeight="1">
      <c r="A508" s="36" t="str">
        <f>LEFT('JANUARY 10, 2026'!$E508,FIND("-",'JANUARY 10, 2026'!$E508&amp;"-")-1)</f>
        <v/>
      </c>
      <c r="B508" s="37"/>
      <c r="C508" s="37"/>
      <c r="D508" s="38"/>
      <c r="E508" s="26"/>
      <c r="F508" s="39"/>
      <c r="G508" s="40"/>
      <c r="H508" s="32"/>
      <c r="I508" s="33"/>
      <c r="J508" s="34"/>
      <c r="K508" s="32"/>
      <c r="L508" s="35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9.5" customHeight="1">
      <c r="A509" s="36" t="str">
        <f>LEFT('JANUARY 10, 2026'!$E509,FIND("-",'JANUARY 10, 2026'!$E509&amp;"-")-1)</f>
        <v/>
      </c>
      <c r="B509" s="37"/>
      <c r="C509" s="37"/>
      <c r="D509" s="38"/>
      <c r="E509" s="26"/>
      <c r="F509" s="39"/>
      <c r="G509" s="40"/>
      <c r="H509" s="32"/>
      <c r="I509" s="33"/>
      <c r="J509" s="34"/>
      <c r="K509" s="32"/>
      <c r="L509" s="35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9.5" customHeight="1">
      <c r="A510" s="36" t="str">
        <f>LEFT('JANUARY 10, 2026'!$E510,FIND("-",'JANUARY 10, 2026'!$E510&amp;"-")-1)</f>
        <v/>
      </c>
      <c r="B510" s="37"/>
      <c r="C510" s="37"/>
      <c r="D510" s="38"/>
      <c r="E510" s="26"/>
      <c r="F510" s="39"/>
      <c r="G510" s="40"/>
      <c r="H510" s="32"/>
      <c r="I510" s="33"/>
      <c r="J510" s="34"/>
      <c r="K510" s="32"/>
      <c r="L510" s="35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9.5" customHeight="1">
      <c r="A511" s="36" t="str">
        <f>LEFT('JANUARY 10, 2026'!$E511,FIND("-",'JANUARY 10, 2026'!$E511&amp;"-")-1)</f>
        <v/>
      </c>
      <c r="B511" s="37"/>
      <c r="C511" s="37"/>
      <c r="D511" s="38"/>
      <c r="E511" s="26"/>
      <c r="F511" s="39"/>
      <c r="G511" s="40"/>
      <c r="H511" s="32"/>
      <c r="I511" s="33"/>
      <c r="J511" s="34"/>
      <c r="K511" s="32"/>
      <c r="L511" s="35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9.5" customHeight="1">
      <c r="A512" s="36" t="str">
        <f>LEFT('JANUARY 10, 2026'!$E512,FIND("-",'JANUARY 10, 2026'!$E512&amp;"-")-1)</f>
        <v/>
      </c>
      <c r="B512" s="37"/>
      <c r="C512" s="37"/>
      <c r="D512" s="38"/>
      <c r="E512" s="26"/>
      <c r="F512" s="39"/>
      <c r="G512" s="40"/>
      <c r="H512" s="32"/>
      <c r="I512" s="33"/>
      <c r="J512" s="34"/>
      <c r="K512" s="32"/>
      <c r="L512" s="35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9.5" customHeight="1">
      <c r="A513" s="36" t="str">
        <f>LEFT('JANUARY 10, 2026'!$E513,FIND("-",'JANUARY 10, 2026'!$E513&amp;"-")-1)</f>
        <v/>
      </c>
      <c r="B513" s="37"/>
      <c r="C513" s="37"/>
      <c r="D513" s="38"/>
      <c r="E513" s="26"/>
      <c r="F513" s="39"/>
      <c r="G513" s="40"/>
      <c r="H513" s="32"/>
      <c r="I513" s="33"/>
      <c r="J513" s="34"/>
      <c r="K513" s="32"/>
      <c r="L513" s="35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9.5" customHeight="1">
      <c r="A514" s="36" t="str">
        <f>LEFT('JANUARY 10, 2026'!$E514,FIND("-",'JANUARY 10, 2026'!$E514&amp;"-")-1)</f>
        <v/>
      </c>
      <c r="B514" s="37"/>
      <c r="C514" s="37"/>
      <c r="D514" s="38"/>
      <c r="E514" s="26"/>
      <c r="F514" s="39"/>
      <c r="G514" s="40"/>
      <c r="H514" s="32"/>
      <c r="I514" s="33"/>
      <c r="J514" s="34"/>
      <c r="K514" s="32"/>
      <c r="L514" s="35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9.5" customHeight="1">
      <c r="A515" s="36" t="str">
        <f>LEFT('JANUARY 10, 2026'!$E515,FIND("-",'JANUARY 10, 2026'!$E515&amp;"-")-1)</f>
        <v/>
      </c>
      <c r="B515" s="37"/>
      <c r="C515" s="37"/>
      <c r="D515" s="38"/>
      <c r="E515" s="26"/>
      <c r="F515" s="39"/>
      <c r="G515" s="40"/>
      <c r="H515" s="32"/>
      <c r="I515" s="33"/>
      <c r="J515" s="34"/>
      <c r="K515" s="32"/>
      <c r="L515" s="35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9.5" customHeight="1">
      <c r="A516" s="36" t="str">
        <f>LEFT('JANUARY 10, 2026'!$E516,FIND("-",'JANUARY 10, 2026'!$E516&amp;"-")-1)</f>
        <v/>
      </c>
      <c r="B516" s="37"/>
      <c r="C516" s="37"/>
      <c r="D516" s="38"/>
      <c r="E516" s="26"/>
      <c r="F516" s="39"/>
      <c r="G516" s="40"/>
      <c r="H516" s="32"/>
      <c r="I516" s="33"/>
      <c r="J516" s="34"/>
      <c r="K516" s="32"/>
      <c r="L516" s="35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9.5" customHeight="1">
      <c r="A517" s="36" t="str">
        <f>LEFT('JANUARY 10, 2026'!$E517,FIND("-",'JANUARY 10, 2026'!$E517&amp;"-")-1)</f>
        <v/>
      </c>
      <c r="B517" s="37"/>
      <c r="C517" s="37"/>
      <c r="D517" s="38"/>
      <c r="E517" s="26"/>
      <c r="F517" s="39"/>
      <c r="G517" s="40"/>
      <c r="H517" s="32"/>
      <c r="I517" s="33"/>
      <c r="J517" s="34"/>
      <c r="K517" s="32"/>
      <c r="L517" s="35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9.5" customHeight="1">
      <c r="A518" s="36" t="str">
        <f>LEFT('JANUARY 10, 2026'!$E518,FIND("-",'JANUARY 10, 2026'!$E518&amp;"-")-1)</f>
        <v/>
      </c>
      <c r="B518" s="37"/>
      <c r="C518" s="37"/>
      <c r="D518" s="38"/>
      <c r="E518" s="26"/>
      <c r="F518" s="39"/>
      <c r="G518" s="40"/>
      <c r="H518" s="32"/>
      <c r="I518" s="33"/>
      <c r="J518" s="34"/>
      <c r="K518" s="32"/>
      <c r="L518" s="35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9.5" customHeight="1">
      <c r="A519" s="36" t="str">
        <f>LEFT('JANUARY 10, 2026'!$E519,FIND("-",'JANUARY 10, 2026'!$E519&amp;"-")-1)</f>
        <v/>
      </c>
      <c r="B519" s="37"/>
      <c r="C519" s="37"/>
      <c r="D519" s="38"/>
      <c r="E519" s="26"/>
      <c r="F519" s="39"/>
      <c r="G519" s="40"/>
      <c r="H519" s="32"/>
      <c r="I519" s="33"/>
      <c r="J519" s="34"/>
      <c r="K519" s="32"/>
      <c r="L519" s="35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9.5" customHeight="1">
      <c r="A520" s="36" t="str">
        <f>LEFT('JANUARY 10, 2026'!$E520,FIND("-",'JANUARY 10, 2026'!$E520&amp;"-")-1)</f>
        <v/>
      </c>
      <c r="B520" s="37"/>
      <c r="C520" s="37"/>
      <c r="D520" s="38"/>
      <c r="E520" s="26"/>
      <c r="F520" s="39"/>
      <c r="G520" s="40"/>
      <c r="H520" s="32"/>
      <c r="I520" s="33"/>
      <c r="J520" s="34"/>
      <c r="K520" s="32"/>
      <c r="L520" s="35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9.5" customHeight="1">
      <c r="A521" s="36" t="str">
        <f>LEFT('JANUARY 10, 2026'!$E521,FIND("-",'JANUARY 10, 2026'!$E521&amp;"-")-1)</f>
        <v/>
      </c>
      <c r="B521" s="37"/>
      <c r="C521" s="37"/>
      <c r="D521" s="38"/>
      <c r="E521" s="26"/>
      <c r="F521" s="39"/>
      <c r="G521" s="40"/>
      <c r="H521" s="32"/>
      <c r="I521" s="33"/>
      <c r="J521" s="34"/>
      <c r="K521" s="32"/>
      <c r="L521" s="35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9.5" customHeight="1">
      <c r="A522" s="36" t="str">
        <f>LEFT('JANUARY 10, 2026'!$E522,FIND("-",'JANUARY 10, 2026'!$E522&amp;"-")-1)</f>
        <v/>
      </c>
      <c r="B522" s="37"/>
      <c r="C522" s="37"/>
      <c r="D522" s="38"/>
      <c r="E522" s="26"/>
      <c r="F522" s="39"/>
      <c r="G522" s="40"/>
      <c r="H522" s="32"/>
      <c r="I522" s="33"/>
      <c r="J522" s="34"/>
      <c r="K522" s="32"/>
      <c r="L522" s="35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9.5" customHeight="1">
      <c r="A523" s="36" t="str">
        <f>LEFT('JANUARY 10, 2026'!$E523,FIND("-",'JANUARY 10, 2026'!$E523&amp;"-")-1)</f>
        <v/>
      </c>
      <c r="B523" s="37"/>
      <c r="C523" s="37"/>
      <c r="D523" s="38"/>
      <c r="E523" s="26"/>
      <c r="F523" s="39"/>
      <c r="G523" s="40"/>
      <c r="H523" s="32"/>
      <c r="I523" s="33"/>
      <c r="J523" s="34"/>
      <c r="K523" s="32"/>
      <c r="L523" s="35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9.5" customHeight="1">
      <c r="A524" s="36" t="str">
        <f>LEFT('JANUARY 10, 2026'!$E524,FIND("-",'JANUARY 10, 2026'!$E524&amp;"-")-1)</f>
        <v/>
      </c>
      <c r="B524" s="37"/>
      <c r="C524" s="37"/>
      <c r="D524" s="38"/>
      <c r="E524" s="26"/>
      <c r="F524" s="39"/>
      <c r="G524" s="40"/>
      <c r="H524" s="32"/>
      <c r="I524" s="33"/>
      <c r="J524" s="34"/>
      <c r="K524" s="32"/>
      <c r="L524" s="35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9.5" customHeight="1">
      <c r="A525" s="36" t="str">
        <f>LEFT('JANUARY 10, 2026'!$E525,FIND("-",'JANUARY 10, 2026'!$E525&amp;"-")-1)</f>
        <v/>
      </c>
      <c r="B525" s="37"/>
      <c r="C525" s="37"/>
      <c r="D525" s="38"/>
      <c r="E525" s="26"/>
      <c r="F525" s="39"/>
      <c r="G525" s="40"/>
      <c r="H525" s="32"/>
      <c r="I525" s="33"/>
      <c r="J525" s="34"/>
      <c r="K525" s="32"/>
      <c r="L525" s="35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9.5" customHeight="1">
      <c r="A526" s="36" t="str">
        <f>LEFT('JANUARY 10, 2026'!$E526,FIND("-",'JANUARY 10, 2026'!$E526&amp;"-")-1)</f>
        <v/>
      </c>
      <c r="B526" s="37"/>
      <c r="C526" s="37"/>
      <c r="D526" s="38"/>
      <c r="E526" s="26"/>
      <c r="F526" s="39"/>
      <c r="G526" s="40"/>
      <c r="H526" s="32"/>
      <c r="I526" s="33"/>
      <c r="J526" s="34"/>
      <c r="K526" s="32"/>
      <c r="L526" s="35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9.5" customHeight="1">
      <c r="A527" s="36" t="str">
        <f>LEFT('JANUARY 10, 2026'!$E527,FIND("-",'JANUARY 10, 2026'!$E527&amp;"-")-1)</f>
        <v/>
      </c>
      <c r="B527" s="37"/>
      <c r="C527" s="37"/>
      <c r="D527" s="38"/>
      <c r="E527" s="26"/>
      <c r="F527" s="39"/>
      <c r="G527" s="40"/>
      <c r="H527" s="32"/>
      <c r="I527" s="33"/>
      <c r="J527" s="34"/>
      <c r="K527" s="32"/>
      <c r="L527" s="35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9.5" customHeight="1">
      <c r="A528" s="36" t="str">
        <f>LEFT('JANUARY 10, 2026'!$E528,FIND("-",'JANUARY 10, 2026'!$E528&amp;"-")-1)</f>
        <v/>
      </c>
      <c r="B528" s="37"/>
      <c r="C528" s="37"/>
      <c r="D528" s="38"/>
      <c r="E528" s="26"/>
      <c r="F528" s="39"/>
      <c r="G528" s="40"/>
      <c r="H528" s="32"/>
      <c r="I528" s="33"/>
      <c r="J528" s="34"/>
      <c r="K528" s="32"/>
      <c r="L528" s="35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9.5" customHeight="1">
      <c r="A529" s="36" t="str">
        <f>LEFT('JANUARY 10, 2026'!$E529,FIND("-",'JANUARY 10, 2026'!$E529&amp;"-")-1)</f>
        <v/>
      </c>
      <c r="B529" s="37"/>
      <c r="C529" s="37"/>
      <c r="D529" s="38"/>
      <c r="E529" s="26"/>
      <c r="F529" s="39"/>
      <c r="G529" s="40"/>
      <c r="H529" s="32"/>
      <c r="I529" s="33"/>
      <c r="J529" s="34"/>
      <c r="K529" s="32"/>
      <c r="L529" s="35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9.5" customHeight="1">
      <c r="A530" s="36" t="str">
        <f>LEFT('JANUARY 10, 2026'!$E530,FIND("-",'JANUARY 10, 2026'!$E530&amp;"-")-1)</f>
        <v/>
      </c>
      <c r="B530" s="37"/>
      <c r="C530" s="37"/>
      <c r="D530" s="38"/>
      <c r="E530" s="26"/>
      <c r="F530" s="39"/>
      <c r="G530" s="40"/>
      <c r="H530" s="32"/>
      <c r="I530" s="33"/>
      <c r="J530" s="34"/>
      <c r="K530" s="32"/>
      <c r="L530" s="35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9.5" customHeight="1">
      <c r="A531" s="36" t="str">
        <f>LEFT('JANUARY 10, 2026'!$E531,FIND("-",'JANUARY 10, 2026'!$E531&amp;"-")-1)</f>
        <v/>
      </c>
      <c r="B531" s="37"/>
      <c r="C531" s="37"/>
      <c r="D531" s="38"/>
      <c r="E531" s="26"/>
      <c r="F531" s="39"/>
      <c r="G531" s="40"/>
      <c r="H531" s="32"/>
      <c r="I531" s="33"/>
      <c r="J531" s="34"/>
      <c r="K531" s="32"/>
      <c r="L531" s="35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9.5" customHeight="1">
      <c r="A532" s="36" t="str">
        <f>LEFT('JANUARY 10, 2026'!$E532,FIND("-",'JANUARY 10, 2026'!$E532&amp;"-")-1)</f>
        <v/>
      </c>
      <c r="B532" s="37"/>
      <c r="C532" s="37"/>
      <c r="D532" s="38"/>
      <c r="E532" s="26"/>
      <c r="F532" s="39"/>
      <c r="G532" s="40"/>
      <c r="H532" s="32"/>
      <c r="I532" s="33"/>
      <c r="J532" s="34"/>
      <c r="K532" s="32"/>
      <c r="L532" s="35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9.5" customHeight="1">
      <c r="A533" s="36" t="str">
        <f>LEFT('JANUARY 10, 2026'!$E533,FIND("-",'JANUARY 10, 2026'!$E533&amp;"-")-1)</f>
        <v/>
      </c>
      <c r="B533" s="37"/>
      <c r="C533" s="37"/>
      <c r="D533" s="38"/>
      <c r="E533" s="26"/>
      <c r="F533" s="39"/>
      <c r="G533" s="40"/>
      <c r="H533" s="32"/>
      <c r="I533" s="33"/>
      <c r="J533" s="34"/>
      <c r="K533" s="32"/>
      <c r="L533" s="35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9.5" customHeight="1">
      <c r="A534" s="36" t="str">
        <f>LEFT('JANUARY 10, 2026'!$E534,FIND("-",'JANUARY 10, 2026'!$E534&amp;"-")-1)</f>
        <v/>
      </c>
      <c r="B534" s="37"/>
      <c r="C534" s="37"/>
      <c r="D534" s="38"/>
      <c r="E534" s="26"/>
      <c r="F534" s="39"/>
      <c r="G534" s="40"/>
      <c r="H534" s="32"/>
      <c r="I534" s="33"/>
      <c r="J534" s="34"/>
      <c r="K534" s="32"/>
      <c r="L534" s="35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9.5" customHeight="1">
      <c r="A535" s="36" t="str">
        <f>LEFT('JANUARY 10, 2026'!$E535,FIND("-",'JANUARY 10, 2026'!$E535&amp;"-")-1)</f>
        <v/>
      </c>
      <c r="B535" s="37"/>
      <c r="C535" s="37"/>
      <c r="D535" s="38"/>
      <c r="E535" s="26"/>
      <c r="F535" s="39"/>
      <c r="G535" s="40"/>
      <c r="H535" s="32"/>
      <c r="I535" s="33"/>
      <c r="J535" s="34"/>
      <c r="K535" s="32"/>
      <c r="L535" s="35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9.5" customHeight="1">
      <c r="A536" s="36" t="str">
        <f>LEFT('JANUARY 10, 2026'!$E536,FIND("-",'JANUARY 10, 2026'!$E536&amp;"-")-1)</f>
        <v/>
      </c>
      <c r="B536" s="37"/>
      <c r="C536" s="37"/>
      <c r="D536" s="38"/>
      <c r="E536" s="26"/>
      <c r="F536" s="39"/>
      <c r="G536" s="40"/>
      <c r="H536" s="32"/>
      <c r="I536" s="33"/>
      <c r="J536" s="34"/>
      <c r="K536" s="32"/>
      <c r="L536" s="35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9.5" customHeight="1">
      <c r="A537" s="36" t="str">
        <f>LEFT('JANUARY 10, 2026'!$E537,FIND("-",'JANUARY 10, 2026'!$E537&amp;"-")-1)</f>
        <v/>
      </c>
      <c r="B537" s="37"/>
      <c r="C537" s="37"/>
      <c r="D537" s="38"/>
      <c r="E537" s="26"/>
      <c r="F537" s="39"/>
      <c r="G537" s="40"/>
      <c r="H537" s="32"/>
      <c r="I537" s="33"/>
      <c r="J537" s="34"/>
      <c r="K537" s="32"/>
      <c r="L537" s="35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9.5" customHeight="1">
      <c r="A538" s="36" t="str">
        <f>LEFT('JANUARY 10, 2026'!$E538,FIND("-",'JANUARY 10, 2026'!$E538&amp;"-")-1)</f>
        <v/>
      </c>
      <c r="B538" s="37"/>
      <c r="C538" s="37"/>
      <c r="D538" s="38"/>
      <c r="E538" s="26"/>
      <c r="F538" s="39"/>
      <c r="G538" s="40"/>
      <c r="H538" s="32"/>
      <c r="I538" s="33"/>
      <c r="J538" s="34"/>
      <c r="K538" s="32"/>
      <c r="L538" s="35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9.5" customHeight="1">
      <c r="A539" s="36" t="str">
        <f>LEFT('JANUARY 10, 2026'!$E539,FIND("-",'JANUARY 10, 2026'!$E539&amp;"-")-1)</f>
        <v/>
      </c>
      <c r="B539" s="37"/>
      <c r="C539" s="37"/>
      <c r="D539" s="38"/>
      <c r="E539" s="26"/>
      <c r="F539" s="39"/>
      <c r="G539" s="40"/>
      <c r="H539" s="32"/>
      <c r="I539" s="33"/>
      <c r="J539" s="34"/>
      <c r="K539" s="32"/>
      <c r="L539" s="35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9.5" customHeight="1">
      <c r="A540" s="36" t="str">
        <f>LEFT('JANUARY 10, 2026'!$E540,FIND("-",'JANUARY 10, 2026'!$E540&amp;"-")-1)</f>
        <v/>
      </c>
      <c r="B540" s="37"/>
      <c r="C540" s="37"/>
      <c r="D540" s="38"/>
      <c r="E540" s="26"/>
      <c r="F540" s="39"/>
      <c r="G540" s="40"/>
      <c r="H540" s="32"/>
      <c r="I540" s="33"/>
      <c r="J540" s="34"/>
      <c r="K540" s="32"/>
      <c r="L540" s="35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9.5" customHeight="1">
      <c r="A541" s="36" t="str">
        <f>LEFT('JANUARY 10, 2026'!$E541,FIND("-",'JANUARY 10, 2026'!$E541&amp;"-")-1)</f>
        <v/>
      </c>
      <c r="B541" s="37"/>
      <c r="C541" s="37"/>
      <c r="D541" s="38"/>
      <c r="E541" s="26"/>
      <c r="F541" s="39"/>
      <c r="G541" s="40"/>
      <c r="H541" s="32"/>
      <c r="I541" s="33"/>
      <c r="J541" s="34"/>
      <c r="K541" s="32"/>
      <c r="L541" s="35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9.5" customHeight="1">
      <c r="A542" s="36" t="str">
        <f>LEFT('JANUARY 10, 2026'!$E542,FIND("-",'JANUARY 10, 2026'!$E542&amp;"-")-1)</f>
        <v/>
      </c>
      <c r="B542" s="37"/>
      <c r="C542" s="37"/>
      <c r="D542" s="38"/>
      <c r="E542" s="26"/>
      <c r="F542" s="39"/>
      <c r="G542" s="40"/>
      <c r="H542" s="32"/>
      <c r="I542" s="33"/>
      <c r="J542" s="34"/>
      <c r="K542" s="32"/>
      <c r="L542" s="35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9.5" customHeight="1">
      <c r="A543" s="36" t="str">
        <f>LEFT('JANUARY 10, 2026'!$E543,FIND("-",'JANUARY 10, 2026'!$E543&amp;"-")-1)</f>
        <v/>
      </c>
      <c r="B543" s="37"/>
      <c r="C543" s="37"/>
      <c r="D543" s="38"/>
      <c r="E543" s="26"/>
      <c r="F543" s="39"/>
      <c r="G543" s="40"/>
      <c r="H543" s="32"/>
      <c r="I543" s="33"/>
      <c r="J543" s="34"/>
      <c r="K543" s="32"/>
      <c r="L543" s="35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9.5" customHeight="1">
      <c r="A544" s="36" t="str">
        <f>LEFT('JANUARY 10, 2026'!$E544,FIND("-",'JANUARY 10, 2026'!$E544&amp;"-")-1)</f>
        <v/>
      </c>
      <c r="B544" s="37"/>
      <c r="C544" s="37"/>
      <c r="D544" s="38"/>
      <c r="E544" s="26"/>
      <c r="F544" s="39"/>
      <c r="G544" s="40"/>
      <c r="H544" s="32"/>
      <c r="I544" s="33"/>
      <c r="J544" s="34"/>
      <c r="K544" s="32"/>
      <c r="L544" s="35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9.5" customHeight="1">
      <c r="A545" s="36" t="str">
        <f>LEFT('JANUARY 10, 2026'!$E545,FIND("-",'JANUARY 10, 2026'!$E545&amp;"-")-1)</f>
        <v/>
      </c>
      <c r="B545" s="37"/>
      <c r="C545" s="37"/>
      <c r="D545" s="38"/>
      <c r="E545" s="26"/>
      <c r="F545" s="39"/>
      <c r="G545" s="40"/>
      <c r="H545" s="32"/>
      <c r="I545" s="33"/>
      <c r="J545" s="34"/>
      <c r="K545" s="32"/>
      <c r="L545" s="35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9.5" customHeight="1">
      <c r="A546" s="36" t="str">
        <f>LEFT('JANUARY 10, 2026'!$E546,FIND("-",'JANUARY 10, 2026'!$E546&amp;"-")-1)</f>
        <v/>
      </c>
      <c r="B546" s="37"/>
      <c r="C546" s="37"/>
      <c r="D546" s="38"/>
      <c r="E546" s="26"/>
      <c r="F546" s="39"/>
      <c r="G546" s="40"/>
      <c r="H546" s="32"/>
      <c r="I546" s="33"/>
      <c r="J546" s="34"/>
      <c r="K546" s="32"/>
      <c r="L546" s="35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9.5" customHeight="1">
      <c r="A547" s="36" t="str">
        <f>LEFT('JANUARY 10, 2026'!$E547,FIND("-",'JANUARY 10, 2026'!$E547&amp;"-")-1)</f>
        <v/>
      </c>
      <c r="B547" s="37"/>
      <c r="C547" s="37"/>
      <c r="D547" s="38"/>
      <c r="E547" s="26"/>
      <c r="F547" s="39"/>
      <c r="G547" s="40"/>
      <c r="H547" s="32"/>
      <c r="I547" s="33"/>
      <c r="J547" s="34"/>
      <c r="K547" s="32"/>
      <c r="L547" s="35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9.5" customHeight="1">
      <c r="A548" s="36" t="str">
        <f>LEFT('JANUARY 10, 2026'!$E548,FIND("-",'JANUARY 10, 2026'!$E548&amp;"-")-1)</f>
        <v/>
      </c>
      <c r="B548" s="37"/>
      <c r="C548" s="37"/>
      <c r="D548" s="38"/>
      <c r="E548" s="26"/>
      <c r="F548" s="39"/>
      <c r="G548" s="40"/>
      <c r="H548" s="32"/>
      <c r="I548" s="33"/>
      <c r="J548" s="34"/>
      <c r="K548" s="32"/>
      <c r="L548" s="35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9.5" customHeight="1">
      <c r="A549" s="36" t="str">
        <f>LEFT('JANUARY 10, 2026'!$E549,FIND("-",'JANUARY 10, 2026'!$E549&amp;"-")-1)</f>
        <v/>
      </c>
      <c r="B549" s="37"/>
      <c r="C549" s="37"/>
      <c r="D549" s="38"/>
      <c r="E549" s="26"/>
      <c r="F549" s="39"/>
      <c r="G549" s="40"/>
      <c r="H549" s="32"/>
      <c r="I549" s="33"/>
      <c r="J549" s="34"/>
      <c r="K549" s="32"/>
      <c r="L549" s="35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9.5" customHeight="1">
      <c r="A550" s="36" t="str">
        <f>LEFT('JANUARY 10, 2026'!$E550,FIND("-",'JANUARY 10, 2026'!$E550&amp;"-")-1)</f>
        <v/>
      </c>
      <c r="B550" s="37"/>
      <c r="C550" s="37"/>
      <c r="D550" s="38"/>
      <c r="E550" s="26"/>
      <c r="F550" s="39"/>
      <c r="G550" s="40"/>
      <c r="H550" s="32"/>
      <c r="I550" s="33"/>
      <c r="J550" s="34"/>
      <c r="K550" s="32"/>
      <c r="L550" s="35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9.5" customHeight="1">
      <c r="A551" s="36" t="str">
        <f>LEFT('JANUARY 10, 2026'!$E551,FIND("-",'JANUARY 10, 2026'!$E551&amp;"-")-1)</f>
        <v/>
      </c>
      <c r="B551" s="37"/>
      <c r="C551" s="37"/>
      <c r="D551" s="38"/>
      <c r="E551" s="26"/>
      <c r="F551" s="39"/>
      <c r="G551" s="40"/>
      <c r="H551" s="32"/>
      <c r="I551" s="33"/>
      <c r="J551" s="34"/>
      <c r="K551" s="32"/>
      <c r="L551" s="35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9.5" customHeight="1">
      <c r="A552" s="36" t="str">
        <f>LEFT('JANUARY 10, 2026'!$E552,FIND("-",'JANUARY 10, 2026'!$E552&amp;"-")-1)</f>
        <v/>
      </c>
      <c r="B552" s="37"/>
      <c r="C552" s="37"/>
      <c r="D552" s="38"/>
      <c r="E552" s="26"/>
      <c r="F552" s="39"/>
      <c r="G552" s="40"/>
      <c r="H552" s="32"/>
      <c r="I552" s="33"/>
      <c r="J552" s="34"/>
      <c r="K552" s="32"/>
      <c r="L552" s="35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9.5" customHeight="1">
      <c r="A553" s="36" t="str">
        <f>LEFT('JANUARY 10, 2026'!$E553,FIND("-",'JANUARY 10, 2026'!$E553&amp;"-")-1)</f>
        <v/>
      </c>
      <c r="B553" s="37"/>
      <c r="C553" s="37"/>
      <c r="D553" s="38"/>
      <c r="E553" s="26"/>
      <c r="F553" s="39"/>
      <c r="G553" s="40"/>
      <c r="H553" s="32"/>
      <c r="I553" s="33"/>
      <c r="J553" s="34"/>
      <c r="K553" s="32"/>
      <c r="L553" s="35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9.5" customHeight="1">
      <c r="A554" s="36" t="str">
        <f>LEFT('JANUARY 10, 2026'!$E554,FIND("-",'JANUARY 10, 2026'!$E554&amp;"-")-1)</f>
        <v/>
      </c>
      <c r="B554" s="37"/>
      <c r="C554" s="37"/>
      <c r="D554" s="38"/>
      <c r="E554" s="26"/>
      <c r="F554" s="39"/>
      <c r="G554" s="40"/>
      <c r="H554" s="32"/>
      <c r="I554" s="33"/>
      <c r="J554" s="34"/>
      <c r="K554" s="32"/>
      <c r="L554" s="35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9.5" customHeight="1">
      <c r="A555" s="36" t="str">
        <f>LEFT('JANUARY 10, 2026'!$E555,FIND("-",'JANUARY 10, 2026'!$E555&amp;"-")-1)</f>
        <v/>
      </c>
      <c r="B555" s="37"/>
      <c r="C555" s="37"/>
      <c r="D555" s="38"/>
      <c r="E555" s="26"/>
      <c r="F555" s="39"/>
      <c r="G555" s="40"/>
      <c r="H555" s="32"/>
      <c r="I555" s="33"/>
      <c r="J555" s="34"/>
      <c r="K555" s="32"/>
      <c r="L555" s="35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9.5" customHeight="1">
      <c r="A556" s="36" t="str">
        <f>LEFT('JANUARY 10, 2026'!$E556,FIND("-",'JANUARY 10, 2026'!$E556&amp;"-")-1)</f>
        <v/>
      </c>
      <c r="B556" s="37"/>
      <c r="C556" s="37"/>
      <c r="D556" s="38"/>
      <c r="E556" s="26"/>
      <c r="F556" s="39"/>
      <c r="G556" s="40"/>
      <c r="H556" s="32"/>
      <c r="I556" s="33"/>
      <c r="J556" s="34"/>
      <c r="K556" s="32"/>
      <c r="L556" s="35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9.5" customHeight="1">
      <c r="A557" s="36" t="str">
        <f>LEFT('JANUARY 10, 2026'!$E557,FIND("-",'JANUARY 10, 2026'!$E557&amp;"-")-1)</f>
        <v/>
      </c>
      <c r="B557" s="37"/>
      <c r="C557" s="37"/>
      <c r="D557" s="38"/>
      <c r="E557" s="26"/>
      <c r="F557" s="39"/>
      <c r="G557" s="40"/>
      <c r="H557" s="32"/>
      <c r="I557" s="33"/>
      <c r="J557" s="34"/>
      <c r="K557" s="32"/>
      <c r="L557" s="35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9.5" customHeight="1">
      <c r="A558" s="36" t="str">
        <f>LEFT('JANUARY 10, 2026'!$E558,FIND("-",'JANUARY 10, 2026'!$E558&amp;"-")-1)</f>
        <v/>
      </c>
      <c r="B558" s="37"/>
      <c r="C558" s="37"/>
      <c r="D558" s="38"/>
      <c r="E558" s="26"/>
      <c r="F558" s="39"/>
      <c r="G558" s="40"/>
      <c r="H558" s="32"/>
      <c r="I558" s="33"/>
      <c r="J558" s="34"/>
      <c r="K558" s="32"/>
      <c r="L558" s="35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9.5" customHeight="1">
      <c r="A559" s="36" t="str">
        <f>LEFT('JANUARY 10, 2026'!$E559,FIND("-",'JANUARY 10, 2026'!$E559&amp;"-")-1)</f>
        <v/>
      </c>
      <c r="B559" s="37"/>
      <c r="C559" s="37"/>
      <c r="D559" s="38"/>
      <c r="E559" s="26"/>
      <c r="F559" s="39"/>
      <c r="G559" s="40"/>
      <c r="H559" s="32"/>
      <c r="I559" s="33"/>
      <c r="J559" s="34"/>
      <c r="K559" s="32"/>
      <c r="L559" s="35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9.5" customHeight="1">
      <c r="A560" s="36" t="str">
        <f>LEFT('JANUARY 10, 2026'!$E560,FIND("-",'JANUARY 10, 2026'!$E560&amp;"-")-1)</f>
        <v/>
      </c>
      <c r="B560" s="37"/>
      <c r="C560" s="37"/>
      <c r="D560" s="38"/>
      <c r="E560" s="26"/>
      <c r="F560" s="39"/>
      <c r="G560" s="40"/>
      <c r="H560" s="32"/>
      <c r="I560" s="33"/>
      <c r="J560" s="34"/>
      <c r="K560" s="32"/>
      <c r="L560" s="35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9.5" customHeight="1">
      <c r="A561" s="36" t="str">
        <f>LEFT('JANUARY 10, 2026'!$E561,FIND("-",'JANUARY 10, 2026'!$E561&amp;"-")-1)</f>
        <v/>
      </c>
      <c r="B561" s="37"/>
      <c r="C561" s="37"/>
      <c r="D561" s="38"/>
      <c r="E561" s="26"/>
      <c r="F561" s="39"/>
      <c r="G561" s="40"/>
      <c r="H561" s="32"/>
      <c r="I561" s="33"/>
      <c r="J561" s="34"/>
      <c r="K561" s="32"/>
      <c r="L561" s="35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9.5" customHeight="1">
      <c r="A562" s="36" t="str">
        <f>LEFT('JANUARY 10, 2026'!$E562,FIND("-",'JANUARY 10, 2026'!$E562&amp;"-")-1)</f>
        <v/>
      </c>
      <c r="B562" s="37"/>
      <c r="C562" s="37"/>
      <c r="D562" s="38"/>
      <c r="E562" s="26"/>
      <c r="F562" s="39"/>
      <c r="G562" s="40"/>
      <c r="H562" s="32"/>
      <c r="I562" s="33"/>
      <c r="J562" s="34"/>
      <c r="K562" s="32"/>
      <c r="L562" s="35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9.5" customHeight="1">
      <c r="A563" s="36" t="str">
        <f>LEFT('JANUARY 10, 2026'!$E563,FIND("-",'JANUARY 10, 2026'!$E563&amp;"-")-1)</f>
        <v/>
      </c>
      <c r="B563" s="37"/>
      <c r="C563" s="37"/>
      <c r="D563" s="38"/>
      <c r="E563" s="26"/>
      <c r="F563" s="39"/>
      <c r="G563" s="40"/>
      <c r="H563" s="32"/>
      <c r="I563" s="33"/>
      <c r="J563" s="34"/>
      <c r="K563" s="32"/>
      <c r="L563" s="35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9.5" customHeight="1">
      <c r="A564" s="36" t="str">
        <f>LEFT('JANUARY 10, 2026'!$E564,FIND("-",'JANUARY 10, 2026'!$E564&amp;"-")-1)</f>
        <v/>
      </c>
      <c r="B564" s="37"/>
      <c r="C564" s="37"/>
      <c r="D564" s="38"/>
      <c r="E564" s="26"/>
      <c r="F564" s="39"/>
      <c r="G564" s="40"/>
      <c r="H564" s="32"/>
      <c r="I564" s="33"/>
      <c r="J564" s="34"/>
      <c r="K564" s="32"/>
      <c r="L564" s="35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9.5" customHeight="1">
      <c r="A565" s="36" t="str">
        <f>LEFT('JANUARY 10, 2026'!$E565,FIND("-",'JANUARY 10, 2026'!$E565&amp;"-")-1)</f>
        <v/>
      </c>
      <c r="B565" s="37"/>
      <c r="C565" s="37"/>
      <c r="D565" s="38"/>
      <c r="E565" s="26"/>
      <c r="F565" s="39"/>
      <c r="G565" s="40"/>
      <c r="H565" s="32"/>
      <c r="I565" s="33"/>
      <c r="J565" s="34"/>
      <c r="K565" s="32"/>
      <c r="L565" s="35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9.5" customHeight="1">
      <c r="A566" s="36" t="str">
        <f>LEFT('JANUARY 10, 2026'!$E566,FIND("-",'JANUARY 10, 2026'!$E566&amp;"-")-1)</f>
        <v/>
      </c>
      <c r="B566" s="37"/>
      <c r="C566" s="37"/>
      <c r="D566" s="38"/>
      <c r="E566" s="26"/>
      <c r="F566" s="39"/>
      <c r="G566" s="40"/>
      <c r="H566" s="32"/>
      <c r="I566" s="33"/>
      <c r="J566" s="34"/>
      <c r="K566" s="32"/>
      <c r="L566" s="35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9.5" customHeight="1">
      <c r="A567" s="36" t="str">
        <f>LEFT('JANUARY 10, 2026'!$E567,FIND("-",'JANUARY 10, 2026'!$E567&amp;"-")-1)</f>
        <v/>
      </c>
      <c r="B567" s="37"/>
      <c r="C567" s="37"/>
      <c r="D567" s="38"/>
      <c r="E567" s="26"/>
      <c r="F567" s="39"/>
      <c r="G567" s="40"/>
      <c r="H567" s="32"/>
      <c r="I567" s="33"/>
      <c r="J567" s="34"/>
      <c r="K567" s="32"/>
      <c r="L567" s="35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9.5" customHeight="1">
      <c r="A568" s="36" t="str">
        <f>LEFT('JANUARY 10, 2026'!$E568,FIND("-",'JANUARY 10, 2026'!$E568&amp;"-")-1)</f>
        <v/>
      </c>
      <c r="B568" s="37"/>
      <c r="C568" s="37"/>
      <c r="D568" s="38"/>
      <c r="E568" s="26"/>
      <c r="F568" s="39"/>
      <c r="G568" s="40"/>
      <c r="H568" s="32"/>
      <c r="I568" s="33"/>
      <c r="J568" s="34"/>
      <c r="K568" s="32"/>
      <c r="L568" s="35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9.5" customHeight="1">
      <c r="A569" s="36" t="str">
        <f>LEFT('JANUARY 10, 2026'!$E569,FIND("-",'JANUARY 10, 2026'!$E569&amp;"-")-1)</f>
        <v/>
      </c>
      <c r="B569" s="37"/>
      <c r="C569" s="37"/>
      <c r="D569" s="38"/>
      <c r="E569" s="26"/>
      <c r="F569" s="39"/>
      <c r="G569" s="40"/>
      <c r="H569" s="32"/>
      <c r="I569" s="33"/>
      <c r="J569" s="34"/>
      <c r="K569" s="32"/>
      <c r="L569" s="35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9.5" customHeight="1">
      <c r="A570" s="36" t="str">
        <f>LEFT('JANUARY 10, 2026'!$E570,FIND("-",'JANUARY 10, 2026'!$E570&amp;"-")-1)</f>
        <v/>
      </c>
      <c r="B570" s="37"/>
      <c r="C570" s="37"/>
      <c r="D570" s="38"/>
      <c r="E570" s="26"/>
      <c r="F570" s="39"/>
      <c r="G570" s="40"/>
      <c r="H570" s="32"/>
      <c r="I570" s="33"/>
      <c r="J570" s="34"/>
      <c r="K570" s="32"/>
      <c r="L570" s="35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9.5" customHeight="1">
      <c r="A571" s="36" t="str">
        <f>LEFT('JANUARY 10, 2026'!$E571,FIND("-",'JANUARY 10, 2026'!$E571&amp;"-")-1)</f>
        <v/>
      </c>
      <c r="B571" s="37"/>
      <c r="C571" s="37"/>
      <c r="D571" s="38"/>
      <c r="E571" s="26"/>
      <c r="F571" s="39"/>
      <c r="G571" s="40"/>
      <c r="H571" s="32"/>
      <c r="I571" s="33"/>
      <c r="J571" s="34"/>
      <c r="K571" s="32"/>
      <c r="L571" s="35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9.5" customHeight="1">
      <c r="A572" s="36" t="str">
        <f>LEFT('JANUARY 10, 2026'!$E572,FIND("-",'JANUARY 10, 2026'!$E572&amp;"-")-1)</f>
        <v/>
      </c>
      <c r="B572" s="37"/>
      <c r="C572" s="37"/>
      <c r="D572" s="38"/>
      <c r="E572" s="26"/>
      <c r="F572" s="39"/>
      <c r="G572" s="40"/>
      <c r="H572" s="32"/>
      <c r="I572" s="33"/>
      <c r="J572" s="34"/>
      <c r="K572" s="32"/>
      <c r="L572" s="35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9.5" customHeight="1">
      <c r="A573" s="36" t="str">
        <f>LEFT('JANUARY 10, 2026'!$E573,FIND("-",'JANUARY 10, 2026'!$E573&amp;"-")-1)</f>
        <v/>
      </c>
      <c r="B573" s="37"/>
      <c r="C573" s="37"/>
      <c r="D573" s="38"/>
      <c r="E573" s="26"/>
      <c r="F573" s="39"/>
      <c r="G573" s="40"/>
      <c r="H573" s="32"/>
      <c r="I573" s="33"/>
      <c r="J573" s="34"/>
      <c r="K573" s="32"/>
      <c r="L573" s="35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9.5" customHeight="1">
      <c r="A574" s="36" t="str">
        <f>LEFT('JANUARY 10, 2026'!$E574,FIND("-",'JANUARY 10, 2026'!$E574&amp;"-")-1)</f>
        <v/>
      </c>
      <c r="B574" s="37"/>
      <c r="C574" s="37"/>
      <c r="D574" s="38"/>
      <c r="E574" s="26"/>
      <c r="F574" s="39"/>
      <c r="G574" s="40"/>
      <c r="H574" s="32"/>
      <c r="I574" s="33"/>
      <c r="J574" s="34"/>
      <c r="K574" s="32"/>
      <c r="L574" s="35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9.5" customHeight="1">
      <c r="A575" s="36" t="str">
        <f>LEFT('JANUARY 10, 2026'!$E575,FIND("-",'JANUARY 10, 2026'!$E575&amp;"-")-1)</f>
        <v/>
      </c>
      <c r="B575" s="37"/>
      <c r="C575" s="37"/>
      <c r="D575" s="38"/>
      <c r="E575" s="26"/>
      <c r="F575" s="39"/>
      <c r="G575" s="40"/>
      <c r="H575" s="32"/>
      <c r="I575" s="33"/>
      <c r="J575" s="34"/>
      <c r="K575" s="32"/>
      <c r="L575" s="35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9.5" customHeight="1">
      <c r="A576" s="36" t="str">
        <f>LEFT('JANUARY 10, 2026'!$E576,FIND("-",'JANUARY 10, 2026'!$E576&amp;"-")-1)</f>
        <v/>
      </c>
      <c r="B576" s="37"/>
      <c r="C576" s="37"/>
      <c r="D576" s="38"/>
      <c r="E576" s="26"/>
      <c r="F576" s="39"/>
      <c r="G576" s="40"/>
      <c r="H576" s="32"/>
      <c r="I576" s="33"/>
      <c r="J576" s="34"/>
      <c r="K576" s="32"/>
      <c r="L576" s="35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9.5" customHeight="1">
      <c r="A577" s="36" t="str">
        <f>LEFT('JANUARY 10, 2026'!$E577,FIND("-",'JANUARY 10, 2026'!$E577&amp;"-")-1)</f>
        <v/>
      </c>
      <c r="B577" s="37"/>
      <c r="C577" s="37"/>
      <c r="D577" s="38"/>
      <c r="E577" s="26"/>
      <c r="F577" s="39"/>
      <c r="G577" s="40"/>
      <c r="H577" s="32"/>
      <c r="I577" s="33"/>
      <c r="J577" s="34"/>
      <c r="K577" s="32"/>
      <c r="L577" s="35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9.5" customHeight="1">
      <c r="A578" s="36" t="str">
        <f>LEFT('JANUARY 10, 2026'!$E578,FIND("-",'JANUARY 10, 2026'!$E578&amp;"-")-1)</f>
        <v/>
      </c>
      <c r="B578" s="37"/>
      <c r="C578" s="37"/>
      <c r="D578" s="38"/>
      <c r="E578" s="26"/>
      <c r="F578" s="39"/>
      <c r="G578" s="40"/>
      <c r="H578" s="32"/>
      <c r="I578" s="33"/>
      <c r="J578" s="34"/>
      <c r="K578" s="32"/>
      <c r="L578" s="35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9.5" customHeight="1">
      <c r="A579" s="36" t="str">
        <f>LEFT('JANUARY 10, 2026'!$E579,FIND("-",'JANUARY 10, 2026'!$E579&amp;"-")-1)</f>
        <v/>
      </c>
      <c r="B579" s="37"/>
      <c r="C579" s="37"/>
      <c r="D579" s="38"/>
      <c r="E579" s="26"/>
      <c r="F579" s="39"/>
      <c r="G579" s="40"/>
      <c r="H579" s="32"/>
      <c r="I579" s="33"/>
      <c r="J579" s="34"/>
      <c r="K579" s="32"/>
      <c r="L579" s="35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9.5" customHeight="1">
      <c r="A580" s="36" t="str">
        <f>LEFT('JANUARY 10, 2026'!$E580,FIND("-",'JANUARY 10, 2026'!$E580&amp;"-")-1)</f>
        <v/>
      </c>
      <c r="B580" s="37"/>
      <c r="C580" s="37"/>
      <c r="D580" s="38"/>
      <c r="E580" s="26"/>
      <c r="F580" s="39"/>
      <c r="G580" s="40"/>
      <c r="H580" s="32"/>
      <c r="I580" s="33"/>
      <c r="J580" s="34"/>
      <c r="K580" s="32"/>
      <c r="L580" s="35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9.5" customHeight="1">
      <c r="A581" s="36" t="str">
        <f>LEFT('JANUARY 10, 2026'!$E581,FIND("-",'JANUARY 10, 2026'!$E581&amp;"-")-1)</f>
        <v/>
      </c>
      <c r="B581" s="37"/>
      <c r="C581" s="37"/>
      <c r="D581" s="38"/>
      <c r="E581" s="26"/>
      <c r="F581" s="39"/>
      <c r="G581" s="40"/>
      <c r="H581" s="32"/>
      <c r="I581" s="33"/>
      <c r="J581" s="34"/>
      <c r="K581" s="32"/>
      <c r="L581" s="35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9.5" customHeight="1">
      <c r="A582" s="36" t="str">
        <f>LEFT('JANUARY 10, 2026'!$E582,FIND("-",'JANUARY 10, 2026'!$E582&amp;"-")-1)</f>
        <v/>
      </c>
      <c r="B582" s="37"/>
      <c r="C582" s="37"/>
      <c r="D582" s="38"/>
      <c r="E582" s="26"/>
      <c r="F582" s="39"/>
      <c r="G582" s="40"/>
      <c r="H582" s="32"/>
      <c r="I582" s="33"/>
      <c r="J582" s="34"/>
      <c r="K582" s="32"/>
      <c r="L582" s="35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9.5" customHeight="1">
      <c r="A583" s="36" t="str">
        <f>LEFT('JANUARY 10, 2026'!$E583,FIND("-",'JANUARY 10, 2026'!$E583&amp;"-")-1)</f>
        <v/>
      </c>
      <c r="B583" s="37"/>
      <c r="C583" s="37"/>
      <c r="D583" s="38"/>
      <c r="E583" s="26"/>
      <c r="F583" s="39"/>
      <c r="G583" s="40"/>
      <c r="H583" s="32"/>
      <c r="I583" s="33"/>
      <c r="J583" s="34"/>
      <c r="K583" s="32"/>
      <c r="L583" s="35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9.5" customHeight="1">
      <c r="A584" s="36" t="str">
        <f>LEFT('JANUARY 10, 2026'!$E584,FIND("-",'JANUARY 10, 2026'!$E584&amp;"-")-1)</f>
        <v/>
      </c>
      <c r="B584" s="37"/>
      <c r="C584" s="37"/>
      <c r="D584" s="38"/>
      <c r="E584" s="26"/>
      <c r="F584" s="39"/>
      <c r="G584" s="40"/>
      <c r="H584" s="32"/>
      <c r="I584" s="33"/>
      <c r="J584" s="34"/>
      <c r="K584" s="32"/>
      <c r="L584" s="35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9.5" customHeight="1">
      <c r="A585" s="36" t="str">
        <f>LEFT('JANUARY 10, 2026'!$E585,FIND("-",'JANUARY 10, 2026'!$E585&amp;"-")-1)</f>
        <v/>
      </c>
      <c r="B585" s="37"/>
      <c r="C585" s="37"/>
      <c r="D585" s="38"/>
      <c r="E585" s="26"/>
      <c r="F585" s="39"/>
      <c r="G585" s="40"/>
      <c r="H585" s="32"/>
      <c r="I585" s="33"/>
      <c r="J585" s="34"/>
      <c r="K585" s="32"/>
      <c r="L585" s="35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9.5" customHeight="1">
      <c r="A586" s="36" t="str">
        <f>LEFT('JANUARY 10, 2026'!$E586,FIND("-",'JANUARY 10, 2026'!$E586&amp;"-")-1)</f>
        <v/>
      </c>
      <c r="B586" s="37"/>
      <c r="C586" s="37"/>
      <c r="D586" s="38"/>
      <c r="E586" s="26"/>
      <c r="F586" s="39"/>
      <c r="G586" s="40"/>
      <c r="H586" s="32"/>
      <c r="I586" s="33"/>
      <c r="J586" s="34"/>
      <c r="K586" s="32"/>
      <c r="L586" s="35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9.5" customHeight="1">
      <c r="A587" s="36" t="str">
        <f>LEFT('JANUARY 10, 2026'!$E587,FIND("-",'JANUARY 10, 2026'!$E587&amp;"-")-1)</f>
        <v/>
      </c>
      <c r="B587" s="37"/>
      <c r="C587" s="37"/>
      <c r="D587" s="38"/>
      <c r="E587" s="26"/>
      <c r="F587" s="39"/>
      <c r="G587" s="40"/>
      <c r="H587" s="32"/>
      <c r="I587" s="33"/>
      <c r="J587" s="34"/>
      <c r="K587" s="32"/>
      <c r="L587" s="35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9.5" customHeight="1">
      <c r="A588" s="36" t="str">
        <f>LEFT('JANUARY 10, 2026'!$E588,FIND("-",'JANUARY 10, 2026'!$E588&amp;"-")-1)</f>
        <v/>
      </c>
      <c r="B588" s="37"/>
      <c r="C588" s="37"/>
      <c r="D588" s="38"/>
      <c r="E588" s="26"/>
      <c r="F588" s="39"/>
      <c r="G588" s="40"/>
      <c r="H588" s="32"/>
      <c r="I588" s="33"/>
      <c r="J588" s="34"/>
      <c r="K588" s="32"/>
      <c r="L588" s="35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9.5" customHeight="1">
      <c r="A589" s="36" t="str">
        <f>LEFT('JANUARY 10, 2026'!$E589,FIND("-",'JANUARY 10, 2026'!$E589&amp;"-")-1)</f>
        <v/>
      </c>
      <c r="B589" s="37"/>
      <c r="C589" s="37"/>
      <c r="D589" s="38"/>
      <c r="E589" s="26"/>
      <c r="F589" s="39"/>
      <c r="G589" s="40"/>
      <c r="H589" s="32"/>
      <c r="I589" s="33"/>
      <c r="J589" s="34"/>
      <c r="K589" s="32"/>
      <c r="L589" s="35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9.5" customHeight="1">
      <c r="A590" s="36" t="str">
        <f>LEFT('JANUARY 10, 2026'!$E590,FIND("-",'JANUARY 10, 2026'!$E590&amp;"-")-1)</f>
        <v/>
      </c>
      <c r="B590" s="37"/>
      <c r="C590" s="37"/>
      <c r="D590" s="38"/>
      <c r="E590" s="26"/>
      <c r="F590" s="39"/>
      <c r="G590" s="40"/>
      <c r="H590" s="32"/>
      <c r="I590" s="33"/>
      <c r="J590" s="34"/>
      <c r="K590" s="32"/>
      <c r="L590" s="35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9.5" customHeight="1">
      <c r="A591" s="36" t="str">
        <f>LEFT('JANUARY 10, 2026'!$E591,FIND("-",'JANUARY 10, 2026'!$E591&amp;"-")-1)</f>
        <v/>
      </c>
      <c r="B591" s="37"/>
      <c r="C591" s="37"/>
      <c r="D591" s="38"/>
      <c r="E591" s="26"/>
      <c r="F591" s="39"/>
      <c r="G591" s="40"/>
      <c r="H591" s="32"/>
      <c r="I591" s="33"/>
      <c r="J591" s="34"/>
      <c r="K591" s="32"/>
      <c r="L591" s="35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9.5" customHeight="1">
      <c r="A592" s="36" t="str">
        <f>LEFT('JANUARY 10, 2026'!$E592,FIND("-",'JANUARY 10, 2026'!$E592&amp;"-")-1)</f>
        <v/>
      </c>
      <c r="B592" s="37"/>
      <c r="C592" s="37"/>
      <c r="D592" s="38"/>
      <c r="E592" s="26"/>
      <c r="F592" s="39"/>
      <c r="G592" s="40"/>
      <c r="H592" s="32"/>
      <c r="I592" s="33"/>
      <c r="J592" s="34"/>
      <c r="K592" s="32"/>
      <c r="L592" s="35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9.5" customHeight="1">
      <c r="A593" s="36" t="str">
        <f>LEFT('JANUARY 10, 2026'!$E593,FIND("-",'JANUARY 10, 2026'!$E593&amp;"-")-1)</f>
        <v/>
      </c>
      <c r="B593" s="37"/>
      <c r="C593" s="37"/>
      <c r="D593" s="38"/>
      <c r="E593" s="26"/>
      <c r="F593" s="39"/>
      <c r="G593" s="40"/>
      <c r="H593" s="32"/>
      <c r="I593" s="33"/>
      <c r="J593" s="34"/>
      <c r="K593" s="32"/>
      <c r="L593" s="35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9.5" customHeight="1">
      <c r="A594" s="36" t="str">
        <f>LEFT('JANUARY 10, 2026'!$E594,FIND("-",'JANUARY 10, 2026'!$E594&amp;"-")-1)</f>
        <v/>
      </c>
      <c r="B594" s="37"/>
      <c r="C594" s="37"/>
      <c r="D594" s="38"/>
      <c r="E594" s="26"/>
      <c r="F594" s="39"/>
      <c r="G594" s="40"/>
      <c r="H594" s="32"/>
      <c r="I594" s="33"/>
      <c r="J594" s="34"/>
      <c r="K594" s="32"/>
      <c r="L594" s="35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9.5" customHeight="1">
      <c r="A595" s="26" t="str">
        <f>LEFT('JANUARY 10, 2026'!$E595,FIND("-",'JANUARY 10, 2026'!$E595&amp;"-")-1)</f>
        <v/>
      </c>
      <c r="B595" s="37"/>
      <c r="C595" s="37"/>
      <c r="D595" s="38"/>
      <c r="E595" s="26"/>
      <c r="F595" s="39"/>
      <c r="G595" s="40"/>
      <c r="H595" s="32"/>
      <c r="I595" s="33"/>
      <c r="J595" s="34"/>
      <c r="K595" s="32"/>
      <c r="L595" s="35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9.5" customHeight="1">
      <c r="A596" s="36" t="str">
        <f>LEFT('JANUARY 10, 2026'!$E596,FIND("-",'JANUARY 10, 2026'!$E596&amp;"-")-1)</f>
        <v/>
      </c>
      <c r="B596" s="37"/>
      <c r="C596" s="37"/>
      <c r="D596" s="38"/>
      <c r="E596" s="26"/>
      <c r="F596" s="39"/>
      <c r="G596" s="40"/>
      <c r="H596" s="32"/>
      <c r="I596" s="33"/>
      <c r="J596" s="34"/>
      <c r="K596" s="32"/>
      <c r="L596" s="35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9.5" customHeight="1">
      <c r="A597" s="36" t="str">
        <f>LEFT('JANUARY 10, 2026'!$E597,FIND("-",'JANUARY 10, 2026'!$E597&amp;"-")-1)</f>
        <v/>
      </c>
      <c r="B597" s="37"/>
      <c r="C597" s="37"/>
      <c r="D597" s="38"/>
      <c r="E597" s="26"/>
      <c r="F597" s="39"/>
      <c r="G597" s="40"/>
      <c r="H597" s="32"/>
      <c r="I597" s="33"/>
      <c r="J597" s="34"/>
      <c r="K597" s="32"/>
      <c r="L597" s="35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9.5" customHeight="1">
      <c r="A598" s="36" t="str">
        <f>LEFT('JANUARY 10, 2026'!$E598,FIND("-",'JANUARY 10, 2026'!$E598&amp;"-")-1)</f>
        <v/>
      </c>
      <c r="B598" s="37"/>
      <c r="C598" s="37"/>
      <c r="D598" s="38"/>
      <c r="E598" s="26"/>
      <c r="F598" s="39"/>
      <c r="G598" s="40"/>
      <c r="H598" s="32"/>
      <c r="I598" s="33"/>
      <c r="J598" s="34"/>
      <c r="K598" s="32"/>
      <c r="L598" s="35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9.5" customHeight="1">
      <c r="A599" s="36" t="str">
        <f>LEFT('JANUARY 10, 2026'!$E599,FIND("-",'JANUARY 10, 2026'!$E599&amp;"-")-1)</f>
        <v/>
      </c>
      <c r="B599" s="37"/>
      <c r="C599" s="37"/>
      <c r="D599" s="38"/>
      <c r="E599" s="26"/>
      <c r="F599" s="39"/>
      <c r="G599" s="40"/>
      <c r="H599" s="32"/>
      <c r="I599" s="33"/>
      <c r="J599" s="34"/>
      <c r="K599" s="32"/>
      <c r="L599" s="35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9.5" customHeight="1">
      <c r="A600" s="36" t="str">
        <f>LEFT('JANUARY 10, 2026'!$E600,FIND("-",'JANUARY 10, 2026'!$E600&amp;"-")-1)</f>
        <v/>
      </c>
      <c r="B600" s="37"/>
      <c r="C600" s="37"/>
      <c r="D600" s="38"/>
      <c r="E600" s="26"/>
      <c r="F600" s="39"/>
      <c r="G600" s="40"/>
      <c r="H600" s="32"/>
      <c r="I600" s="33"/>
      <c r="J600" s="34"/>
      <c r="K600" s="32"/>
      <c r="L600" s="35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9.5" customHeight="1">
      <c r="A601" s="36" t="str">
        <f>LEFT('JANUARY 10, 2026'!$E601,FIND("-",'JANUARY 10, 2026'!$E601&amp;"-")-1)</f>
        <v/>
      </c>
      <c r="B601" s="37"/>
      <c r="C601" s="37"/>
      <c r="D601" s="38"/>
      <c r="E601" s="26"/>
      <c r="F601" s="39"/>
      <c r="G601" s="40"/>
      <c r="H601" s="32"/>
      <c r="I601" s="33"/>
      <c r="J601" s="34"/>
      <c r="K601" s="32"/>
      <c r="L601" s="35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9.5" customHeight="1">
      <c r="A602" s="36" t="str">
        <f>LEFT('JANUARY 10, 2026'!$E602,FIND("-",'JANUARY 10, 2026'!$E602&amp;"-")-1)</f>
        <v/>
      </c>
      <c r="B602" s="37"/>
      <c r="C602" s="37"/>
      <c r="D602" s="38"/>
      <c r="E602" s="26"/>
      <c r="F602" s="39"/>
      <c r="G602" s="40"/>
      <c r="H602" s="32"/>
      <c r="I602" s="33"/>
      <c r="J602" s="34"/>
      <c r="K602" s="32"/>
      <c r="L602" s="35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9.5" customHeight="1">
      <c r="A603" s="36" t="str">
        <f>LEFT('JANUARY 10, 2026'!$E603,FIND("-",'JANUARY 10, 2026'!$E603&amp;"-")-1)</f>
        <v/>
      </c>
      <c r="B603" s="37"/>
      <c r="C603" s="37"/>
      <c r="D603" s="38"/>
      <c r="E603" s="26"/>
      <c r="F603" s="39"/>
      <c r="G603" s="40"/>
      <c r="H603" s="32"/>
      <c r="I603" s="33"/>
      <c r="J603" s="34"/>
      <c r="K603" s="32"/>
      <c r="L603" s="35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9.5" customHeight="1">
      <c r="A604" s="36" t="str">
        <f>LEFT('JANUARY 10, 2026'!$E604,FIND("-",'JANUARY 10, 2026'!$E604&amp;"-")-1)</f>
        <v/>
      </c>
      <c r="B604" s="37"/>
      <c r="C604" s="37"/>
      <c r="D604" s="38"/>
      <c r="E604" s="26"/>
      <c r="F604" s="39"/>
      <c r="G604" s="40"/>
      <c r="H604" s="32"/>
      <c r="I604" s="33"/>
      <c r="J604" s="34"/>
      <c r="K604" s="32"/>
      <c r="L604" s="35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9.5" customHeight="1">
      <c r="A605" s="36" t="str">
        <f>LEFT('JANUARY 10, 2026'!$E605,FIND("-",'JANUARY 10, 2026'!$E605&amp;"-")-1)</f>
        <v/>
      </c>
      <c r="B605" s="37"/>
      <c r="C605" s="37"/>
      <c r="D605" s="38"/>
      <c r="E605" s="26"/>
      <c r="F605" s="39"/>
      <c r="G605" s="40"/>
      <c r="H605" s="32"/>
      <c r="I605" s="33"/>
      <c r="J605" s="34"/>
      <c r="K605" s="32"/>
      <c r="L605" s="35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9.5" customHeight="1">
      <c r="A606" s="36" t="str">
        <f>LEFT('JANUARY 10, 2026'!$E606,FIND("-",'JANUARY 10, 2026'!$E606&amp;"-")-1)</f>
        <v/>
      </c>
      <c r="B606" s="37"/>
      <c r="C606" s="37"/>
      <c r="D606" s="38"/>
      <c r="E606" s="26"/>
      <c r="F606" s="39"/>
      <c r="G606" s="40"/>
      <c r="H606" s="32"/>
      <c r="I606" s="33"/>
      <c r="J606" s="34"/>
      <c r="K606" s="32"/>
      <c r="L606" s="35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9.5" customHeight="1">
      <c r="A607" s="36" t="str">
        <f>LEFT('JANUARY 10, 2026'!$E607,FIND("-",'JANUARY 10, 2026'!$E607&amp;"-")-1)</f>
        <v/>
      </c>
      <c r="B607" s="37"/>
      <c r="C607" s="37"/>
      <c r="D607" s="38"/>
      <c r="E607" s="26"/>
      <c r="F607" s="39"/>
      <c r="G607" s="40"/>
      <c r="H607" s="32"/>
      <c r="I607" s="33"/>
      <c r="J607" s="34"/>
      <c r="K607" s="32"/>
      <c r="L607" s="35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9.5" customHeight="1">
      <c r="A608" s="36" t="str">
        <f>LEFT('JANUARY 10, 2026'!$E608,FIND("-",'JANUARY 10, 2026'!$E608&amp;"-")-1)</f>
        <v/>
      </c>
      <c r="B608" s="37"/>
      <c r="C608" s="37"/>
      <c r="D608" s="38"/>
      <c r="E608" s="26"/>
      <c r="F608" s="39"/>
      <c r="G608" s="40"/>
      <c r="H608" s="32"/>
      <c r="I608" s="33"/>
      <c r="J608" s="34"/>
      <c r="K608" s="32"/>
      <c r="L608" s="35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9.5" customHeight="1">
      <c r="A609" s="36" t="str">
        <f>LEFT('JANUARY 10, 2026'!$E609,FIND("-",'JANUARY 10, 2026'!$E609&amp;"-")-1)</f>
        <v/>
      </c>
      <c r="B609" s="37"/>
      <c r="C609" s="37"/>
      <c r="D609" s="38"/>
      <c r="E609" s="26"/>
      <c r="F609" s="39"/>
      <c r="G609" s="40"/>
      <c r="H609" s="32"/>
      <c r="I609" s="33"/>
      <c r="J609" s="34"/>
      <c r="K609" s="32"/>
      <c r="L609" s="35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9.5" customHeight="1">
      <c r="A610" s="36" t="str">
        <f>LEFT('JANUARY 10, 2026'!$E610,FIND("-",'JANUARY 10, 2026'!$E610&amp;"-")-1)</f>
        <v/>
      </c>
      <c r="B610" s="37"/>
      <c r="C610" s="37"/>
      <c r="D610" s="38"/>
      <c r="E610" s="26"/>
      <c r="F610" s="39"/>
      <c r="G610" s="40"/>
      <c r="H610" s="32"/>
      <c r="I610" s="33"/>
      <c r="J610" s="34"/>
      <c r="K610" s="32"/>
      <c r="L610" s="35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9.5" customHeight="1">
      <c r="A611" s="36" t="str">
        <f>LEFT('JANUARY 10, 2026'!$E611,FIND("-",'JANUARY 10, 2026'!$E611&amp;"-")-1)</f>
        <v/>
      </c>
      <c r="B611" s="37"/>
      <c r="C611" s="37"/>
      <c r="D611" s="38"/>
      <c r="E611" s="26"/>
      <c r="F611" s="39"/>
      <c r="G611" s="40"/>
      <c r="H611" s="32"/>
      <c r="I611" s="33"/>
      <c r="J611" s="34"/>
      <c r="K611" s="32"/>
      <c r="L611" s="35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9.5" customHeight="1">
      <c r="A612" s="36" t="str">
        <f>LEFT('JANUARY 10, 2026'!$E612,FIND("-",'JANUARY 10, 2026'!$E612&amp;"-")-1)</f>
        <v/>
      </c>
      <c r="B612" s="37"/>
      <c r="C612" s="37"/>
      <c r="D612" s="38"/>
      <c r="E612" s="26"/>
      <c r="F612" s="39"/>
      <c r="G612" s="40"/>
      <c r="H612" s="32"/>
      <c r="I612" s="33"/>
      <c r="J612" s="34"/>
      <c r="K612" s="32"/>
      <c r="L612" s="35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9.5" customHeight="1">
      <c r="A613" s="36" t="str">
        <f>LEFT('JANUARY 10, 2026'!$E613,FIND("-",'JANUARY 10, 2026'!$E613&amp;"-")-1)</f>
        <v/>
      </c>
      <c r="B613" s="37"/>
      <c r="C613" s="37"/>
      <c r="D613" s="38"/>
      <c r="E613" s="26"/>
      <c r="F613" s="39"/>
      <c r="G613" s="40"/>
      <c r="H613" s="32"/>
      <c r="I613" s="33"/>
      <c r="J613" s="34"/>
      <c r="K613" s="32"/>
      <c r="L613" s="35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9.5" customHeight="1">
      <c r="A614" s="36" t="str">
        <f>LEFT('JANUARY 10, 2026'!$E614,FIND("-",'JANUARY 10, 2026'!$E614&amp;"-")-1)</f>
        <v/>
      </c>
      <c r="B614" s="37"/>
      <c r="C614" s="37"/>
      <c r="D614" s="38"/>
      <c r="E614" s="26"/>
      <c r="F614" s="39"/>
      <c r="G614" s="40"/>
      <c r="H614" s="32"/>
      <c r="I614" s="33"/>
      <c r="J614" s="34"/>
      <c r="K614" s="32"/>
      <c r="L614" s="35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9.5" customHeight="1">
      <c r="A615" s="36" t="str">
        <f>LEFT('JANUARY 10, 2026'!$E615,FIND("-",'JANUARY 10, 2026'!$E615&amp;"-")-1)</f>
        <v/>
      </c>
      <c r="B615" s="37"/>
      <c r="C615" s="37"/>
      <c r="D615" s="38"/>
      <c r="E615" s="26"/>
      <c r="F615" s="39"/>
      <c r="G615" s="40"/>
      <c r="H615" s="32"/>
      <c r="I615" s="33"/>
      <c r="J615" s="34"/>
      <c r="K615" s="32"/>
      <c r="L615" s="35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9.5" customHeight="1">
      <c r="A616" s="36" t="str">
        <f>LEFT('JANUARY 10, 2026'!$E616,FIND("-",'JANUARY 10, 2026'!$E616&amp;"-")-1)</f>
        <v/>
      </c>
      <c r="B616" s="37"/>
      <c r="C616" s="37"/>
      <c r="D616" s="38"/>
      <c r="E616" s="26"/>
      <c r="F616" s="39"/>
      <c r="G616" s="40"/>
      <c r="H616" s="32"/>
      <c r="I616" s="33"/>
      <c r="J616" s="34"/>
      <c r="K616" s="32"/>
      <c r="L616" s="35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9.5" customHeight="1">
      <c r="A617" s="36" t="str">
        <f>LEFT('JANUARY 10, 2026'!$E617,FIND("-",'JANUARY 10, 2026'!$E617&amp;"-")-1)</f>
        <v/>
      </c>
      <c r="B617" s="37"/>
      <c r="C617" s="37"/>
      <c r="D617" s="38"/>
      <c r="E617" s="26"/>
      <c r="F617" s="39"/>
      <c r="G617" s="40"/>
      <c r="H617" s="32"/>
      <c r="I617" s="33"/>
      <c r="J617" s="34"/>
      <c r="K617" s="32"/>
      <c r="L617" s="35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9.5" customHeight="1">
      <c r="A618" s="36" t="str">
        <f>LEFT('JANUARY 10, 2026'!$E618,FIND("-",'JANUARY 10, 2026'!$E618&amp;"-")-1)</f>
        <v/>
      </c>
      <c r="B618" s="37"/>
      <c r="C618" s="37"/>
      <c r="D618" s="38"/>
      <c r="E618" s="26"/>
      <c r="F618" s="39"/>
      <c r="G618" s="40"/>
      <c r="H618" s="32"/>
      <c r="I618" s="33"/>
      <c r="J618" s="34"/>
      <c r="K618" s="32"/>
      <c r="L618" s="35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9.5" customHeight="1">
      <c r="A619" s="36" t="str">
        <f>LEFT('JANUARY 10, 2026'!$E619,FIND("-",'JANUARY 10, 2026'!$E619&amp;"-")-1)</f>
        <v/>
      </c>
      <c r="B619" s="37"/>
      <c r="C619" s="37"/>
      <c r="D619" s="38"/>
      <c r="E619" s="26"/>
      <c r="F619" s="39"/>
      <c r="G619" s="40"/>
      <c r="H619" s="32"/>
      <c r="I619" s="33"/>
      <c r="J619" s="34"/>
      <c r="K619" s="32"/>
      <c r="L619" s="35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9.5" customHeight="1">
      <c r="A620" s="36" t="str">
        <f>LEFT('JANUARY 10, 2026'!$E620,FIND("-",'JANUARY 10, 2026'!$E620&amp;"-")-1)</f>
        <v/>
      </c>
      <c r="B620" s="37"/>
      <c r="C620" s="37"/>
      <c r="D620" s="38"/>
      <c r="E620" s="26"/>
      <c r="F620" s="39"/>
      <c r="G620" s="40"/>
      <c r="H620" s="32"/>
      <c r="I620" s="33"/>
      <c r="J620" s="34"/>
      <c r="K620" s="32"/>
      <c r="L620" s="35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9.5" customHeight="1">
      <c r="A621" s="36" t="str">
        <f>LEFT('JANUARY 10, 2026'!$E621,FIND("-",'JANUARY 10, 2026'!$E621&amp;"-")-1)</f>
        <v/>
      </c>
      <c r="B621" s="37"/>
      <c r="C621" s="37"/>
      <c r="D621" s="38"/>
      <c r="E621" s="26"/>
      <c r="F621" s="39"/>
      <c r="G621" s="40"/>
      <c r="H621" s="32"/>
      <c r="I621" s="33"/>
      <c r="J621" s="34"/>
      <c r="K621" s="32"/>
      <c r="L621" s="35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9.5" customHeight="1">
      <c r="A622" s="36" t="str">
        <f>LEFT('JANUARY 10, 2026'!$E622,FIND("-",'JANUARY 10, 2026'!$E622&amp;"-")-1)</f>
        <v/>
      </c>
      <c r="B622" s="37"/>
      <c r="C622" s="37"/>
      <c r="D622" s="38"/>
      <c r="E622" s="26"/>
      <c r="F622" s="39"/>
      <c r="G622" s="40"/>
      <c r="H622" s="32"/>
      <c r="I622" s="33"/>
      <c r="J622" s="34"/>
      <c r="K622" s="32"/>
      <c r="L622" s="35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9.5" customHeight="1">
      <c r="A623" s="36" t="str">
        <f>LEFT('JANUARY 10, 2026'!$E623,FIND("-",'JANUARY 10, 2026'!$E623&amp;"-")-1)</f>
        <v/>
      </c>
      <c r="B623" s="37"/>
      <c r="C623" s="37"/>
      <c r="D623" s="38"/>
      <c r="E623" s="26"/>
      <c r="F623" s="39"/>
      <c r="G623" s="40"/>
      <c r="H623" s="32"/>
      <c r="I623" s="33"/>
      <c r="J623" s="34"/>
      <c r="K623" s="32"/>
      <c r="L623" s="35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9.5" customHeight="1">
      <c r="A624" s="36" t="str">
        <f>LEFT('JANUARY 10, 2026'!$E624,FIND("-",'JANUARY 10, 2026'!$E624&amp;"-")-1)</f>
        <v/>
      </c>
      <c r="B624" s="37"/>
      <c r="C624" s="37"/>
      <c r="D624" s="38"/>
      <c r="E624" s="26"/>
      <c r="F624" s="39"/>
      <c r="G624" s="40"/>
      <c r="H624" s="32"/>
      <c r="I624" s="33"/>
      <c r="J624" s="34"/>
      <c r="K624" s="32"/>
      <c r="L624" s="35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9.5" customHeight="1">
      <c r="A625" s="36" t="str">
        <f>LEFT('JANUARY 10, 2026'!$E625,FIND("-",'JANUARY 10, 2026'!$E625&amp;"-")-1)</f>
        <v/>
      </c>
      <c r="B625" s="37"/>
      <c r="C625" s="37"/>
      <c r="D625" s="38"/>
      <c r="E625" s="26"/>
      <c r="F625" s="39"/>
      <c r="G625" s="40"/>
      <c r="H625" s="32"/>
      <c r="I625" s="33"/>
      <c r="J625" s="34"/>
      <c r="K625" s="32"/>
      <c r="L625" s="35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9.5" customHeight="1">
      <c r="A626" s="36" t="str">
        <f>LEFT('JANUARY 10, 2026'!$E626,FIND("-",'JANUARY 10, 2026'!$E626&amp;"-")-1)</f>
        <v/>
      </c>
      <c r="B626" s="37"/>
      <c r="C626" s="37"/>
      <c r="D626" s="38"/>
      <c r="E626" s="26"/>
      <c r="F626" s="39"/>
      <c r="G626" s="40"/>
      <c r="H626" s="32"/>
      <c r="I626" s="33"/>
      <c r="J626" s="34"/>
      <c r="K626" s="32"/>
      <c r="L626" s="35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9.5" customHeight="1">
      <c r="A627" s="36" t="str">
        <f>LEFT('JANUARY 10, 2026'!$E627,FIND("-",'JANUARY 10, 2026'!$E627&amp;"-")-1)</f>
        <v/>
      </c>
      <c r="B627" s="37"/>
      <c r="C627" s="37"/>
      <c r="D627" s="38"/>
      <c r="E627" s="26"/>
      <c r="F627" s="39"/>
      <c r="G627" s="40"/>
      <c r="H627" s="32"/>
      <c r="I627" s="33"/>
      <c r="J627" s="34"/>
      <c r="K627" s="32"/>
      <c r="L627" s="35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9.5" customHeight="1">
      <c r="A628" s="36" t="str">
        <f>LEFT('JANUARY 10, 2026'!$E628,FIND("-",'JANUARY 10, 2026'!$E628&amp;"-")-1)</f>
        <v/>
      </c>
      <c r="B628" s="37"/>
      <c r="C628" s="37"/>
      <c r="D628" s="38"/>
      <c r="E628" s="26"/>
      <c r="F628" s="39"/>
      <c r="G628" s="40"/>
      <c r="H628" s="32"/>
      <c r="I628" s="33"/>
      <c r="J628" s="34"/>
      <c r="K628" s="32"/>
      <c r="L628" s="35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9.5" customHeight="1">
      <c r="A629" s="36" t="str">
        <f>LEFT('JANUARY 10, 2026'!$E629,FIND("-",'JANUARY 10, 2026'!$E629&amp;"-")-1)</f>
        <v/>
      </c>
      <c r="B629" s="37"/>
      <c r="C629" s="37"/>
      <c r="D629" s="38"/>
      <c r="E629" s="26"/>
      <c r="F629" s="39"/>
      <c r="G629" s="40"/>
      <c r="H629" s="32"/>
      <c r="I629" s="33"/>
      <c r="J629" s="34"/>
      <c r="K629" s="32"/>
      <c r="L629" s="35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9.5" customHeight="1">
      <c r="A630" s="36" t="str">
        <f>LEFT('JANUARY 10, 2026'!$E630,FIND("-",'JANUARY 10, 2026'!$E630&amp;"-")-1)</f>
        <v/>
      </c>
      <c r="B630" s="37"/>
      <c r="C630" s="37"/>
      <c r="D630" s="38"/>
      <c r="E630" s="26"/>
      <c r="F630" s="39"/>
      <c r="G630" s="40"/>
      <c r="H630" s="32"/>
      <c r="I630" s="33"/>
      <c r="J630" s="34"/>
      <c r="K630" s="32"/>
      <c r="L630" s="35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9.5" customHeight="1">
      <c r="A631" s="36" t="str">
        <f>LEFT('JANUARY 10, 2026'!$E631,FIND("-",'JANUARY 10, 2026'!$E631&amp;"-")-1)</f>
        <v/>
      </c>
      <c r="B631" s="37"/>
      <c r="C631" s="37"/>
      <c r="D631" s="38"/>
      <c r="E631" s="26"/>
      <c r="F631" s="39"/>
      <c r="G631" s="40"/>
      <c r="H631" s="32"/>
      <c r="I631" s="33"/>
      <c r="J631" s="34"/>
      <c r="K631" s="32"/>
      <c r="L631" s="35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9.5" customHeight="1">
      <c r="A632" s="36" t="str">
        <f>LEFT('JANUARY 10, 2026'!$E632,FIND("-",'JANUARY 10, 2026'!$E632&amp;"-")-1)</f>
        <v/>
      </c>
      <c r="B632" s="37"/>
      <c r="C632" s="37"/>
      <c r="D632" s="38"/>
      <c r="E632" s="26"/>
      <c r="F632" s="39"/>
      <c r="G632" s="40"/>
      <c r="H632" s="32"/>
      <c r="I632" s="33"/>
      <c r="J632" s="34"/>
      <c r="K632" s="32"/>
      <c r="L632" s="35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9.5" customHeight="1">
      <c r="A633" s="36" t="str">
        <f>LEFT('JANUARY 10, 2026'!$E633,FIND("-",'JANUARY 10, 2026'!$E633&amp;"-")-1)</f>
        <v/>
      </c>
      <c r="B633" s="37"/>
      <c r="C633" s="37"/>
      <c r="D633" s="38"/>
      <c r="E633" s="26"/>
      <c r="F633" s="39"/>
      <c r="G633" s="40"/>
      <c r="H633" s="32"/>
      <c r="I633" s="33"/>
      <c r="J633" s="34"/>
      <c r="K633" s="32"/>
      <c r="L633" s="35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9.5" customHeight="1">
      <c r="A634" s="36" t="str">
        <f>LEFT('JANUARY 10, 2026'!$E634,FIND("-",'JANUARY 10, 2026'!$E634&amp;"-")-1)</f>
        <v/>
      </c>
      <c r="B634" s="37"/>
      <c r="C634" s="37"/>
      <c r="D634" s="38"/>
      <c r="E634" s="26"/>
      <c r="F634" s="39"/>
      <c r="G634" s="40"/>
      <c r="H634" s="32"/>
      <c r="I634" s="33"/>
      <c r="J634" s="34"/>
      <c r="K634" s="32"/>
      <c r="L634" s="35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9.5" customHeight="1">
      <c r="A635" s="36" t="str">
        <f>LEFT('JANUARY 10, 2026'!$E635,FIND("-",'JANUARY 10, 2026'!$E635&amp;"-")-1)</f>
        <v/>
      </c>
      <c r="B635" s="37"/>
      <c r="C635" s="37"/>
      <c r="D635" s="38"/>
      <c r="E635" s="26"/>
      <c r="F635" s="39"/>
      <c r="G635" s="40"/>
      <c r="H635" s="32"/>
      <c r="I635" s="33"/>
      <c r="J635" s="34"/>
      <c r="K635" s="32"/>
      <c r="L635" s="35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9.5" customHeight="1">
      <c r="A636" s="36" t="str">
        <f>LEFT('JANUARY 10, 2026'!$E636,FIND("-",'JANUARY 10, 2026'!$E636&amp;"-")-1)</f>
        <v/>
      </c>
      <c r="B636" s="37"/>
      <c r="C636" s="37"/>
      <c r="D636" s="38"/>
      <c r="E636" s="26"/>
      <c r="F636" s="39"/>
      <c r="G636" s="40"/>
      <c r="H636" s="32"/>
      <c r="I636" s="33"/>
      <c r="J636" s="34"/>
      <c r="K636" s="32"/>
      <c r="L636" s="35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9.5" customHeight="1">
      <c r="A637" s="36" t="str">
        <f>LEFT('JANUARY 10, 2026'!$E637,FIND("-",'JANUARY 10, 2026'!$E637&amp;"-")-1)</f>
        <v/>
      </c>
      <c r="B637" s="37"/>
      <c r="C637" s="37"/>
      <c r="D637" s="38"/>
      <c r="E637" s="26"/>
      <c r="F637" s="39"/>
      <c r="G637" s="40"/>
      <c r="H637" s="32"/>
      <c r="I637" s="33"/>
      <c r="J637" s="34"/>
      <c r="K637" s="32"/>
      <c r="L637" s="35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9.5" customHeight="1">
      <c r="A638" s="36" t="str">
        <f>LEFT('JANUARY 10, 2026'!$E638,FIND("-",'JANUARY 10, 2026'!$E638&amp;"-")-1)</f>
        <v/>
      </c>
      <c r="B638" s="37"/>
      <c r="C638" s="37"/>
      <c r="D638" s="38"/>
      <c r="E638" s="26"/>
      <c r="F638" s="39"/>
      <c r="G638" s="40"/>
      <c r="H638" s="32"/>
      <c r="I638" s="33"/>
      <c r="J638" s="34"/>
      <c r="K638" s="32"/>
      <c r="L638" s="35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9.5" customHeight="1">
      <c r="A639" s="36" t="str">
        <f>LEFT('JANUARY 10, 2026'!$E639,FIND("-",'JANUARY 10, 2026'!$E639&amp;"-")-1)</f>
        <v/>
      </c>
      <c r="B639" s="37"/>
      <c r="C639" s="37"/>
      <c r="D639" s="38"/>
      <c r="E639" s="26"/>
      <c r="F639" s="39"/>
      <c r="G639" s="40"/>
      <c r="H639" s="32"/>
      <c r="I639" s="33"/>
      <c r="J639" s="34"/>
      <c r="K639" s="32"/>
      <c r="L639" s="35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9.5" customHeight="1">
      <c r="A640" s="36" t="str">
        <f>LEFT('JANUARY 10, 2026'!$E640,FIND("-",'JANUARY 10, 2026'!$E640&amp;"-")-1)</f>
        <v/>
      </c>
      <c r="B640" s="37"/>
      <c r="C640" s="37"/>
      <c r="D640" s="38"/>
      <c r="E640" s="26"/>
      <c r="F640" s="39"/>
      <c r="G640" s="40"/>
      <c r="H640" s="32"/>
      <c r="I640" s="33"/>
      <c r="J640" s="34"/>
      <c r="K640" s="32"/>
      <c r="L640" s="35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9.5" customHeight="1">
      <c r="A641" s="36" t="str">
        <f>LEFT('JANUARY 10, 2026'!$E641,FIND("-",'JANUARY 10, 2026'!$E641&amp;"-")-1)</f>
        <v/>
      </c>
      <c r="B641" s="37"/>
      <c r="C641" s="37"/>
      <c r="D641" s="38"/>
      <c r="E641" s="26"/>
      <c r="F641" s="39"/>
      <c r="G641" s="40"/>
      <c r="H641" s="32"/>
      <c r="I641" s="33"/>
      <c r="J641" s="34"/>
      <c r="K641" s="32"/>
      <c r="L641" s="35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9.5" customHeight="1">
      <c r="A642" s="36" t="str">
        <f>LEFT('JANUARY 10, 2026'!$E642,FIND("-",'JANUARY 10, 2026'!$E642&amp;"-")-1)</f>
        <v/>
      </c>
      <c r="B642" s="37"/>
      <c r="C642" s="37"/>
      <c r="D642" s="38"/>
      <c r="E642" s="26"/>
      <c r="F642" s="39"/>
      <c r="G642" s="40"/>
      <c r="H642" s="32"/>
      <c r="I642" s="33"/>
      <c r="J642" s="34"/>
      <c r="K642" s="32"/>
      <c r="L642" s="35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9.5" customHeight="1">
      <c r="A643" s="36" t="str">
        <f>LEFT('JANUARY 10, 2026'!$E643,FIND("-",'JANUARY 10, 2026'!$E643&amp;"-")-1)</f>
        <v/>
      </c>
      <c r="B643" s="37"/>
      <c r="C643" s="37"/>
      <c r="D643" s="38"/>
      <c r="E643" s="26"/>
      <c r="F643" s="39"/>
      <c r="G643" s="40"/>
      <c r="H643" s="32"/>
      <c r="I643" s="33"/>
      <c r="J643" s="34"/>
      <c r="K643" s="32"/>
      <c r="L643" s="35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9.5" customHeight="1">
      <c r="A644" s="36" t="str">
        <f>LEFT('JANUARY 10, 2026'!$E644,FIND("-",'JANUARY 10, 2026'!$E644&amp;"-")-1)</f>
        <v/>
      </c>
      <c r="B644" s="37"/>
      <c r="C644" s="37"/>
      <c r="D644" s="38"/>
      <c r="E644" s="26"/>
      <c r="F644" s="39"/>
      <c r="G644" s="40"/>
      <c r="H644" s="32"/>
      <c r="I644" s="33"/>
      <c r="J644" s="34"/>
      <c r="K644" s="32"/>
      <c r="L644" s="35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9.5" customHeight="1">
      <c r="A645" s="36" t="str">
        <f>LEFT('JANUARY 10, 2026'!$E645,FIND("-",'JANUARY 10, 2026'!$E645&amp;"-")-1)</f>
        <v/>
      </c>
      <c r="B645" s="37"/>
      <c r="C645" s="37"/>
      <c r="D645" s="38"/>
      <c r="E645" s="26"/>
      <c r="F645" s="39"/>
      <c r="G645" s="40"/>
      <c r="H645" s="32"/>
      <c r="I645" s="33"/>
      <c r="J645" s="34"/>
      <c r="K645" s="32"/>
      <c r="L645" s="35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9.5" customHeight="1">
      <c r="A646" s="36" t="str">
        <f>LEFT('JANUARY 10, 2026'!$E646,FIND("-",'JANUARY 10, 2026'!$E646&amp;"-")-1)</f>
        <v/>
      </c>
      <c r="B646" s="37"/>
      <c r="C646" s="37"/>
      <c r="D646" s="38"/>
      <c r="E646" s="26"/>
      <c r="F646" s="39"/>
      <c r="G646" s="40"/>
      <c r="H646" s="32"/>
      <c r="I646" s="33"/>
      <c r="J646" s="34"/>
      <c r="K646" s="32"/>
      <c r="L646" s="35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9.5" customHeight="1">
      <c r="A647" s="36" t="str">
        <f>LEFT('JANUARY 10, 2026'!$E647,FIND("-",'JANUARY 10, 2026'!$E647&amp;"-")-1)</f>
        <v/>
      </c>
      <c r="B647" s="37"/>
      <c r="C647" s="37"/>
      <c r="D647" s="38"/>
      <c r="E647" s="26"/>
      <c r="F647" s="39"/>
      <c r="G647" s="40"/>
      <c r="H647" s="32"/>
      <c r="I647" s="33"/>
      <c r="J647" s="34"/>
      <c r="K647" s="32"/>
      <c r="L647" s="35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9.5" customHeight="1">
      <c r="A648" s="36" t="str">
        <f>LEFT('JANUARY 10, 2026'!$E648,FIND("-",'JANUARY 10, 2026'!$E648&amp;"-")-1)</f>
        <v/>
      </c>
      <c r="B648" s="37"/>
      <c r="C648" s="37"/>
      <c r="D648" s="38"/>
      <c r="E648" s="26"/>
      <c r="F648" s="39"/>
      <c r="G648" s="40"/>
      <c r="H648" s="32"/>
      <c r="I648" s="33"/>
      <c r="J648" s="34"/>
      <c r="K648" s="32"/>
      <c r="L648" s="35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9.5" customHeight="1">
      <c r="A649" s="36" t="str">
        <f>LEFT('JANUARY 10, 2026'!$E649,FIND("-",'JANUARY 10, 2026'!$E649&amp;"-")-1)</f>
        <v/>
      </c>
      <c r="B649" s="37"/>
      <c r="C649" s="37"/>
      <c r="D649" s="38"/>
      <c r="E649" s="26"/>
      <c r="F649" s="39"/>
      <c r="G649" s="40"/>
      <c r="H649" s="32"/>
      <c r="I649" s="33"/>
      <c r="J649" s="34"/>
      <c r="K649" s="32"/>
      <c r="L649" s="35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9.5" customHeight="1">
      <c r="A650" s="36" t="str">
        <f>LEFT('JANUARY 10, 2026'!$E650,FIND("-",'JANUARY 10, 2026'!$E650&amp;"-")-1)</f>
        <v/>
      </c>
      <c r="B650" s="37"/>
      <c r="C650" s="37"/>
      <c r="D650" s="38"/>
      <c r="E650" s="26"/>
      <c r="F650" s="39"/>
      <c r="G650" s="40"/>
      <c r="H650" s="32"/>
      <c r="I650" s="33"/>
      <c r="J650" s="34"/>
      <c r="K650" s="32"/>
      <c r="L650" s="35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9.5" customHeight="1">
      <c r="A651" s="36" t="str">
        <f>LEFT('JANUARY 10, 2026'!$E651,FIND("-",'JANUARY 10, 2026'!$E651&amp;"-")-1)</f>
        <v/>
      </c>
      <c r="B651" s="37"/>
      <c r="C651" s="37"/>
      <c r="D651" s="38"/>
      <c r="E651" s="26"/>
      <c r="F651" s="39"/>
      <c r="G651" s="40"/>
      <c r="H651" s="32"/>
      <c r="I651" s="33"/>
      <c r="J651" s="34"/>
      <c r="K651" s="32"/>
      <c r="L651" s="35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9.5" customHeight="1">
      <c r="A652" s="36" t="str">
        <f>LEFT('JANUARY 10, 2026'!$E652,FIND("-",'JANUARY 10, 2026'!$E652&amp;"-")-1)</f>
        <v/>
      </c>
      <c r="B652" s="37"/>
      <c r="C652" s="37"/>
      <c r="D652" s="38"/>
      <c r="E652" s="26"/>
      <c r="F652" s="39"/>
      <c r="G652" s="40"/>
      <c r="H652" s="32"/>
      <c r="I652" s="33"/>
      <c r="J652" s="34"/>
      <c r="K652" s="32"/>
      <c r="L652" s="35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9.5" customHeight="1">
      <c r="A653" s="36" t="str">
        <f>LEFT('JANUARY 10, 2026'!$E653,FIND("-",'JANUARY 10, 2026'!$E653&amp;"-")-1)</f>
        <v/>
      </c>
      <c r="B653" s="37"/>
      <c r="C653" s="37"/>
      <c r="D653" s="38"/>
      <c r="E653" s="26"/>
      <c r="F653" s="39"/>
      <c r="G653" s="40"/>
      <c r="H653" s="32"/>
      <c r="I653" s="33"/>
      <c r="J653" s="34"/>
      <c r="K653" s="32"/>
      <c r="L653" s="35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9.5" customHeight="1">
      <c r="A654" s="36" t="str">
        <f>LEFT('JANUARY 10, 2026'!$E654,FIND("-",'JANUARY 10, 2026'!$E654&amp;"-")-1)</f>
        <v/>
      </c>
      <c r="B654" s="37"/>
      <c r="C654" s="37"/>
      <c r="D654" s="38"/>
      <c r="E654" s="26"/>
      <c r="F654" s="39"/>
      <c r="G654" s="40"/>
      <c r="H654" s="32"/>
      <c r="I654" s="33"/>
      <c r="J654" s="34"/>
      <c r="K654" s="32"/>
      <c r="L654" s="35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9.5" customHeight="1">
      <c r="A655" s="36" t="str">
        <f>LEFT('JANUARY 10, 2026'!$E655,FIND("-",'JANUARY 10, 2026'!$E655&amp;"-")-1)</f>
        <v/>
      </c>
      <c r="B655" s="37"/>
      <c r="C655" s="37"/>
      <c r="D655" s="38"/>
      <c r="E655" s="26"/>
      <c r="F655" s="39"/>
      <c r="G655" s="40"/>
      <c r="H655" s="32"/>
      <c r="I655" s="33"/>
      <c r="J655" s="34"/>
      <c r="K655" s="32"/>
      <c r="L655" s="35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9.5" customHeight="1">
      <c r="A656" s="36" t="str">
        <f>LEFT('JANUARY 10, 2026'!$E656,FIND("-",'JANUARY 10, 2026'!$E656&amp;"-")-1)</f>
        <v/>
      </c>
      <c r="B656" s="37"/>
      <c r="C656" s="37"/>
      <c r="D656" s="38"/>
      <c r="E656" s="26"/>
      <c r="F656" s="39"/>
      <c r="G656" s="40"/>
      <c r="H656" s="32"/>
      <c r="I656" s="33"/>
      <c r="J656" s="34"/>
      <c r="K656" s="32"/>
      <c r="L656" s="35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9.5" customHeight="1">
      <c r="A657" s="36" t="str">
        <f>LEFT('JANUARY 10, 2026'!$E657,FIND("-",'JANUARY 10, 2026'!$E657&amp;"-")-1)</f>
        <v/>
      </c>
      <c r="B657" s="37"/>
      <c r="C657" s="37"/>
      <c r="D657" s="38"/>
      <c r="E657" s="26"/>
      <c r="F657" s="39"/>
      <c r="G657" s="40"/>
      <c r="H657" s="32"/>
      <c r="I657" s="33"/>
      <c r="J657" s="34"/>
      <c r="K657" s="32"/>
      <c r="L657" s="35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9.5" customHeight="1">
      <c r="A658" s="36" t="str">
        <f>LEFT('JANUARY 10, 2026'!$E658,FIND("-",'JANUARY 10, 2026'!$E658&amp;"-")-1)</f>
        <v/>
      </c>
      <c r="B658" s="37"/>
      <c r="C658" s="37"/>
      <c r="D658" s="38"/>
      <c r="E658" s="26"/>
      <c r="F658" s="39"/>
      <c r="G658" s="40"/>
      <c r="H658" s="32"/>
      <c r="I658" s="33"/>
      <c r="J658" s="34"/>
      <c r="K658" s="32"/>
      <c r="L658" s="35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9.5" customHeight="1">
      <c r="A659" s="36" t="str">
        <f>LEFT('JANUARY 10, 2026'!$E659,FIND("-",'JANUARY 10, 2026'!$E659&amp;"-")-1)</f>
        <v/>
      </c>
      <c r="B659" s="37"/>
      <c r="C659" s="37"/>
      <c r="D659" s="38"/>
      <c r="E659" s="26"/>
      <c r="F659" s="39"/>
      <c r="G659" s="40"/>
      <c r="H659" s="32"/>
      <c r="I659" s="33"/>
      <c r="J659" s="34"/>
      <c r="K659" s="32"/>
      <c r="L659" s="35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9.5" customHeight="1">
      <c r="A660" s="36" t="str">
        <f>LEFT('JANUARY 10, 2026'!$E660,FIND("-",'JANUARY 10, 2026'!$E660&amp;"-")-1)</f>
        <v/>
      </c>
      <c r="B660" s="37"/>
      <c r="C660" s="37"/>
      <c r="D660" s="38"/>
      <c r="E660" s="26"/>
      <c r="F660" s="39"/>
      <c r="G660" s="40"/>
      <c r="H660" s="32"/>
      <c r="I660" s="33"/>
      <c r="J660" s="34"/>
      <c r="K660" s="32"/>
      <c r="L660" s="35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9.5" customHeight="1">
      <c r="A661" s="36" t="str">
        <f>LEFT('JANUARY 10, 2026'!$E661,FIND("-",'JANUARY 10, 2026'!$E661&amp;"-")-1)</f>
        <v/>
      </c>
      <c r="B661" s="37"/>
      <c r="C661" s="37"/>
      <c r="D661" s="38"/>
      <c r="E661" s="26"/>
      <c r="F661" s="39"/>
      <c r="G661" s="40"/>
      <c r="H661" s="32"/>
      <c r="I661" s="33"/>
      <c r="J661" s="34"/>
      <c r="K661" s="32"/>
      <c r="L661" s="35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9.5" customHeight="1">
      <c r="A662" s="36" t="str">
        <f>LEFT('JANUARY 10, 2026'!$E662,FIND("-",'JANUARY 10, 2026'!$E662&amp;"-")-1)</f>
        <v/>
      </c>
      <c r="B662" s="37"/>
      <c r="C662" s="37"/>
      <c r="D662" s="38"/>
      <c r="E662" s="26"/>
      <c r="F662" s="39"/>
      <c r="G662" s="40"/>
      <c r="H662" s="32"/>
      <c r="I662" s="33"/>
      <c r="J662" s="34"/>
      <c r="K662" s="32"/>
      <c r="L662" s="35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9.5" customHeight="1">
      <c r="A663" s="36" t="str">
        <f>LEFT('JANUARY 10, 2026'!$E663,FIND("-",'JANUARY 10, 2026'!$E663&amp;"-")-1)</f>
        <v/>
      </c>
      <c r="B663" s="37"/>
      <c r="C663" s="37"/>
      <c r="D663" s="38"/>
      <c r="E663" s="26"/>
      <c r="F663" s="39"/>
      <c r="G663" s="40"/>
      <c r="H663" s="32"/>
      <c r="I663" s="33"/>
      <c r="J663" s="34"/>
      <c r="K663" s="32"/>
      <c r="L663" s="35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9.5" customHeight="1">
      <c r="A664" s="36" t="str">
        <f>LEFT('JANUARY 10, 2026'!$E664,FIND("-",'JANUARY 10, 2026'!$E664&amp;"-")-1)</f>
        <v/>
      </c>
      <c r="B664" s="37"/>
      <c r="C664" s="37"/>
      <c r="D664" s="38"/>
      <c r="E664" s="26"/>
      <c r="F664" s="39"/>
      <c r="G664" s="40"/>
      <c r="H664" s="32"/>
      <c r="I664" s="33"/>
      <c r="J664" s="34"/>
      <c r="K664" s="32"/>
      <c r="L664" s="35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9.5" customHeight="1">
      <c r="A665" s="36" t="str">
        <f>LEFT('JANUARY 10, 2026'!$E665,FIND("-",'JANUARY 10, 2026'!$E665&amp;"-")-1)</f>
        <v/>
      </c>
      <c r="B665" s="37"/>
      <c r="C665" s="37"/>
      <c r="D665" s="38"/>
      <c r="E665" s="26"/>
      <c r="F665" s="39"/>
      <c r="G665" s="40"/>
      <c r="H665" s="32"/>
      <c r="I665" s="33"/>
      <c r="J665" s="34"/>
      <c r="K665" s="32"/>
      <c r="L665" s="35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9.5" customHeight="1">
      <c r="A666" s="36" t="str">
        <f>LEFT('JANUARY 10, 2026'!$E666,FIND("-",'JANUARY 10, 2026'!$E666&amp;"-")-1)</f>
        <v/>
      </c>
      <c r="B666" s="37"/>
      <c r="C666" s="37"/>
      <c r="D666" s="38"/>
      <c r="E666" s="26"/>
      <c r="F666" s="39"/>
      <c r="G666" s="40"/>
      <c r="H666" s="32"/>
      <c r="I666" s="33"/>
      <c r="J666" s="34"/>
      <c r="K666" s="32"/>
      <c r="L666" s="35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9.5" customHeight="1">
      <c r="A667" s="36" t="str">
        <f>LEFT('JANUARY 10, 2026'!$E667,FIND("-",'JANUARY 10, 2026'!$E667&amp;"-")-1)</f>
        <v/>
      </c>
      <c r="B667" s="37"/>
      <c r="C667" s="37"/>
      <c r="D667" s="38"/>
      <c r="E667" s="26"/>
      <c r="F667" s="39"/>
      <c r="G667" s="40"/>
      <c r="H667" s="32"/>
      <c r="I667" s="33"/>
      <c r="J667" s="34"/>
      <c r="K667" s="32"/>
      <c r="L667" s="35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9.5" customHeight="1">
      <c r="A668" s="36" t="str">
        <f>LEFT('JANUARY 10, 2026'!$E668,FIND("-",'JANUARY 10, 2026'!$E668&amp;"-")-1)</f>
        <v/>
      </c>
      <c r="B668" s="37"/>
      <c r="C668" s="37"/>
      <c r="D668" s="38"/>
      <c r="E668" s="26"/>
      <c r="F668" s="39"/>
      <c r="G668" s="40"/>
      <c r="H668" s="32"/>
      <c r="I668" s="33"/>
      <c r="J668" s="34"/>
      <c r="K668" s="32"/>
      <c r="L668" s="35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9.5" customHeight="1">
      <c r="A669" s="36" t="str">
        <f>LEFT('JANUARY 10, 2026'!$E669,FIND("-",'JANUARY 10, 2026'!$E669&amp;"-")-1)</f>
        <v/>
      </c>
      <c r="B669" s="37"/>
      <c r="C669" s="37"/>
      <c r="D669" s="38"/>
      <c r="E669" s="26"/>
      <c r="F669" s="39"/>
      <c r="G669" s="40"/>
      <c r="H669" s="32"/>
      <c r="I669" s="33"/>
      <c r="J669" s="34"/>
      <c r="K669" s="32"/>
      <c r="L669" s="35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9.5" customHeight="1">
      <c r="A670" s="36" t="str">
        <f>LEFT('JANUARY 10, 2026'!$E670,FIND("-",'JANUARY 10, 2026'!$E670&amp;"-")-1)</f>
        <v/>
      </c>
      <c r="B670" s="37"/>
      <c r="C670" s="37"/>
      <c r="D670" s="38"/>
      <c r="E670" s="26"/>
      <c r="F670" s="39"/>
      <c r="G670" s="40"/>
      <c r="H670" s="32"/>
      <c r="I670" s="33"/>
      <c r="J670" s="34"/>
      <c r="K670" s="32"/>
      <c r="L670" s="35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9.5" customHeight="1">
      <c r="A671" s="36" t="str">
        <f>LEFT('JANUARY 10, 2026'!$E671,FIND("-",'JANUARY 10, 2026'!$E671&amp;"-")-1)</f>
        <v/>
      </c>
      <c r="B671" s="37"/>
      <c r="C671" s="37"/>
      <c r="D671" s="38"/>
      <c r="E671" s="26"/>
      <c r="F671" s="39"/>
      <c r="G671" s="40"/>
      <c r="H671" s="32"/>
      <c r="I671" s="33"/>
      <c r="J671" s="34"/>
      <c r="K671" s="32"/>
      <c r="L671" s="35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9.5" customHeight="1">
      <c r="A672" s="36" t="str">
        <f>LEFT('JANUARY 10, 2026'!$E672,FIND("-",'JANUARY 10, 2026'!$E672&amp;"-")-1)</f>
        <v/>
      </c>
      <c r="B672" s="37"/>
      <c r="C672" s="37"/>
      <c r="D672" s="38"/>
      <c r="E672" s="26"/>
      <c r="F672" s="39"/>
      <c r="G672" s="40"/>
      <c r="H672" s="32"/>
      <c r="I672" s="33"/>
      <c r="J672" s="34"/>
      <c r="K672" s="32"/>
      <c r="L672" s="35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9.5" customHeight="1">
      <c r="A673" s="36" t="str">
        <f>LEFT('JANUARY 10, 2026'!$E673,FIND("-",'JANUARY 10, 2026'!$E673&amp;"-")-1)</f>
        <v/>
      </c>
      <c r="B673" s="37"/>
      <c r="C673" s="37"/>
      <c r="D673" s="38"/>
      <c r="E673" s="26"/>
      <c r="F673" s="39"/>
      <c r="G673" s="40"/>
      <c r="H673" s="32"/>
      <c r="I673" s="33"/>
      <c r="J673" s="34"/>
      <c r="K673" s="32"/>
      <c r="L673" s="35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9.5" customHeight="1">
      <c r="A674" s="36" t="str">
        <f>LEFT('JANUARY 10, 2026'!$E674,FIND("-",'JANUARY 10, 2026'!$E674&amp;"-")-1)</f>
        <v/>
      </c>
      <c r="B674" s="37"/>
      <c r="C674" s="37"/>
      <c r="D674" s="38"/>
      <c r="E674" s="26"/>
      <c r="F674" s="39"/>
      <c r="G674" s="40"/>
      <c r="H674" s="32"/>
      <c r="I674" s="33"/>
      <c r="J674" s="34"/>
      <c r="K674" s="32"/>
      <c r="L674" s="35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9.5" customHeight="1">
      <c r="A675" s="36" t="str">
        <f>LEFT('JANUARY 10, 2026'!$E675,FIND("-",'JANUARY 10, 2026'!$E675&amp;"-")-1)</f>
        <v/>
      </c>
      <c r="B675" s="37"/>
      <c r="C675" s="37"/>
      <c r="D675" s="38"/>
      <c r="E675" s="26"/>
      <c r="F675" s="39"/>
      <c r="G675" s="40"/>
      <c r="H675" s="32"/>
      <c r="I675" s="33"/>
      <c r="J675" s="34"/>
      <c r="K675" s="32"/>
      <c r="L675" s="35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9.5" customHeight="1">
      <c r="A676" s="36" t="str">
        <f>LEFT('JANUARY 10, 2026'!$E676,FIND("-",'JANUARY 10, 2026'!$E676&amp;"-")-1)</f>
        <v/>
      </c>
      <c r="B676" s="37"/>
      <c r="C676" s="37"/>
      <c r="D676" s="38"/>
      <c r="E676" s="26"/>
      <c r="F676" s="39"/>
      <c r="G676" s="40"/>
      <c r="H676" s="32"/>
      <c r="I676" s="33"/>
      <c r="J676" s="34"/>
      <c r="K676" s="32"/>
      <c r="L676" s="35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9.5" customHeight="1">
      <c r="A677" s="36" t="str">
        <f>LEFT('JANUARY 10, 2026'!$E677,FIND("-",'JANUARY 10, 2026'!$E677&amp;"-")-1)</f>
        <v/>
      </c>
      <c r="B677" s="37"/>
      <c r="C677" s="37"/>
      <c r="D677" s="38"/>
      <c r="E677" s="26"/>
      <c r="F677" s="39"/>
      <c r="G677" s="40"/>
      <c r="H677" s="32"/>
      <c r="I677" s="33"/>
      <c r="J677" s="34"/>
      <c r="K677" s="32"/>
      <c r="L677" s="35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9.5" customHeight="1">
      <c r="A678" s="36" t="str">
        <f>LEFT('JANUARY 10, 2026'!$E678,FIND("-",'JANUARY 10, 2026'!$E678&amp;"-")-1)</f>
        <v/>
      </c>
      <c r="B678" s="37"/>
      <c r="C678" s="37"/>
      <c r="D678" s="38"/>
      <c r="E678" s="26"/>
      <c r="F678" s="39"/>
      <c r="G678" s="40"/>
      <c r="H678" s="32"/>
      <c r="I678" s="33"/>
      <c r="J678" s="34"/>
      <c r="K678" s="32"/>
      <c r="L678" s="35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9.5" customHeight="1">
      <c r="A679" s="36" t="str">
        <f>LEFT('JANUARY 10, 2026'!$E679,FIND("-",'JANUARY 10, 2026'!$E679&amp;"-")-1)</f>
        <v/>
      </c>
      <c r="B679" s="37"/>
      <c r="C679" s="37"/>
      <c r="D679" s="38"/>
      <c r="E679" s="26"/>
      <c r="F679" s="39"/>
      <c r="G679" s="40"/>
      <c r="H679" s="32"/>
      <c r="I679" s="33"/>
      <c r="J679" s="34"/>
      <c r="K679" s="32"/>
      <c r="L679" s="35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9.5" customHeight="1">
      <c r="A680" s="36" t="str">
        <f>LEFT('JANUARY 10, 2026'!$E680,FIND("-",'JANUARY 10, 2026'!$E680&amp;"-")-1)</f>
        <v/>
      </c>
      <c r="B680" s="37"/>
      <c r="C680" s="37"/>
      <c r="D680" s="38"/>
      <c r="E680" s="26"/>
      <c r="F680" s="39"/>
      <c r="G680" s="40"/>
      <c r="H680" s="32"/>
      <c r="I680" s="33"/>
      <c r="J680" s="34"/>
      <c r="K680" s="32"/>
      <c r="L680" s="35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9.5" customHeight="1">
      <c r="A681" s="36" t="str">
        <f>LEFT('JANUARY 10, 2026'!$E681,FIND("-",'JANUARY 10, 2026'!$E681&amp;"-")-1)</f>
        <v/>
      </c>
      <c r="B681" s="37"/>
      <c r="C681" s="37"/>
      <c r="D681" s="38"/>
      <c r="E681" s="26"/>
      <c r="F681" s="39"/>
      <c r="G681" s="40"/>
      <c r="H681" s="32"/>
      <c r="I681" s="33"/>
      <c r="J681" s="34"/>
      <c r="K681" s="32"/>
      <c r="L681" s="35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9.5" customHeight="1">
      <c r="A682" s="36" t="str">
        <f>LEFT('JANUARY 10, 2026'!$E682,FIND("-",'JANUARY 10, 2026'!$E682&amp;"-")-1)</f>
        <v/>
      </c>
      <c r="B682" s="37"/>
      <c r="C682" s="37"/>
      <c r="D682" s="38"/>
      <c r="E682" s="26"/>
      <c r="F682" s="39"/>
      <c r="G682" s="40"/>
      <c r="H682" s="32"/>
      <c r="I682" s="33"/>
      <c r="J682" s="34"/>
      <c r="K682" s="32"/>
      <c r="L682" s="35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9.5" customHeight="1">
      <c r="A683" s="36" t="str">
        <f>LEFT('JANUARY 10, 2026'!$E683,FIND("-",'JANUARY 10, 2026'!$E683&amp;"-")-1)</f>
        <v/>
      </c>
      <c r="B683" s="37"/>
      <c r="C683" s="37"/>
      <c r="D683" s="38"/>
      <c r="E683" s="26"/>
      <c r="F683" s="39"/>
      <c r="G683" s="40"/>
      <c r="H683" s="32"/>
      <c r="I683" s="33"/>
      <c r="J683" s="34"/>
      <c r="K683" s="32"/>
      <c r="L683" s="35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9.5" customHeight="1">
      <c r="A684" s="36" t="str">
        <f>LEFT('JANUARY 10, 2026'!$E684,FIND("-",'JANUARY 10, 2026'!$E684&amp;"-")-1)</f>
        <v/>
      </c>
      <c r="B684" s="37"/>
      <c r="C684" s="37"/>
      <c r="D684" s="38"/>
      <c r="E684" s="26"/>
      <c r="F684" s="39"/>
      <c r="G684" s="40"/>
      <c r="H684" s="32"/>
      <c r="I684" s="33"/>
      <c r="J684" s="34"/>
      <c r="K684" s="32"/>
      <c r="L684" s="35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9.5" customHeight="1">
      <c r="A685" s="36" t="str">
        <f>LEFT('JANUARY 10, 2026'!$E685,FIND("-",'JANUARY 10, 2026'!$E685&amp;"-")-1)</f>
        <v/>
      </c>
      <c r="B685" s="37"/>
      <c r="C685" s="37"/>
      <c r="D685" s="38"/>
      <c r="E685" s="26"/>
      <c r="F685" s="39"/>
      <c r="G685" s="40"/>
      <c r="H685" s="32"/>
      <c r="I685" s="33"/>
      <c r="J685" s="34"/>
      <c r="K685" s="32"/>
      <c r="L685" s="35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9.5" customHeight="1">
      <c r="A686" s="36" t="str">
        <f>LEFT('JANUARY 10, 2026'!$E686,FIND("-",'JANUARY 10, 2026'!$E686&amp;"-")-1)</f>
        <v/>
      </c>
      <c r="B686" s="37"/>
      <c r="C686" s="37"/>
      <c r="D686" s="38"/>
      <c r="E686" s="26"/>
      <c r="F686" s="39"/>
      <c r="G686" s="40"/>
      <c r="H686" s="32"/>
      <c r="I686" s="33"/>
      <c r="J686" s="34"/>
      <c r="K686" s="32"/>
      <c r="L686" s="35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9.5" customHeight="1">
      <c r="A687" s="36" t="str">
        <f>LEFT('JANUARY 10, 2026'!$E687,FIND("-",'JANUARY 10, 2026'!$E687&amp;"-")-1)</f>
        <v/>
      </c>
      <c r="B687" s="37"/>
      <c r="C687" s="37"/>
      <c r="D687" s="38"/>
      <c r="E687" s="26"/>
      <c r="F687" s="39"/>
      <c r="G687" s="40"/>
      <c r="H687" s="32"/>
      <c r="I687" s="33"/>
      <c r="J687" s="34"/>
      <c r="K687" s="32"/>
      <c r="L687" s="35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9.5" customHeight="1">
      <c r="A688" s="36" t="str">
        <f>LEFT('JANUARY 10, 2026'!$E688,FIND("-",'JANUARY 10, 2026'!$E688&amp;"-")-1)</f>
        <v/>
      </c>
      <c r="B688" s="37"/>
      <c r="C688" s="37"/>
      <c r="D688" s="38"/>
      <c r="E688" s="26"/>
      <c r="F688" s="39"/>
      <c r="G688" s="40"/>
      <c r="H688" s="32"/>
      <c r="I688" s="33"/>
      <c r="J688" s="34"/>
      <c r="K688" s="32"/>
      <c r="L688" s="35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9.5" customHeight="1">
      <c r="A689" s="36" t="str">
        <f>LEFT('JANUARY 10, 2026'!$E689,FIND("-",'JANUARY 10, 2026'!$E689&amp;"-")-1)</f>
        <v/>
      </c>
      <c r="B689" s="37"/>
      <c r="C689" s="37"/>
      <c r="D689" s="38"/>
      <c r="E689" s="26"/>
      <c r="F689" s="39"/>
      <c r="G689" s="40"/>
      <c r="H689" s="32"/>
      <c r="I689" s="33"/>
      <c r="J689" s="34"/>
      <c r="K689" s="32"/>
      <c r="L689" s="35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9.5" customHeight="1">
      <c r="A690" s="36" t="str">
        <f>LEFT('JANUARY 10, 2026'!$E690,FIND("-",'JANUARY 10, 2026'!$E690&amp;"-")-1)</f>
        <v/>
      </c>
      <c r="B690" s="37"/>
      <c r="C690" s="37"/>
      <c r="D690" s="38"/>
      <c r="E690" s="26"/>
      <c r="F690" s="39"/>
      <c r="G690" s="40"/>
      <c r="H690" s="32"/>
      <c r="I690" s="33"/>
      <c r="J690" s="34"/>
      <c r="K690" s="32"/>
      <c r="L690" s="35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9.5" customHeight="1">
      <c r="A691" s="36" t="str">
        <f>LEFT('JANUARY 10, 2026'!$E691,FIND("-",'JANUARY 10, 2026'!$E691&amp;"-")-1)</f>
        <v/>
      </c>
      <c r="B691" s="37"/>
      <c r="C691" s="37"/>
      <c r="D691" s="38"/>
      <c r="E691" s="26"/>
      <c r="F691" s="39"/>
      <c r="G691" s="40"/>
      <c r="H691" s="32"/>
      <c r="I691" s="33"/>
      <c r="J691" s="34"/>
      <c r="K691" s="32"/>
      <c r="L691" s="35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9.5" customHeight="1">
      <c r="A692" s="36" t="str">
        <f>LEFT('JANUARY 10, 2026'!$E692,FIND("-",'JANUARY 10, 2026'!$E692&amp;"-")-1)</f>
        <v/>
      </c>
      <c r="B692" s="37"/>
      <c r="C692" s="37"/>
      <c r="D692" s="38"/>
      <c r="E692" s="26"/>
      <c r="F692" s="39"/>
      <c r="G692" s="40"/>
      <c r="H692" s="32"/>
      <c r="I692" s="33"/>
      <c r="J692" s="34"/>
      <c r="K692" s="32"/>
      <c r="L692" s="35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9.5" customHeight="1">
      <c r="A693" s="36" t="str">
        <f>LEFT('JANUARY 10, 2026'!$E693,FIND("-",'JANUARY 10, 2026'!$E693&amp;"-")-1)</f>
        <v/>
      </c>
      <c r="B693" s="37"/>
      <c r="C693" s="37"/>
      <c r="D693" s="38"/>
      <c r="E693" s="26"/>
      <c r="F693" s="39"/>
      <c r="G693" s="40"/>
      <c r="H693" s="32"/>
      <c r="I693" s="33"/>
      <c r="J693" s="34"/>
      <c r="K693" s="32"/>
      <c r="L693" s="35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9.5" customHeight="1">
      <c r="A694" s="36" t="str">
        <f>LEFT('JANUARY 10, 2026'!$E694,FIND("-",'JANUARY 10, 2026'!$E694&amp;"-")-1)</f>
        <v/>
      </c>
      <c r="B694" s="37"/>
      <c r="C694" s="37"/>
      <c r="D694" s="38"/>
      <c r="E694" s="26"/>
      <c r="F694" s="39"/>
      <c r="G694" s="40"/>
      <c r="H694" s="32"/>
      <c r="I694" s="33"/>
      <c r="J694" s="34"/>
      <c r="K694" s="32"/>
      <c r="L694" s="35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9.5" customHeight="1">
      <c r="A695" s="36" t="str">
        <f>LEFT('JANUARY 10, 2026'!$E695,FIND("-",'JANUARY 10, 2026'!$E695&amp;"-")-1)</f>
        <v/>
      </c>
      <c r="B695" s="37"/>
      <c r="C695" s="37"/>
      <c r="D695" s="38"/>
      <c r="E695" s="26"/>
      <c r="F695" s="39"/>
      <c r="G695" s="40"/>
      <c r="H695" s="32"/>
      <c r="I695" s="33"/>
      <c r="J695" s="34"/>
      <c r="K695" s="32"/>
      <c r="L695" s="35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9.5" customHeight="1">
      <c r="A696" s="36" t="str">
        <f>LEFT('JANUARY 10, 2026'!$E696,FIND("-",'JANUARY 10, 2026'!$E696&amp;"-")-1)</f>
        <v/>
      </c>
      <c r="B696" s="37"/>
      <c r="C696" s="37"/>
      <c r="D696" s="38"/>
      <c r="E696" s="26"/>
      <c r="F696" s="39"/>
      <c r="G696" s="40"/>
      <c r="H696" s="32"/>
      <c r="I696" s="33"/>
      <c r="J696" s="34"/>
      <c r="K696" s="32"/>
      <c r="L696" s="35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9.5" customHeight="1">
      <c r="A697" s="36" t="str">
        <f>LEFT('JANUARY 10, 2026'!$E697,FIND("-",'JANUARY 10, 2026'!$E697&amp;"-")-1)</f>
        <v/>
      </c>
      <c r="B697" s="37"/>
      <c r="C697" s="37"/>
      <c r="D697" s="38"/>
      <c r="E697" s="26"/>
      <c r="F697" s="39"/>
      <c r="G697" s="40"/>
      <c r="H697" s="32"/>
      <c r="I697" s="33"/>
      <c r="J697" s="34"/>
      <c r="K697" s="32"/>
      <c r="L697" s="35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9.5" customHeight="1">
      <c r="A698" s="36" t="str">
        <f>LEFT('JANUARY 10, 2026'!$E698,FIND("-",'JANUARY 10, 2026'!$E698&amp;"-")-1)</f>
        <v/>
      </c>
      <c r="B698" s="37"/>
      <c r="C698" s="37"/>
      <c r="D698" s="38"/>
      <c r="E698" s="26"/>
      <c r="F698" s="39"/>
      <c r="G698" s="40"/>
      <c r="H698" s="32"/>
      <c r="I698" s="33"/>
      <c r="J698" s="34"/>
      <c r="K698" s="32"/>
      <c r="L698" s="35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9.5" customHeight="1">
      <c r="A699" s="36" t="str">
        <f>LEFT('JANUARY 10, 2026'!$E699,FIND("-",'JANUARY 10, 2026'!$E699&amp;"-")-1)</f>
        <v/>
      </c>
      <c r="B699" s="37"/>
      <c r="C699" s="37"/>
      <c r="D699" s="38"/>
      <c r="E699" s="26"/>
      <c r="F699" s="39"/>
      <c r="G699" s="40"/>
      <c r="H699" s="32"/>
      <c r="I699" s="33"/>
      <c r="J699" s="34"/>
      <c r="K699" s="32"/>
      <c r="L699" s="35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9.5" customHeight="1">
      <c r="A700" s="36" t="str">
        <f>LEFT('JANUARY 10, 2026'!$E700,FIND("-",'JANUARY 10, 2026'!$E700&amp;"-")-1)</f>
        <v/>
      </c>
      <c r="B700" s="37"/>
      <c r="C700" s="37"/>
      <c r="D700" s="38"/>
      <c r="E700" s="26"/>
      <c r="F700" s="39"/>
      <c r="G700" s="40"/>
      <c r="H700" s="32"/>
      <c r="I700" s="33"/>
      <c r="J700" s="34"/>
      <c r="K700" s="32"/>
      <c r="L700" s="35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9.5" customHeight="1">
      <c r="A701" s="36" t="str">
        <f>LEFT('JANUARY 10, 2026'!$E701,FIND("-",'JANUARY 10, 2026'!$E701&amp;"-")-1)</f>
        <v/>
      </c>
      <c r="B701" s="37"/>
      <c r="C701" s="37"/>
      <c r="D701" s="38"/>
      <c r="E701" s="26"/>
      <c r="F701" s="39"/>
      <c r="G701" s="40"/>
      <c r="H701" s="32"/>
      <c r="I701" s="33"/>
      <c r="J701" s="34"/>
      <c r="K701" s="32"/>
      <c r="L701" s="35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9.5" customHeight="1">
      <c r="A702" s="36" t="str">
        <f>LEFT('JANUARY 10, 2026'!$E702,FIND("-",'JANUARY 10, 2026'!$E702&amp;"-")-1)</f>
        <v/>
      </c>
      <c r="B702" s="37"/>
      <c r="C702" s="37"/>
      <c r="D702" s="38"/>
      <c r="E702" s="26"/>
      <c r="F702" s="39"/>
      <c r="G702" s="40"/>
      <c r="H702" s="32"/>
      <c r="I702" s="33"/>
      <c r="J702" s="34"/>
      <c r="K702" s="32"/>
      <c r="L702" s="35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9.5" customHeight="1">
      <c r="A703" s="36" t="str">
        <f>LEFT('JANUARY 10, 2026'!$E703,FIND("-",'JANUARY 10, 2026'!$E703&amp;"-")-1)</f>
        <v/>
      </c>
      <c r="B703" s="37"/>
      <c r="C703" s="37"/>
      <c r="D703" s="38"/>
      <c r="E703" s="26"/>
      <c r="F703" s="39"/>
      <c r="G703" s="40"/>
      <c r="H703" s="32"/>
      <c r="I703" s="33"/>
      <c r="J703" s="34"/>
      <c r="K703" s="32"/>
      <c r="L703" s="35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9.5" customHeight="1">
      <c r="A704" s="36" t="str">
        <f>LEFT('JANUARY 10, 2026'!$E704,FIND("-",'JANUARY 10, 2026'!$E704&amp;"-")-1)</f>
        <v/>
      </c>
      <c r="B704" s="37"/>
      <c r="C704" s="37"/>
      <c r="D704" s="38"/>
      <c r="E704" s="26"/>
      <c r="F704" s="39"/>
      <c r="G704" s="40"/>
      <c r="H704" s="32"/>
      <c r="I704" s="33"/>
      <c r="J704" s="34"/>
      <c r="K704" s="32"/>
      <c r="L704" s="35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9.5" customHeight="1">
      <c r="A705" s="36" t="str">
        <f>LEFT('JANUARY 10, 2026'!$E705,FIND("-",'JANUARY 10, 2026'!$E705&amp;"-")-1)</f>
        <v/>
      </c>
      <c r="B705" s="37"/>
      <c r="C705" s="37"/>
      <c r="D705" s="38"/>
      <c r="E705" s="26"/>
      <c r="F705" s="39"/>
      <c r="G705" s="40"/>
      <c r="H705" s="32"/>
      <c r="I705" s="33"/>
      <c r="J705" s="34"/>
      <c r="K705" s="32"/>
      <c r="L705" s="35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9.5" customHeight="1">
      <c r="A706" s="36" t="str">
        <f>LEFT('JANUARY 10, 2026'!$E706,FIND("-",'JANUARY 10, 2026'!$E706&amp;"-")-1)</f>
        <v/>
      </c>
      <c r="B706" s="37"/>
      <c r="C706" s="37"/>
      <c r="D706" s="38"/>
      <c r="E706" s="26"/>
      <c r="F706" s="39"/>
      <c r="G706" s="40"/>
      <c r="H706" s="32"/>
      <c r="I706" s="33"/>
      <c r="J706" s="34"/>
      <c r="K706" s="32"/>
      <c r="L706" s="35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9.5" customHeight="1">
      <c r="A707" s="36" t="str">
        <f>LEFT('JANUARY 10, 2026'!$E707,FIND("-",'JANUARY 10, 2026'!$E707&amp;"-")-1)</f>
        <v/>
      </c>
      <c r="B707" s="37"/>
      <c r="C707" s="37"/>
      <c r="D707" s="38"/>
      <c r="E707" s="26"/>
      <c r="F707" s="39"/>
      <c r="G707" s="40"/>
      <c r="H707" s="32"/>
      <c r="I707" s="33"/>
      <c r="J707" s="34"/>
      <c r="K707" s="32"/>
      <c r="L707" s="35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9.5" customHeight="1">
      <c r="A708" s="36" t="str">
        <f>LEFT('JANUARY 10, 2026'!$E708,FIND("-",'JANUARY 10, 2026'!$E708&amp;"-")-1)</f>
        <v/>
      </c>
      <c r="B708" s="37"/>
      <c r="C708" s="37"/>
      <c r="D708" s="38"/>
      <c r="E708" s="26"/>
      <c r="F708" s="39"/>
      <c r="G708" s="40"/>
      <c r="H708" s="32"/>
      <c r="I708" s="33"/>
      <c r="J708" s="34"/>
      <c r="K708" s="32"/>
      <c r="L708" s="35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9.5" customHeight="1">
      <c r="A709" s="36" t="str">
        <f>LEFT('JANUARY 10, 2026'!$E709,FIND("-",'JANUARY 10, 2026'!$E709&amp;"-")-1)</f>
        <v/>
      </c>
      <c r="B709" s="37"/>
      <c r="C709" s="37"/>
      <c r="D709" s="38"/>
      <c r="E709" s="26"/>
      <c r="F709" s="39"/>
      <c r="G709" s="40"/>
      <c r="H709" s="32"/>
      <c r="I709" s="33"/>
      <c r="J709" s="34"/>
      <c r="K709" s="32"/>
      <c r="L709" s="35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9.5" customHeight="1">
      <c r="A710" s="36" t="str">
        <f>LEFT('JANUARY 10, 2026'!$E710,FIND("-",'JANUARY 10, 2026'!$E710&amp;"-")-1)</f>
        <v/>
      </c>
      <c r="B710" s="37"/>
      <c r="C710" s="37"/>
      <c r="D710" s="38"/>
      <c r="E710" s="26"/>
      <c r="F710" s="39"/>
      <c r="G710" s="40"/>
      <c r="H710" s="32"/>
      <c r="I710" s="33"/>
      <c r="J710" s="34"/>
      <c r="K710" s="32"/>
      <c r="L710" s="35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9.5" customHeight="1">
      <c r="A711" s="36" t="str">
        <f>LEFT('JANUARY 10, 2026'!$E711,FIND("-",'JANUARY 10, 2026'!$E711&amp;"-")-1)</f>
        <v/>
      </c>
      <c r="B711" s="37"/>
      <c r="C711" s="37"/>
      <c r="D711" s="38"/>
      <c r="E711" s="26"/>
      <c r="F711" s="39"/>
      <c r="G711" s="40"/>
      <c r="H711" s="32"/>
      <c r="I711" s="33"/>
      <c r="J711" s="34"/>
      <c r="K711" s="32"/>
      <c r="L711" s="35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9.5" customHeight="1">
      <c r="A712" s="36" t="str">
        <f>LEFT('JANUARY 10, 2026'!$E712,FIND("-",'JANUARY 10, 2026'!$E712&amp;"-")-1)</f>
        <v/>
      </c>
      <c r="B712" s="37"/>
      <c r="C712" s="37"/>
      <c r="D712" s="38"/>
      <c r="E712" s="26"/>
      <c r="F712" s="39"/>
      <c r="G712" s="40"/>
      <c r="H712" s="32"/>
      <c r="I712" s="33"/>
      <c r="J712" s="34"/>
      <c r="K712" s="32"/>
      <c r="L712" s="35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9.5" customHeight="1">
      <c r="A713" s="36" t="str">
        <f>LEFT('JANUARY 10, 2026'!$E713,FIND("-",'JANUARY 10, 2026'!$E713&amp;"-")-1)</f>
        <v/>
      </c>
      <c r="B713" s="37"/>
      <c r="C713" s="37"/>
      <c r="D713" s="38"/>
      <c r="E713" s="26"/>
      <c r="F713" s="39"/>
      <c r="G713" s="40"/>
      <c r="H713" s="32"/>
      <c r="I713" s="33"/>
      <c r="J713" s="34"/>
      <c r="K713" s="32"/>
      <c r="L713" s="35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9.5" customHeight="1">
      <c r="A714" s="36" t="str">
        <f>LEFT('JANUARY 10, 2026'!$E714,FIND("-",'JANUARY 10, 2026'!$E714&amp;"-")-1)</f>
        <v/>
      </c>
      <c r="B714" s="37"/>
      <c r="C714" s="37"/>
      <c r="D714" s="38"/>
      <c r="E714" s="26"/>
      <c r="F714" s="39"/>
      <c r="G714" s="40"/>
      <c r="H714" s="32"/>
      <c r="I714" s="33"/>
      <c r="J714" s="34"/>
      <c r="K714" s="32"/>
      <c r="L714" s="35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9.5" customHeight="1">
      <c r="A715" s="36" t="str">
        <f>LEFT('JANUARY 10, 2026'!$E715,FIND("-",'JANUARY 10, 2026'!$E715&amp;"-")-1)</f>
        <v/>
      </c>
      <c r="B715" s="37"/>
      <c r="C715" s="37"/>
      <c r="D715" s="38"/>
      <c r="E715" s="26"/>
      <c r="F715" s="39"/>
      <c r="G715" s="40"/>
      <c r="H715" s="32"/>
      <c r="I715" s="33"/>
      <c r="J715" s="34"/>
      <c r="K715" s="32"/>
      <c r="L715" s="35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9.5" customHeight="1">
      <c r="A716" s="36" t="str">
        <f>LEFT('JANUARY 10, 2026'!$E716,FIND("-",'JANUARY 10, 2026'!$E716&amp;"-")-1)</f>
        <v/>
      </c>
      <c r="B716" s="37"/>
      <c r="C716" s="37"/>
      <c r="D716" s="38"/>
      <c r="E716" s="26"/>
      <c r="F716" s="39"/>
      <c r="G716" s="40"/>
      <c r="H716" s="32"/>
      <c r="I716" s="33"/>
      <c r="J716" s="34"/>
      <c r="K716" s="32"/>
      <c r="L716" s="35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9.5" customHeight="1">
      <c r="A717" s="36" t="str">
        <f>LEFT('JANUARY 10, 2026'!$E717,FIND("-",'JANUARY 10, 2026'!$E717&amp;"-")-1)</f>
        <v/>
      </c>
      <c r="B717" s="37"/>
      <c r="C717" s="37"/>
      <c r="D717" s="38"/>
      <c r="E717" s="26"/>
      <c r="F717" s="39"/>
      <c r="G717" s="40"/>
      <c r="H717" s="32"/>
      <c r="I717" s="33"/>
      <c r="J717" s="34"/>
      <c r="K717" s="32"/>
      <c r="L717" s="35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9.5" customHeight="1">
      <c r="A718" s="36" t="str">
        <f>LEFT('JANUARY 10, 2026'!$E718,FIND("-",'JANUARY 10, 2026'!$E718&amp;"-")-1)</f>
        <v/>
      </c>
      <c r="B718" s="37"/>
      <c r="C718" s="37"/>
      <c r="D718" s="38"/>
      <c r="E718" s="26"/>
      <c r="F718" s="39"/>
      <c r="G718" s="40"/>
      <c r="H718" s="32"/>
      <c r="I718" s="33"/>
      <c r="J718" s="34"/>
      <c r="K718" s="32"/>
      <c r="L718" s="35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9.5" customHeight="1">
      <c r="A719" s="36" t="str">
        <f>LEFT('JANUARY 10, 2026'!$E719,FIND("-",'JANUARY 10, 2026'!$E719&amp;"-")-1)</f>
        <v/>
      </c>
      <c r="B719" s="37"/>
      <c r="C719" s="37"/>
      <c r="D719" s="38"/>
      <c r="E719" s="26"/>
      <c r="F719" s="39"/>
      <c r="G719" s="40"/>
      <c r="H719" s="32"/>
      <c r="I719" s="33"/>
      <c r="J719" s="34"/>
      <c r="K719" s="32"/>
      <c r="L719" s="35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9.5" customHeight="1">
      <c r="A720" s="36" t="str">
        <f>LEFT('JANUARY 10, 2026'!$E720,FIND("-",'JANUARY 10, 2026'!$E720&amp;"-")-1)</f>
        <v/>
      </c>
      <c r="B720" s="37"/>
      <c r="C720" s="37"/>
      <c r="D720" s="38"/>
      <c r="E720" s="26"/>
      <c r="F720" s="39"/>
      <c r="G720" s="40"/>
      <c r="H720" s="32"/>
      <c r="I720" s="33"/>
      <c r="J720" s="34"/>
      <c r="K720" s="32"/>
      <c r="L720" s="35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9.5" customHeight="1">
      <c r="A721" s="36" t="str">
        <f>LEFT('JANUARY 10, 2026'!$E721,FIND("-",'JANUARY 10, 2026'!$E721&amp;"-")-1)</f>
        <v/>
      </c>
      <c r="B721" s="37"/>
      <c r="C721" s="37"/>
      <c r="D721" s="38"/>
      <c r="E721" s="26"/>
      <c r="F721" s="39"/>
      <c r="G721" s="40"/>
      <c r="H721" s="32"/>
      <c r="I721" s="33"/>
      <c r="J721" s="34"/>
      <c r="K721" s="32"/>
      <c r="L721" s="35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9.5" customHeight="1">
      <c r="A722" s="36" t="str">
        <f>LEFT('JANUARY 10, 2026'!$E722,FIND("-",'JANUARY 10, 2026'!$E722&amp;"-")-1)</f>
        <v/>
      </c>
      <c r="B722" s="37"/>
      <c r="C722" s="37"/>
      <c r="D722" s="38"/>
      <c r="E722" s="26"/>
      <c r="F722" s="39"/>
      <c r="G722" s="40"/>
      <c r="H722" s="32"/>
      <c r="I722" s="33"/>
      <c r="J722" s="34"/>
      <c r="K722" s="32"/>
      <c r="L722" s="35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9.5" customHeight="1">
      <c r="A723" s="36" t="str">
        <f>LEFT('JANUARY 10, 2026'!$E723,FIND("-",'JANUARY 10, 2026'!$E723&amp;"-")-1)</f>
        <v/>
      </c>
      <c r="B723" s="37"/>
      <c r="C723" s="37"/>
      <c r="D723" s="38"/>
      <c r="E723" s="26"/>
      <c r="F723" s="39"/>
      <c r="G723" s="40"/>
      <c r="H723" s="32"/>
      <c r="I723" s="33"/>
      <c r="J723" s="34"/>
      <c r="K723" s="32"/>
      <c r="L723" s="35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9.5" customHeight="1">
      <c r="A724" s="36" t="str">
        <f>LEFT('JANUARY 10, 2026'!$E724,FIND("-",'JANUARY 10, 2026'!$E724&amp;"-")-1)</f>
        <v/>
      </c>
      <c r="B724" s="37"/>
      <c r="C724" s="37"/>
      <c r="D724" s="38"/>
      <c r="E724" s="26"/>
      <c r="F724" s="39"/>
      <c r="G724" s="40"/>
      <c r="H724" s="32"/>
      <c r="I724" s="33"/>
      <c r="J724" s="34"/>
      <c r="K724" s="32"/>
      <c r="L724" s="35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9.5" customHeight="1">
      <c r="A725" s="36" t="str">
        <f>LEFT('JANUARY 10, 2026'!$E725,FIND("-",'JANUARY 10, 2026'!$E725&amp;"-")-1)</f>
        <v/>
      </c>
      <c r="B725" s="37"/>
      <c r="C725" s="37"/>
      <c r="D725" s="38"/>
      <c r="E725" s="26"/>
      <c r="F725" s="39"/>
      <c r="G725" s="40"/>
      <c r="H725" s="32"/>
      <c r="I725" s="33"/>
      <c r="J725" s="34"/>
      <c r="K725" s="32"/>
      <c r="L725" s="35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9.5" customHeight="1">
      <c r="A726" s="36" t="str">
        <f>LEFT('JANUARY 10, 2026'!$E726,FIND("-",'JANUARY 10, 2026'!$E726&amp;"-")-1)</f>
        <v/>
      </c>
      <c r="B726" s="37"/>
      <c r="C726" s="37"/>
      <c r="D726" s="38"/>
      <c r="E726" s="26"/>
      <c r="F726" s="39"/>
      <c r="G726" s="40"/>
      <c r="H726" s="32"/>
      <c r="I726" s="33"/>
      <c r="J726" s="34"/>
      <c r="K726" s="32"/>
      <c r="L726" s="35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9.5" customHeight="1">
      <c r="A727" s="36" t="str">
        <f>LEFT('JANUARY 10, 2026'!$E727,FIND("-",'JANUARY 10, 2026'!$E727&amp;"-")-1)</f>
        <v/>
      </c>
      <c r="B727" s="37"/>
      <c r="C727" s="37"/>
      <c r="D727" s="38"/>
      <c r="E727" s="26"/>
      <c r="F727" s="39"/>
      <c r="G727" s="40"/>
      <c r="H727" s="32"/>
      <c r="I727" s="33"/>
      <c r="J727" s="34"/>
      <c r="K727" s="32"/>
      <c r="L727" s="35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9.5" customHeight="1">
      <c r="A728" s="36" t="str">
        <f>LEFT('JANUARY 10, 2026'!$E728,FIND("-",'JANUARY 10, 2026'!$E728&amp;"-")-1)</f>
        <v/>
      </c>
      <c r="B728" s="37"/>
      <c r="C728" s="37"/>
      <c r="D728" s="38"/>
      <c r="E728" s="26"/>
      <c r="F728" s="39"/>
      <c r="G728" s="40"/>
      <c r="H728" s="32"/>
      <c r="I728" s="33"/>
      <c r="J728" s="34"/>
      <c r="K728" s="32"/>
      <c r="L728" s="35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9.5" customHeight="1">
      <c r="A729" s="36" t="str">
        <f>LEFT('JANUARY 10, 2026'!$E729,FIND("-",'JANUARY 10, 2026'!$E729&amp;"-")-1)</f>
        <v/>
      </c>
      <c r="B729" s="37"/>
      <c r="C729" s="37"/>
      <c r="D729" s="38"/>
      <c r="E729" s="26"/>
      <c r="F729" s="39"/>
      <c r="G729" s="40"/>
      <c r="H729" s="32"/>
      <c r="I729" s="33"/>
      <c r="J729" s="34"/>
      <c r="K729" s="32"/>
      <c r="L729" s="35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9.5" customHeight="1">
      <c r="A730" s="36" t="str">
        <f>LEFT('JANUARY 10, 2026'!$E730,FIND("-",'JANUARY 10, 2026'!$E730&amp;"-")-1)</f>
        <v/>
      </c>
      <c r="B730" s="37"/>
      <c r="C730" s="37"/>
      <c r="D730" s="38"/>
      <c r="E730" s="26"/>
      <c r="F730" s="39"/>
      <c r="G730" s="40"/>
      <c r="H730" s="32"/>
      <c r="I730" s="33"/>
      <c r="J730" s="34"/>
      <c r="K730" s="32"/>
      <c r="L730" s="35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9.5" customHeight="1">
      <c r="A731" s="36" t="str">
        <f>LEFT('JANUARY 10, 2026'!$E731,FIND("-",'JANUARY 10, 2026'!$E731&amp;"-")-1)</f>
        <v/>
      </c>
      <c r="B731" s="37"/>
      <c r="C731" s="37"/>
      <c r="D731" s="38"/>
      <c r="E731" s="26"/>
      <c r="F731" s="39"/>
      <c r="G731" s="40"/>
      <c r="H731" s="32"/>
      <c r="I731" s="33"/>
      <c r="J731" s="34"/>
      <c r="K731" s="32"/>
      <c r="L731" s="35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9.5" customHeight="1">
      <c r="A732" s="36" t="str">
        <f>LEFT('JANUARY 10, 2026'!$E732,FIND("-",'JANUARY 10, 2026'!$E732&amp;"-")-1)</f>
        <v/>
      </c>
      <c r="B732" s="37"/>
      <c r="C732" s="37"/>
      <c r="D732" s="38"/>
      <c r="E732" s="26"/>
      <c r="F732" s="39"/>
      <c r="G732" s="40"/>
      <c r="H732" s="32"/>
      <c r="I732" s="33"/>
      <c r="J732" s="34"/>
      <c r="K732" s="32"/>
      <c r="L732" s="35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9.5" customHeight="1">
      <c r="A733" s="36" t="str">
        <f>LEFT('JANUARY 10, 2026'!$E733,FIND("-",'JANUARY 10, 2026'!$E733&amp;"-")-1)</f>
        <v/>
      </c>
      <c r="B733" s="37"/>
      <c r="C733" s="37"/>
      <c r="D733" s="38"/>
      <c r="E733" s="26"/>
      <c r="F733" s="39"/>
      <c r="G733" s="40"/>
      <c r="H733" s="32"/>
      <c r="I733" s="33"/>
      <c r="J733" s="34"/>
      <c r="K733" s="32"/>
      <c r="L733" s="35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9.5" customHeight="1">
      <c r="A734" s="36" t="str">
        <f>LEFT('JANUARY 10, 2026'!$E734,FIND("-",'JANUARY 10, 2026'!$E734&amp;"-")-1)</f>
        <v/>
      </c>
      <c r="B734" s="37"/>
      <c r="C734" s="37"/>
      <c r="D734" s="38"/>
      <c r="E734" s="26"/>
      <c r="F734" s="39"/>
      <c r="G734" s="40"/>
      <c r="H734" s="32"/>
      <c r="I734" s="33"/>
      <c r="J734" s="34"/>
      <c r="K734" s="32"/>
      <c r="L734" s="35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9.5" customHeight="1">
      <c r="A735" s="36" t="str">
        <f>LEFT('JANUARY 10, 2026'!$E735,FIND("-",'JANUARY 10, 2026'!$E735&amp;"-")-1)</f>
        <v/>
      </c>
      <c r="B735" s="37"/>
      <c r="C735" s="37"/>
      <c r="D735" s="38"/>
      <c r="E735" s="26"/>
      <c r="F735" s="39"/>
      <c r="G735" s="40"/>
      <c r="H735" s="32"/>
      <c r="I735" s="33"/>
      <c r="J735" s="34"/>
      <c r="K735" s="32"/>
      <c r="L735" s="35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9.5" customHeight="1">
      <c r="A736" s="36" t="str">
        <f>LEFT('JANUARY 10, 2026'!$E736,FIND("-",'JANUARY 10, 2026'!$E736&amp;"-")-1)</f>
        <v/>
      </c>
      <c r="B736" s="37"/>
      <c r="C736" s="37"/>
      <c r="D736" s="38"/>
      <c r="E736" s="26"/>
      <c r="F736" s="39"/>
      <c r="G736" s="40"/>
      <c r="H736" s="32"/>
      <c r="I736" s="33"/>
      <c r="J736" s="34"/>
      <c r="K736" s="32"/>
      <c r="L736" s="35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9.5" customHeight="1">
      <c r="A737" s="36" t="str">
        <f>LEFT('JANUARY 10, 2026'!$E737,FIND("-",'JANUARY 10, 2026'!$E737&amp;"-")-1)</f>
        <v/>
      </c>
      <c r="B737" s="37"/>
      <c r="C737" s="37"/>
      <c r="D737" s="38"/>
      <c r="E737" s="26"/>
      <c r="F737" s="39"/>
      <c r="G737" s="40"/>
      <c r="H737" s="32"/>
      <c r="I737" s="33"/>
      <c r="J737" s="34"/>
      <c r="K737" s="32"/>
      <c r="L737" s="35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9.5" customHeight="1">
      <c r="A738" s="36" t="str">
        <f>LEFT('JANUARY 10, 2026'!$E738,FIND("-",'JANUARY 10, 2026'!$E738&amp;"-")-1)</f>
        <v/>
      </c>
      <c r="B738" s="37"/>
      <c r="C738" s="37"/>
      <c r="D738" s="38"/>
      <c r="E738" s="26"/>
      <c r="F738" s="39"/>
      <c r="G738" s="40"/>
      <c r="H738" s="32"/>
      <c r="I738" s="33"/>
      <c r="J738" s="34"/>
      <c r="K738" s="32"/>
      <c r="L738" s="35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9.5" customHeight="1">
      <c r="A739" s="36" t="str">
        <f>LEFT('JANUARY 10, 2026'!$E739,FIND("-",'JANUARY 10, 2026'!$E739&amp;"-")-1)</f>
        <v/>
      </c>
      <c r="B739" s="37"/>
      <c r="C739" s="37"/>
      <c r="D739" s="38"/>
      <c r="E739" s="26"/>
      <c r="F739" s="39"/>
      <c r="G739" s="40"/>
      <c r="H739" s="32"/>
      <c r="I739" s="33"/>
      <c r="J739" s="34"/>
      <c r="K739" s="32"/>
      <c r="L739" s="35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9.5" customHeight="1">
      <c r="A740" s="36" t="str">
        <f>LEFT('JANUARY 10, 2026'!$E740,FIND("-",'JANUARY 10, 2026'!$E740&amp;"-")-1)</f>
        <v/>
      </c>
      <c r="B740" s="37"/>
      <c r="C740" s="37"/>
      <c r="D740" s="38"/>
      <c r="E740" s="26"/>
      <c r="F740" s="39"/>
      <c r="G740" s="40"/>
      <c r="H740" s="32"/>
      <c r="I740" s="33"/>
      <c r="J740" s="34"/>
      <c r="K740" s="32"/>
      <c r="L740" s="35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9.5" customHeight="1">
      <c r="A741" s="36" t="str">
        <f>LEFT('JANUARY 10, 2026'!$E741,FIND("-",'JANUARY 10, 2026'!$E741&amp;"-")-1)</f>
        <v/>
      </c>
      <c r="B741" s="37"/>
      <c r="C741" s="37"/>
      <c r="D741" s="38"/>
      <c r="E741" s="26"/>
      <c r="F741" s="39"/>
      <c r="G741" s="40"/>
      <c r="H741" s="32"/>
      <c r="I741" s="33"/>
      <c r="J741" s="34"/>
      <c r="K741" s="32"/>
      <c r="L741" s="35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9.5" customHeight="1">
      <c r="A742" s="36" t="str">
        <f>LEFT('JANUARY 10, 2026'!$E742,FIND("-",'JANUARY 10, 2026'!$E742&amp;"-")-1)</f>
        <v/>
      </c>
      <c r="B742" s="37"/>
      <c r="C742" s="37"/>
      <c r="D742" s="38"/>
      <c r="E742" s="26"/>
      <c r="F742" s="39"/>
      <c r="G742" s="40"/>
      <c r="H742" s="32"/>
      <c r="I742" s="33"/>
      <c r="J742" s="34"/>
      <c r="K742" s="32"/>
      <c r="L742" s="35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9.5" customHeight="1">
      <c r="A743" s="36" t="str">
        <f>LEFT('JANUARY 10, 2026'!$E743,FIND("-",'JANUARY 10, 2026'!$E743&amp;"-")-1)</f>
        <v/>
      </c>
      <c r="B743" s="37"/>
      <c r="C743" s="37"/>
      <c r="D743" s="38"/>
      <c r="E743" s="26"/>
      <c r="F743" s="39"/>
      <c r="G743" s="40"/>
      <c r="H743" s="32"/>
      <c r="I743" s="33"/>
      <c r="J743" s="34"/>
      <c r="K743" s="32"/>
      <c r="L743" s="35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9.5" customHeight="1">
      <c r="A744" s="36" t="str">
        <f>LEFT('JANUARY 10, 2026'!$E744,FIND("-",'JANUARY 10, 2026'!$E744&amp;"-")-1)</f>
        <v/>
      </c>
      <c r="B744" s="37"/>
      <c r="C744" s="37"/>
      <c r="D744" s="38"/>
      <c r="E744" s="26"/>
      <c r="F744" s="39"/>
      <c r="G744" s="40"/>
      <c r="H744" s="32"/>
      <c r="I744" s="33"/>
      <c r="J744" s="34"/>
      <c r="K744" s="32"/>
      <c r="L744" s="35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9.5" customHeight="1">
      <c r="A745" s="36" t="str">
        <f>LEFT('JANUARY 10, 2026'!$E745,FIND("-",'JANUARY 10, 2026'!$E745&amp;"-")-1)</f>
        <v/>
      </c>
      <c r="B745" s="37"/>
      <c r="C745" s="37"/>
      <c r="D745" s="38"/>
      <c r="E745" s="26"/>
      <c r="F745" s="39"/>
      <c r="G745" s="40"/>
      <c r="H745" s="32"/>
      <c r="I745" s="33"/>
      <c r="J745" s="34"/>
      <c r="K745" s="32"/>
      <c r="L745" s="35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9.5" customHeight="1">
      <c r="A746" s="36" t="str">
        <f>LEFT('JANUARY 10, 2026'!$E746,FIND("-",'JANUARY 10, 2026'!$E746&amp;"-")-1)</f>
        <v/>
      </c>
      <c r="B746" s="37"/>
      <c r="C746" s="37"/>
      <c r="D746" s="38"/>
      <c r="E746" s="26"/>
      <c r="F746" s="39"/>
      <c r="G746" s="40"/>
      <c r="H746" s="32"/>
      <c r="I746" s="33"/>
      <c r="J746" s="34"/>
      <c r="K746" s="32"/>
      <c r="L746" s="35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9.5" customHeight="1">
      <c r="A747" s="26" t="str">
        <f>LEFT('JANUARY 10, 2026'!$E747,FIND("-",'JANUARY 10, 2026'!$E747&amp;"-")-1)</f>
        <v/>
      </c>
      <c r="B747" s="37"/>
      <c r="C747" s="37"/>
      <c r="D747" s="38"/>
      <c r="E747" s="26"/>
      <c r="F747" s="39"/>
      <c r="G747" s="40"/>
      <c r="H747" s="32"/>
      <c r="I747" s="33"/>
      <c r="J747" s="34"/>
      <c r="K747" s="32"/>
      <c r="L747" s="35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9.5" customHeight="1">
      <c r="A748" s="36" t="str">
        <f>LEFT('JANUARY 10, 2026'!$E748,FIND("-",'JANUARY 10, 2026'!$E748&amp;"-")-1)</f>
        <v/>
      </c>
      <c r="B748" s="37"/>
      <c r="C748" s="37"/>
      <c r="D748" s="38"/>
      <c r="E748" s="26"/>
      <c r="F748" s="39"/>
      <c r="G748" s="40"/>
      <c r="H748" s="32"/>
      <c r="I748" s="33"/>
      <c r="J748" s="34"/>
      <c r="K748" s="32"/>
      <c r="L748" s="35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9.5" customHeight="1">
      <c r="A749" s="36" t="str">
        <f>LEFT('JANUARY 10, 2026'!$E749,FIND("-",'JANUARY 10, 2026'!$E749&amp;"-")-1)</f>
        <v/>
      </c>
      <c r="B749" s="37"/>
      <c r="C749" s="37"/>
      <c r="D749" s="38"/>
      <c r="E749" s="26"/>
      <c r="F749" s="39"/>
      <c r="G749" s="40"/>
      <c r="H749" s="32"/>
      <c r="I749" s="33"/>
      <c r="J749" s="34"/>
      <c r="K749" s="32"/>
      <c r="L749" s="35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9.5" customHeight="1">
      <c r="A750" s="36" t="str">
        <f>LEFT('JANUARY 10, 2026'!$E750,FIND("-",'JANUARY 10, 2026'!$E750&amp;"-")-1)</f>
        <v/>
      </c>
      <c r="B750" s="37"/>
      <c r="C750" s="37"/>
      <c r="D750" s="38"/>
      <c r="E750" s="26"/>
      <c r="F750" s="39"/>
      <c r="G750" s="40"/>
      <c r="H750" s="32"/>
      <c r="I750" s="33"/>
      <c r="J750" s="34"/>
      <c r="K750" s="32"/>
      <c r="L750" s="35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9.5" customHeight="1">
      <c r="A751" s="36" t="str">
        <f>LEFT('JANUARY 10, 2026'!$E751,FIND("-",'JANUARY 10, 2026'!$E751&amp;"-")-1)</f>
        <v/>
      </c>
      <c r="B751" s="37"/>
      <c r="C751" s="37"/>
      <c r="D751" s="38"/>
      <c r="E751" s="26"/>
      <c r="F751" s="39"/>
      <c r="G751" s="40"/>
      <c r="H751" s="32"/>
      <c r="I751" s="33"/>
      <c r="J751" s="34"/>
      <c r="K751" s="32"/>
      <c r="L751" s="35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9.5" customHeight="1">
      <c r="A752" s="36" t="str">
        <f>LEFT('JANUARY 10, 2026'!$E752,FIND("-",'JANUARY 10, 2026'!$E752&amp;"-")-1)</f>
        <v/>
      </c>
      <c r="B752" s="37"/>
      <c r="C752" s="37"/>
      <c r="D752" s="38"/>
      <c r="E752" s="26"/>
      <c r="F752" s="39"/>
      <c r="G752" s="40"/>
      <c r="H752" s="32"/>
      <c r="I752" s="33"/>
      <c r="J752" s="34"/>
      <c r="K752" s="32"/>
      <c r="L752" s="35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9.5" customHeight="1">
      <c r="A753" s="36" t="str">
        <f>LEFT('JANUARY 10, 2026'!$E753,FIND("-",'JANUARY 10, 2026'!$E753&amp;"-")-1)</f>
        <v/>
      </c>
      <c r="B753" s="37"/>
      <c r="C753" s="37"/>
      <c r="D753" s="38"/>
      <c r="E753" s="26"/>
      <c r="F753" s="39"/>
      <c r="G753" s="40"/>
      <c r="H753" s="32"/>
      <c r="I753" s="33"/>
      <c r="J753" s="34"/>
      <c r="K753" s="32"/>
      <c r="L753" s="35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9.5" customHeight="1">
      <c r="A754" s="36" t="str">
        <f>LEFT('JANUARY 10, 2026'!$E754,FIND("-",'JANUARY 10, 2026'!$E754&amp;"-")-1)</f>
        <v/>
      </c>
      <c r="B754" s="37"/>
      <c r="C754" s="37"/>
      <c r="D754" s="38"/>
      <c r="E754" s="26"/>
      <c r="F754" s="39"/>
      <c r="G754" s="40"/>
      <c r="H754" s="32"/>
      <c r="I754" s="33"/>
      <c r="J754" s="34"/>
      <c r="K754" s="32"/>
      <c r="L754" s="35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9.5" customHeight="1">
      <c r="A755" s="36" t="str">
        <f>LEFT('JANUARY 10, 2026'!$E755,FIND("-",'JANUARY 10, 2026'!$E755&amp;"-")-1)</f>
        <v/>
      </c>
      <c r="B755" s="37"/>
      <c r="C755" s="37"/>
      <c r="D755" s="38"/>
      <c r="E755" s="26"/>
      <c r="F755" s="39"/>
      <c r="G755" s="40"/>
      <c r="H755" s="32"/>
      <c r="I755" s="33"/>
      <c r="J755" s="34"/>
      <c r="K755" s="32"/>
      <c r="L755" s="35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9.5" customHeight="1">
      <c r="A756" s="36" t="str">
        <f>LEFT('JANUARY 10, 2026'!$E756,FIND("-",'JANUARY 10, 2026'!$E756&amp;"-")-1)</f>
        <v/>
      </c>
      <c r="B756" s="37"/>
      <c r="C756" s="37"/>
      <c r="D756" s="38"/>
      <c r="E756" s="26"/>
      <c r="F756" s="39"/>
      <c r="G756" s="40"/>
      <c r="H756" s="32"/>
      <c r="I756" s="33"/>
      <c r="J756" s="34"/>
      <c r="K756" s="32"/>
      <c r="L756" s="35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9.5" customHeight="1">
      <c r="A757" s="36" t="str">
        <f>LEFT('JANUARY 10, 2026'!$E757,FIND("-",'JANUARY 10, 2026'!$E757&amp;"-")-1)</f>
        <v/>
      </c>
      <c r="B757" s="37"/>
      <c r="C757" s="37"/>
      <c r="D757" s="38"/>
      <c r="E757" s="26"/>
      <c r="F757" s="39"/>
      <c r="G757" s="40"/>
      <c r="H757" s="32"/>
      <c r="I757" s="33"/>
      <c r="J757" s="34"/>
      <c r="K757" s="32"/>
      <c r="L757" s="35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9.5" customHeight="1">
      <c r="A758" s="36" t="str">
        <f>LEFT('JANUARY 10, 2026'!$E758,FIND("-",'JANUARY 10, 2026'!$E758&amp;"-")-1)</f>
        <v/>
      </c>
      <c r="B758" s="37"/>
      <c r="C758" s="37"/>
      <c r="D758" s="38"/>
      <c r="E758" s="26"/>
      <c r="F758" s="39"/>
      <c r="G758" s="40"/>
      <c r="H758" s="32"/>
      <c r="I758" s="33"/>
      <c r="J758" s="34"/>
      <c r="K758" s="32"/>
      <c r="L758" s="35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9.5" customHeight="1">
      <c r="A759" s="36" t="str">
        <f>LEFT('JANUARY 10, 2026'!$E759,FIND("-",'JANUARY 10, 2026'!$E759&amp;"-")-1)</f>
        <v/>
      </c>
      <c r="B759" s="37"/>
      <c r="C759" s="37"/>
      <c r="D759" s="38"/>
      <c r="E759" s="26"/>
      <c r="F759" s="39"/>
      <c r="G759" s="40"/>
      <c r="H759" s="32"/>
      <c r="I759" s="33"/>
      <c r="J759" s="34"/>
      <c r="K759" s="32"/>
      <c r="L759" s="35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9.5" customHeight="1">
      <c r="A760" s="36" t="str">
        <f>LEFT('JANUARY 10, 2026'!$E760,FIND("-",'JANUARY 10, 2026'!$E760&amp;"-")-1)</f>
        <v/>
      </c>
      <c r="B760" s="37"/>
      <c r="C760" s="37"/>
      <c r="D760" s="38"/>
      <c r="E760" s="26"/>
      <c r="F760" s="39"/>
      <c r="G760" s="40"/>
      <c r="H760" s="32"/>
      <c r="I760" s="33"/>
      <c r="J760" s="34"/>
      <c r="K760" s="32"/>
      <c r="L760" s="35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9.5" customHeight="1">
      <c r="A761" s="36" t="str">
        <f>LEFT('JANUARY 10, 2026'!$E761,FIND("-",'JANUARY 10, 2026'!$E761&amp;"-")-1)</f>
        <v/>
      </c>
      <c r="B761" s="37"/>
      <c r="C761" s="37"/>
      <c r="D761" s="38"/>
      <c r="E761" s="26"/>
      <c r="F761" s="39"/>
      <c r="G761" s="40"/>
      <c r="H761" s="32"/>
      <c r="I761" s="33"/>
      <c r="J761" s="34"/>
      <c r="K761" s="32"/>
      <c r="L761" s="35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9.5" customHeight="1">
      <c r="A762" s="36" t="str">
        <f>LEFT('JANUARY 10, 2026'!$E762,FIND("-",'JANUARY 10, 2026'!$E762&amp;"-")-1)</f>
        <v/>
      </c>
      <c r="B762" s="37"/>
      <c r="C762" s="37"/>
      <c r="D762" s="38"/>
      <c r="E762" s="26"/>
      <c r="F762" s="39"/>
      <c r="G762" s="40"/>
      <c r="H762" s="32"/>
      <c r="I762" s="33"/>
      <c r="J762" s="34"/>
      <c r="K762" s="32"/>
      <c r="L762" s="35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9.5" customHeight="1">
      <c r="A763" s="36" t="str">
        <f>LEFT('JANUARY 10, 2026'!$E763,FIND("-",'JANUARY 10, 2026'!$E763&amp;"-")-1)</f>
        <v/>
      </c>
      <c r="B763" s="37"/>
      <c r="C763" s="37"/>
      <c r="D763" s="38"/>
      <c r="E763" s="26"/>
      <c r="F763" s="39"/>
      <c r="G763" s="40"/>
      <c r="H763" s="32"/>
      <c r="I763" s="33"/>
      <c r="J763" s="34"/>
      <c r="K763" s="32"/>
      <c r="L763" s="35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9.5" customHeight="1">
      <c r="A764" s="36" t="str">
        <f>LEFT('JANUARY 10, 2026'!$E764,FIND("-",'JANUARY 10, 2026'!$E764&amp;"-")-1)</f>
        <v/>
      </c>
      <c r="B764" s="37"/>
      <c r="C764" s="37"/>
      <c r="D764" s="38"/>
      <c r="E764" s="26"/>
      <c r="F764" s="39"/>
      <c r="G764" s="40"/>
      <c r="H764" s="32"/>
      <c r="I764" s="33"/>
      <c r="J764" s="34"/>
      <c r="K764" s="32"/>
      <c r="L764" s="35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9.5" customHeight="1">
      <c r="A765" s="36" t="str">
        <f>LEFT('JANUARY 10, 2026'!$E765,FIND("-",'JANUARY 10, 2026'!$E765&amp;"-")-1)</f>
        <v/>
      </c>
      <c r="B765" s="37"/>
      <c r="C765" s="37"/>
      <c r="D765" s="38"/>
      <c r="E765" s="26"/>
      <c r="F765" s="39"/>
      <c r="G765" s="40"/>
      <c r="H765" s="32"/>
      <c r="I765" s="33"/>
      <c r="J765" s="34"/>
      <c r="K765" s="32"/>
      <c r="L765" s="35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9.5" customHeight="1">
      <c r="A766" s="36" t="str">
        <f>LEFT('JANUARY 10, 2026'!$E766,FIND("-",'JANUARY 10, 2026'!$E766&amp;"-")-1)</f>
        <v/>
      </c>
      <c r="B766" s="37"/>
      <c r="C766" s="37"/>
      <c r="D766" s="38"/>
      <c r="E766" s="26"/>
      <c r="F766" s="39"/>
      <c r="G766" s="40"/>
      <c r="H766" s="32"/>
      <c r="I766" s="33"/>
      <c r="J766" s="34"/>
      <c r="K766" s="32"/>
      <c r="L766" s="35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9.5" customHeight="1">
      <c r="A767" s="36" t="str">
        <f>LEFT('JANUARY 10, 2026'!$E767,FIND("-",'JANUARY 10, 2026'!$E767&amp;"-")-1)</f>
        <v/>
      </c>
      <c r="B767" s="37"/>
      <c r="C767" s="37"/>
      <c r="D767" s="38"/>
      <c r="E767" s="26"/>
      <c r="F767" s="39"/>
      <c r="G767" s="40"/>
      <c r="H767" s="32"/>
      <c r="I767" s="33"/>
      <c r="J767" s="34"/>
      <c r="K767" s="32"/>
      <c r="L767" s="35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9.5" customHeight="1">
      <c r="A768" s="36" t="str">
        <f>LEFT('JANUARY 10, 2026'!$E768,FIND("-",'JANUARY 10, 2026'!$E768&amp;"-")-1)</f>
        <v/>
      </c>
      <c r="B768" s="37"/>
      <c r="C768" s="37"/>
      <c r="D768" s="38"/>
      <c r="E768" s="26"/>
      <c r="F768" s="39"/>
      <c r="G768" s="40"/>
      <c r="H768" s="32"/>
      <c r="I768" s="33"/>
      <c r="J768" s="34"/>
      <c r="K768" s="32"/>
      <c r="L768" s="35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9.5" customHeight="1">
      <c r="A769" s="36" t="str">
        <f>LEFT('JANUARY 10, 2026'!$E769,FIND("-",'JANUARY 10, 2026'!$E769&amp;"-")-1)</f>
        <v/>
      </c>
      <c r="B769" s="37"/>
      <c r="C769" s="37"/>
      <c r="D769" s="38"/>
      <c r="E769" s="26"/>
      <c r="F769" s="39"/>
      <c r="G769" s="40"/>
      <c r="H769" s="32"/>
      <c r="I769" s="33"/>
      <c r="J769" s="34"/>
      <c r="K769" s="32"/>
      <c r="L769" s="35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9.5" customHeight="1">
      <c r="A770" s="36" t="str">
        <f>LEFT('JANUARY 10, 2026'!$E770,FIND("-",'JANUARY 10, 2026'!$E770&amp;"-")-1)</f>
        <v/>
      </c>
      <c r="B770" s="37"/>
      <c r="C770" s="37"/>
      <c r="D770" s="38"/>
      <c r="E770" s="26"/>
      <c r="F770" s="39"/>
      <c r="G770" s="40"/>
      <c r="H770" s="32"/>
      <c r="I770" s="33"/>
      <c r="J770" s="34"/>
      <c r="K770" s="32"/>
      <c r="L770" s="35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9.5" customHeight="1">
      <c r="A771" s="36" t="str">
        <f>LEFT('JANUARY 10, 2026'!$E771,FIND("-",'JANUARY 10, 2026'!$E771&amp;"-")-1)</f>
        <v/>
      </c>
      <c r="B771" s="37"/>
      <c r="C771" s="37"/>
      <c r="D771" s="38"/>
      <c r="E771" s="26"/>
      <c r="F771" s="39"/>
      <c r="G771" s="40"/>
      <c r="H771" s="32"/>
      <c r="I771" s="33"/>
      <c r="J771" s="34"/>
      <c r="K771" s="32"/>
      <c r="L771" s="35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9.5" customHeight="1">
      <c r="A772" s="36" t="str">
        <f>LEFT('JANUARY 10, 2026'!$E772,FIND("-",'JANUARY 10, 2026'!$E772&amp;"-")-1)</f>
        <v/>
      </c>
      <c r="B772" s="37"/>
      <c r="C772" s="37"/>
      <c r="D772" s="38"/>
      <c r="E772" s="26"/>
      <c r="F772" s="39"/>
      <c r="G772" s="40"/>
      <c r="H772" s="32"/>
      <c r="I772" s="33"/>
      <c r="J772" s="34"/>
      <c r="K772" s="32"/>
      <c r="L772" s="35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9.5" customHeight="1">
      <c r="A773" s="36" t="str">
        <f>LEFT('JANUARY 10, 2026'!$E773,FIND("-",'JANUARY 10, 2026'!$E773&amp;"-")-1)</f>
        <v/>
      </c>
      <c r="B773" s="37"/>
      <c r="C773" s="37"/>
      <c r="D773" s="38"/>
      <c r="E773" s="26"/>
      <c r="F773" s="39"/>
      <c r="G773" s="40"/>
      <c r="H773" s="32"/>
      <c r="I773" s="33"/>
      <c r="J773" s="34"/>
      <c r="K773" s="32"/>
      <c r="L773" s="35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9.5" customHeight="1">
      <c r="A774" s="36" t="str">
        <f>LEFT('JANUARY 10, 2026'!$E774,FIND("-",'JANUARY 10, 2026'!$E774&amp;"-")-1)</f>
        <v/>
      </c>
      <c r="B774" s="37"/>
      <c r="C774" s="37"/>
      <c r="D774" s="38"/>
      <c r="E774" s="26"/>
      <c r="F774" s="39"/>
      <c r="G774" s="40"/>
      <c r="H774" s="32"/>
      <c r="I774" s="33"/>
      <c r="J774" s="34"/>
      <c r="K774" s="32"/>
      <c r="L774" s="35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9.5" customHeight="1">
      <c r="A775" s="36" t="str">
        <f>LEFT('JANUARY 10, 2026'!$E775,FIND("-",'JANUARY 10, 2026'!$E775&amp;"-")-1)</f>
        <v/>
      </c>
      <c r="B775" s="37"/>
      <c r="C775" s="37"/>
      <c r="D775" s="38"/>
      <c r="E775" s="26"/>
      <c r="F775" s="39"/>
      <c r="G775" s="40"/>
      <c r="H775" s="32"/>
      <c r="I775" s="33"/>
      <c r="J775" s="34"/>
      <c r="K775" s="32"/>
      <c r="L775" s="35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9.5" customHeight="1">
      <c r="A776" s="36" t="str">
        <f>LEFT('JANUARY 10, 2026'!$E776,FIND("-",'JANUARY 10, 2026'!$E776&amp;"-")-1)</f>
        <v/>
      </c>
      <c r="B776" s="37"/>
      <c r="C776" s="37"/>
      <c r="D776" s="38"/>
      <c r="E776" s="26"/>
      <c r="F776" s="39"/>
      <c r="G776" s="40"/>
      <c r="H776" s="32"/>
      <c r="I776" s="33"/>
      <c r="J776" s="34"/>
      <c r="K776" s="32"/>
      <c r="L776" s="35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9.5" customHeight="1">
      <c r="A777" s="36" t="str">
        <f>LEFT('JANUARY 10, 2026'!$E777,FIND("-",'JANUARY 10, 2026'!$E777&amp;"-")-1)</f>
        <v/>
      </c>
      <c r="B777" s="37"/>
      <c r="C777" s="37"/>
      <c r="D777" s="38"/>
      <c r="E777" s="26"/>
      <c r="F777" s="39"/>
      <c r="G777" s="40"/>
      <c r="H777" s="32"/>
      <c r="I777" s="33"/>
      <c r="J777" s="34"/>
      <c r="K777" s="32"/>
      <c r="L777" s="35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9.5" customHeight="1">
      <c r="A778" s="36" t="str">
        <f>LEFT('JANUARY 10, 2026'!$E778,FIND("-",'JANUARY 10, 2026'!$E778&amp;"-")-1)</f>
        <v/>
      </c>
      <c r="B778" s="37"/>
      <c r="C778" s="37"/>
      <c r="D778" s="38"/>
      <c r="E778" s="26"/>
      <c r="F778" s="39"/>
      <c r="G778" s="40"/>
      <c r="H778" s="32"/>
      <c r="I778" s="33"/>
      <c r="J778" s="34"/>
      <c r="K778" s="32"/>
      <c r="L778" s="35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9.5" customHeight="1">
      <c r="A779" s="36" t="str">
        <f>LEFT('JANUARY 10, 2026'!$E779,FIND("-",'JANUARY 10, 2026'!$E779&amp;"-")-1)</f>
        <v/>
      </c>
      <c r="B779" s="37"/>
      <c r="C779" s="37"/>
      <c r="D779" s="38"/>
      <c r="E779" s="26"/>
      <c r="F779" s="39"/>
      <c r="G779" s="40"/>
      <c r="H779" s="32"/>
      <c r="I779" s="33"/>
      <c r="J779" s="34"/>
      <c r="K779" s="32"/>
      <c r="L779" s="35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9.5" customHeight="1">
      <c r="A780" s="36" t="str">
        <f>LEFT('JANUARY 10, 2026'!$E780,FIND("-",'JANUARY 10, 2026'!$E780&amp;"-")-1)</f>
        <v/>
      </c>
      <c r="B780" s="37"/>
      <c r="C780" s="37"/>
      <c r="D780" s="38"/>
      <c r="E780" s="26"/>
      <c r="F780" s="39"/>
      <c r="G780" s="40"/>
      <c r="H780" s="32"/>
      <c r="I780" s="33"/>
      <c r="J780" s="34"/>
      <c r="K780" s="32"/>
      <c r="L780" s="35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9.5" customHeight="1">
      <c r="A781" s="36" t="str">
        <f>LEFT('JANUARY 10, 2026'!$E781,FIND("-",'JANUARY 10, 2026'!$E781&amp;"-")-1)</f>
        <v/>
      </c>
      <c r="B781" s="37"/>
      <c r="C781" s="37"/>
      <c r="D781" s="38"/>
      <c r="E781" s="26"/>
      <c r="F781" s="39"/>
      <c r="G781" s="40"/>
      <c r="H781" s="32"/>
      <c r="I781" s="33"/>
      <c r="J781" s="34"/>
      <c r="K781" s="32"/>
      <c r="L781" s="35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9.5" customHeight="1">
      <c r="A782" s="36" t="str">
        <f>LEFT('JANUARY 10, 2026'!$E782,FIND("-",'JANUARY 10, 2026'!$E782&amp;"-")-1)</f>
        <v/>
      </c>
      <c r="B782" s="37"/>
      <c r="C782" s="37"/>
      <c r="D782" s="38"/>
      <c r="E782" s="26"/>
      <c r="F782" s="39"/>
      <c r="G782" s="40"/>
      <c r="H782" s="32"/>
      <c r="I782" s="33"/>
      <c r="J782" s="34"/>
      <c r="K782" s="32"/>
      <c r="L782" s="35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9.5" customHeight="1">
      <c r="A783" s="36" t="str">
        <f>LEFT('JANUARY 10, 2026'!$E783,FIND("-",'JANUARY 10, 2026'!$E783&amp;"-")-1)</f>
        <v/>
      </c>
      <c r="B783" s="37"/>
      <c r="C783" s="37"/>
      <c r="D783" s="38"/>
      <c r="E783" s="26"/>
      <c r="F783" s="39"/>
      <c r="G783" s="40"/>
      <c r="H783" s="32"/>
      <c r="I783" s="33"/>
      <c r="J783" s="34"/>
      <c r="K783" s="32"/>
      <c r="L783" s="35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9.5" customHeight="1">
      <c r="A784" s="36" t="str">
        <f>LEFT('JANUARY 10, 2026'!$E784,FIND("-",'JANUARY 10, 2026'!$E784&amp;"-")-1)</f>
        <v/>
      </c>
      <c r="B784" s="37"/>
      <c r="C784" s="37"/>
      <c r="D784" s="38"/>
      <c r="E784" s="26"/>
      <c r="F784" s="39"/>
      <c r="G784" s="40"/>
      <c r="H784" s="32"/>
      <c r="I784" s="33"/>
      <c r="J784" s="34"/>
      <c r="K784" s="32"/>
      <c r="L784" s="35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9.5" customHeight="1">
      <c r="A785" s="36" t="str">
        <f>LEFT('JANUARY 10, 2026'!$E785,FIND("-",'JANUARY 10, 2026'!$E785&amp;"-")-1)</f>
        <v/>
      </c>
      <c r="B785" s="37"/>
      <c r="C785" s="37"/>
      <c r="D785" s="38"/>
      <c r="E785" s="26"/>
      <c r="F785" s="39"/>
      <c r="G785" s="40"/>
      <c r="H785" s="32"/>
      <c r="I785" s="33"/>
      <c r="J785" s="34"/>
      <c r="K785" s="32"/>
      <c r="L785" s="35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9.5" customHeight="1">
      <c r="A786" s="36" t="str">
        <f>LEFT('JANUARY 10, 2026'!$E786,FIND("-",'JANUARY 10, 2026'!$E786&amp;"-")-1)</f>
        <v/>
      </c>
      <c r="B786" s="37"/>
      <c r="C786" s="37"/>
      <c r="D786" s="38"/>
      <c r="E786" s="26"/>
      <c r="F786" s="39"/>
      <c r="G786" s="40"/>
      <c r="H786" s="32"/>
      <c r="I786" s="33"/>
      <c r="J786" s="34"/>
      <c r="K786" s="32"/>
      <c r="L786" s="35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9.5" customHeight="1">
      <c r="A787" s="36" t="str">
        <f>LEFT('JANUARY 10, 2026'!$E787,FIND("-",'JANUARY 10, 2026'!$E787&amp;"-")-1)</f>
        <v/>
      </c>
      <c r="B787" s="37"/>
      <c r="C787" s="37"/>
      <c r="D787" s="38"/>
      <c r="E787" s="26"/>
      <c r="F787" s="39"/>
      <c r="G787" s="40"/>
      <c r="H787" s="32"/>
      <c r="I787" s="33"/>
      <c r="J787" s="34"/>
      <c r="K787" s="32"/>
      <c r="L787" s="35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9.5" customHeight="1">
      <c r="A788" s="36" t="str">
        <f>LEFT('JANUARY 10, 2026'!$E788,FIND("-",'JANUARY 10, 2026'!$E788&amp;"-")-1)</f>
        <v/>
      </c>
      <c r="B788" s="37"/>
      <c r="C788" s="37"/>
      <c r="D788" s="38"/>
      <c r="E788" s="26"/>
      <c r="F788" s="39"/>
      <c r="G788" s="40"/>
      <c r="H788" s="32"/>
      <c r="I788" s="33"/>
      <c r="J788" s="34"/>
      <c r="K788" s="32"/>
      <c r="L788" s="35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9.5" customHeight="1">
      <c r="A789" s="36" t="str">
        <f>LEFT('JANUARY 10, 2026'!$E789,FIND("-",'JANUARY 10, 2026'!$E789&amp;"-")-1)</f>
        <v/>
      </c>
      <c r="B789" s="37"/>
      <c r="C789" s="37"/>
      <c r="D789" s="38"/>
      <c r="E789" s="26"/>
      <c r="F789" s="39"/>
      <c r="G789" s="40"/>
      <c r="H789" s="32"/>
      <c r="I789" s="33"/>
      <c r="J789" s="34"/>
      <c r="K789" s="32"/>
      <c r="L789" s="35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9.5" customHeight="1">
      <c r="A790" s="36" t="str">
        <f>LEFT('JANUARY 10, 2026'!$E790,FIND("-",'JANUARY 10, 2026'!$E790&amp;"-")-1)</f>
        <v/>
      </c>
      <c r="B790" s="37"/>
      <c r="C790" s="37"/>
      <c r="D790" s="38"/>
      <c r="E790" s="26"/>
      <c r="F790" s="39"/>
      <c r="G790" s="40"/>
      <c r="H790" s="32"/>
      <c r="I790" s="33"/>
      <c r="J790" s="34"/>
      <c r="K790" s="32"/>
      <c r="L790" s="35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9.5" customHeight="1">
      <c r="A791" s="36" t="str">
        <f>LEFT('JANUARY 10, 2026'!$E791,FIND("-",'JANUARY 10, 2026'!$E791&amp;"-")-1)</f>
        <v/>
      </c>
      <c r="B791" s="37"/>
      <c r="C791" s="37"/>
      <c r="D791" s="38"/>
      <c r="E791" s="26"/>
      <c r="F791" s="39"/>
      <c r="G791" s="40"/>
      <c r="H791" s="32"/>
      <c r="I791" s="33"/>
      <c r="J791" s="34"/>
      <c r="K791" s="32"/>
      <c r="L791" s="35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9.5" customHeight="1">
      <c r="A792" s="36" t="str">
        <f>LEFT('JANUARY 10, 2026'!$E792,FIND("-",'JANUARY 10, 2026'!$E792&amp;"-")-1)</f>
        <v/>
      </c>
      <c r="B792" s="37"/>
      <c r="C792" s="37"/>
      <c r="D792" s="38"/>
      <c r="E792" s="26"/>
      <c r="F792" s="39"/>
      <c r="G792" s="40"/>
      <c r="H792" s="32"/>
      <c r="I792" s="33"/>
      <c r="J792" s="34"/>
      <c r="K792" s="32"/>
      <c r="L792" s="35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9.5" customHeight="1">
      <c r="A793" s="36" t="str">
        <f>LEFT('JANUARY 10, 2026'!$E793,FIND("-",'JANUARY 10, 2026'!$E793&amp;"-")-1)</f>
        <v/>
      </c>
      <c r="B793" s="37"/>
      <c r="C793" s="37"/>
      <c r="D793" s="38"/>
      <c r="E793" s="26"/>
      <c r="F793" s="39"/>
      <c r="G793" s="40"/>
      <c r="H793" s="32"/>
      <c r="I793" s="33"/>
      <c r="J793" s="34"/>
      <c r="K793" s="32"/>
      <c r="L793" s="35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9.5" customHeight="1">
      <c r="A794" s="36" t="str">
        <f>LEFT('JANUARY 10, 2026'!$E794,FIND("-",'JANUARY 10, 2026'!$E794&amp;"-")-1)</f>
        <v/>
      </c>
      <c r="B794" s="37"/>
      <c r="C794" s="37"/>
      <c r="D794" s="38"/>
      <c r="E794" s="26"/>
      <c r="F794" s="39"/>
      <c r="G794" s="40"/>
      <c r="H794" s="32"/>
      <c r="I794" s="33"/>
      <c r="J794" s="34"/>
      <c r="K794" s="32"/>
      <c r="L794" s="35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9.5" customHeight="1">
      <c r="A795" s="36" t="str">
        <f>LEFT('JANUARY 10, 2026'!$E795,FIND("-",'JANUARY 10, 2026'!$E795&amp;"-")-1)</f>
        <v/>
      </c>
      <c r="B795" s="37"/>
      <c r="C795" s="37"/>
      <c r="D795" s="38"/>
      <c r="E795" s="26"/>
      <c r="F795" s="39"/>
      <c r="G795" s="40"/>
      <c r="H795" s="32"/>
      <c r="I795" s="33"/>
      <c r="J795" s="34"/>
      <c r="K795" s="32"/>
      <c r="L795" s="35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9.5" customHeight="1">
      <c r="A796" s="36" t="str">
        <f>LEFT('JANUARY 10, 2026'!$E796,FIND("-",'JANUARY 10, 2026'!$E796&amp;"-")-1)</f>
        <v/>
      </c>
      <c r="B796" s="37"/>
      <c r="C796" s="37"/>
      <c r="D796" s="38"/>
      <c r="E796" s="26"/>
      <c r="F796" s="39"/>
      <c r="G796" s="40"/>
      <c r="H796" s="32"/>
      <c r="I796" s="33"/>
      <c r="J796" s="34"/>
      <c r="K796" s="32"/>
      <c r="L796" s="35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9.5" customHeight="1">
      <c r="A797" s="36" t="str">
        <f>LEFT('JANUARY 10, 2026'!$E797,FIND("-",'JANUARY 10, 2026'!$E797&amp;"-")-1)</f>
        <v/>
      </c>
      <c r="B797" s="37"/>
      <c r="C797" s="37"/>
      <c r="D797" s="38"/>
      <c r="E797" s="26"/>
      <c r="F797" s="39"/>
      <c r="G797" s="40"/>
      <c r="H797" s="32"/>
      <c r="I797" s="33"/>
      <c r="J797" s="34"/>
      <c r="K797" s="32"/>
      <c r="L797" s="35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9.5" customHeight="1">
      <c r="A798" s="36" t="str">
        <f>LEFT('JANUARY 10, 2026'!$E798,FIND("-",'JANUARY 10, 2026'!$E798&amp;"-")-1)</f>
        <v/>
      </c>
      <c r="B798" s="37"/>
      <c r="C798" s="37"/>
      <c r="D798" s="38"/>
      <c r="E798" s="26"/>
      <c r="F798" s="39"/>
      <c r="G798" s="40"/>
      <c r="H798" s="32"/>
      <c r="I798" s="33"/>
      <c r="J798" s="34"/>
      <c r="K798" s="32"/>
      <c r="L798" s="35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9.5" customHeight="1">
      <c r="A799" s="36" t="str">
        <f>LEFT('JANUARY 10, 2026'!$E799,FIND("-",'JANUARY 10, 2026'!$E799&amp;"-")-1)</f>
        <v/>
      </c>
      <c r="B799" s="37"/>
      <c r="C799" s="37"/>
      <c r="D799" s="38"/>
      <c r="E799" s="26"/>
      <c r="F799" s="39"/>
      <c r="G799" s="40"/>
      <c r="H799" s="32"/>
      <c r="I799" s="33"/>
      <c r="J799" s="34"/>
      <c r="K799" s="32"/>
      <c r="L799" s="35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9.5" customHeight="1">
      <c r="A800" s="36" t="str">
        <f>LEFT('JANUARY 10, 2026'!$E800,FIND("-",'JANUARY 10, 2026'!$E800&amp;"-")-1)</f>
        <v/>
      </c>
      <c r="B800" s="37"/>
      <c r="C800" s="37"/>
      <c r="D800" s="38"/>
      <c r="E800" s="26"/>
      <c r="F800" s="39"/>
      <c r="G800" s="40"/>
      <c r="H800" s="32"/>
      <c r="I800" s="33"/>
      <c r="J800" s="34"/>
      <c r="K800" s="32"/>
      <c r="L800" s="35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9.5" customHeight="1">
      <c r="A801" s="36" t="str">
        <f>LEFT('JANUARY 10, 2026'!$E801,FIND("-",'JANUARY 10, 2026'!$E801&amp;"-")-1)</f>
        <v/>
      </c>
      <c r="B801" s="37"/>
      <c r="C801" s="37"/>
      <c r="D801" s="38"/>
      <c r="E801" s="26"/>
      <c r="F801" s="39"/>
      <c r="G801" s="40"/>
      <c r="H801" s="32"/>
      <c r="I801" s="33"/>
      <c r="J801" s="34"/>
      <c r="K801" s="32"/>
      <c r="L801" s="35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9.5" customHeight="1">
      <c r="A802" s="36" t="str">
        <f>LEFT('JANUARY 10, 2026'!$E802,FIND("-",'JANUARY 10, 2026'!$E802&amp;"-")-1)</f>
        <v/>
      </c>
      <c r="B802" s="37"/>
      <c r="C802" s="37"/>
      <c r="D802" s="38"/>
      <c r="E802" s="26"/>
      <c r="F802" s="39"/>
      <c r="G802" s="40"/>
      <c r="H802" s="32"/>
      <c r="I802" s="33"/>
      <c r="J802" s="34"/>
      <c r="K802" s="32"/>
      <c r="L802" s="35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9.5" customHeight="1">
      <c r="A803" s="36" t="str">
        <f>LEFT('JANUARY 10, 2026'!$E803,FIND("-",'JANUARY 10, 2026'!$E803&amp;"-")-1)</f>
        <v/>
      </c>
      <c r="B803" s="37"/>
      <c r="C803" s="37"/>
      <c r="D803" s="38"/>
      <c r="E803" s="26"/>
      <c r="F803" s="39"/>
      <c r="G803" s="40"/>
      <c r="H803" s="32"/>
      <c r="I803" s="33"/>
      <c r="J803" s="34"/>
      <c r="K803" s="32"/>
      <c r="L803" s="35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9.5" customHeight="1">
      <c r="A804" s="36" t="str">
        <f>LEFT('JANUARY 10, 2026'!$E804,FIND("-",'JANUARY 10, 2026'!$E804&amp;"-")-1)</f>
        <v/>
      </c>
      <c r="B804" s="37"/>
      <c r="C804" s="37"/>
      <c r="D804" s="38"/>
      <c r="E804" s="26"/>
      <c r="F804" s="39"/>
      <c r="G804" s="40"/>
      <c r="H804" s="32"/>
      <c r="I804" s="33"/>
      <c r="J804" s="34"/>
      <c r="K804" s="32"/>
      <c r="L804" s="35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9.5" customHeight="1">
      <c r="A805" s="36" t="str">
        <f>LEFT('JANUARY 10, 2026'!$E805,FIND("-",'JANUARY 10, 2026'!$E805&amp;"-")-1)</f>
        <v/>
      </c>
      <c r="B805" s="37"/>
      <c r="C805" s="37"/>
      <c r="D805" s="38"/>
      <c r="E805" s="26"/>
      <c r="F805" s="39"/>
      <c r="G805" s="40"/>
      <c r="H805" s="32"/>
      <c r="I805" s="33"/>
      <c r="J805" s="34"/>
      <c r="K805" s="32"/>
      <c r="L805" s="35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9.5" customHeight="1">
      <c r="A806" s="26" t="str">
        <f>LEFT('JANUARY 10, 2026'!$E806,FIND("-",'JANUARY 10, 2026'!$E806&amp;"-")-1)</f>
        <v/>
      </c>
      <c r="B806" s="37"/>
      <c r="C806" s="37"/>
      <c r="D806" s="38"/>
      <c r="E806" s="26"/>
      <c r="F806" s="39"/>
      <c r="G806" s="40"/>
      <c r="H806" s="32"/>
      <c r="I806" s="33"/>
      <c r="J806" s="34"/>
      <c r="K806" s="32"/>
      <c r="L806" s="35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9.5" customHeight="1">
      <c r="A807" s="36" t="str">
        <f>LEFT('JANUARY 10, 2026'!$E807,FIND("-",'JANUARY 10, 2026'!$E807&amp;"-")-1)</f>
        <v/>
      </c>
      <c r="B807" s="37"/>
      <c r="C807" s="37"/>
      <c r="D807" s="38"/>
      <c r="E807" s="26"/>
      <c r="F807" s="39"/>
      <c r="G807" s="40"/>
      <c r="H807" s="32"/>
      <c r="I807" s="33"/>
      <c r="J807" s="34"/>
      <c r="K807" s="32"/>
      <c r="L807" s="35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9.5" customHeight="1">
      <c r="A808" s="36" t="str">
        <f>LEFT('JANUARY 10, 2026'!$E808,FIND("-",'JANUARY 10, 2026'!$E808&amp;"-")-1)</f>
        <v/>
      </c>
      <c r="B808" s="37"/>
      <c r="C808" s="37"/>
      <c r="D808" s="38"/>
      <c r="E808" s="26"/>
      <c r="F808" s="39"/>
      <c r="G808" s="40"/>
      <c r="H808" s="32"/>
      <c r="I808" s="33"/>
      <c r="J808" s="34"/>
      <c r="K808" s="32"/>
      <c r="L808" s="35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9.5" customHeight="1">
      <c r="A809" s="36" t="str">
        <f>LEFT('JANUARY 10, 2026'!$E809,FIND("-",'JANUARY 10, 2026'!$E809&amp;"-")-1)</f>
        <v/>
      </c>
      <c r="B809" s="37"/>
      <c r="C809" s="37"/>
      <c r="D809" s="38"/>
      <c r="E809" s="26"/>
      <c r="F809" s="39"/>
      <c r="G809" s="40"/>
      <c r="H809" s="32"/>
      <c r="I809" s="33"/>
      <c r="J809" s="34"/>
      <c r="K809" s="32"/>
      <c r="L809" s="35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9.5" customHeight="1">
      <c r="A810" s="36" t="str">
        <f>LEFT('JANUARY 10, 2026'!$E810,FIND("-",'JANUARY 10, 2026'!$E810&amp;"-")-1)</f>
        <v/>
      </c>
      <c r="B810" s="37"/>
      <c r="C810" s="37"/>
      <c r="D810" s="38"/>
      <c r="E810" s="26"/>
      <c r="F810" s="39"/>
      <c r="G810" s="40"/>
      <c r="H810" s="32"/>
      <c r="I810" s="33"/>
      <c r="J810" s="34"/>
      <c r="K810" s="32"/>
      <c r="L810" s="35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9.5" customHeight="1">
      <c r="A811" s="36" t="str">
        <f>LEFT('JANUARY 10, 2026'!$E811,FIND("-",'JANUARY 10, 2026'!$E811&amp;"-")-1)</f>
        <v/>
      </c>
      <c r="B811" s="37"/>
      <c r="C811" s="37"/>
      <c r="D811" s="38"/>
      <c r="E811" s="26"/>
      <c r="F811" s="39"/>
      <c r="G811" s="40"/>
      <c r="H811" s="32"/>
      <c r="I811" s="33"/>
      <c r="J811" s="34"/>
      <c r="K811" s="32"/>
      <c r="L811" s="35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9.5" customHeight="1">
      <c r="A812" s="36" t="str">
        <f>LEFT('JANUARY 10, 2026'!$E812,FIND("-",'JANUARY 10, 2026'!$E812&amp;"-")-1)</f>
        <v/>
      </c>
      <c r="B812" s="41"/>
      <c r="C812" s="41"/>
      <c r="D812" s="42"/>
      <c r="E812" s="26"/>
      <c r="F812" s="43"/>
      <c r="G812" s="40"/>
      <c r="H812" s="44"/>
      <c r="I812" s="33"/>
      <c r="J812" s="34"/>
      <c r="K812" s="32"/>
      <c r="L812" s="35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9.5" customHeight="1">
      <c r="A813" s="36" t="str">
        <f>LEFT('JANUARY 10, 2026'!$E813,FIND("-",'JANUARY 10, 2026'!$E813&amp;"-")-1)</f>
        <v/>
      </c>
      <c r="B813" s="41"/>
      <c r="C813" s="41"/>
      <c r="D813" s="42"/>
      <c r="E813" s="26"/>
      <c r="F813" s="43"/>
      <c r="G813" s="40"/>
      <c r="H813" s="44"/>
      <c r="I813" s="33"/>
      <c r="J813" s="34"/>
      <c r="K813" s="32"/>
      <c r="L813" s="35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9.5" customHeight="1">
      <c r="A814" s="36" t="str">
        <f>LEFT('JANUARY 10, 2026'!$E814,FIND("-",'JANUARY 10, 2026'!$E814&amp;"-")-1)</f>
        <v/>
      </c>
      <c r="B814" s="41"/>
      <c r="C814" s="41"/>
      <c r="D814" s="42"/>
      <c r="E814" s="26"/>
      <c r="F814" s="43"/>
      <c r="G814" s="40"/>
      <c r="H814" s="44"/>
      <c r="I814" s="33"/>
      <c r="J814" s="34"/>
      <c r="K814" s="32"/>
      <c r="L814" s="35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9.5" customHeight="1">
      <c r="A815" s="36" t="str">
        <f>LEFT('JANUARY 10, 2026'!$E815,FIND("-",'JANUARY 10, 2026'!$E815&amp;"-")-1)</f>
        <v/>
      </c>
      <c r="B815" s="41"/>
      <c r="C815" s="41"/>
      <c r="D815" s="45"/>
      <c r="E815" s="26"/>
      <c r="F815" s="43"/>
      <c r="G815" s="40"/>
      <c r="H815" s="44"/>
      <c r="I815" s="33"/>
      <c r="J815" s="34"/>
      <c r="K815" s="32"/>
      <c r="L815" s="35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9.5" customHeight="1">
      <c r="A816" s="36" t="str">
        <f>LEFT('JANUARY 10, 2026'!$E816,FIND("-",'JANUARY 10, 2026'!$E816&amp;"-")-1)</f>
        <v/>
      </c>
      <c r="B816" s="41"/>
      <c r="C816" s="41"/>
      <c r="D816" s="42"/>
      <c r="E816" s="26"/>
      <c r="F816" s="43"/>
      <c r="G816" s="40"/>
      <c r="H816" s="44"/>
      <c r="I816" s="33"/>
      <c r="J816" s="34"/>
      <c r="K816" s="32"/>
      <c r="L816" s="35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9.5" customHeight="1">
      <c r="A817" s="36" t="str">
        <f>LEFT('JANUARY 10, 2026'!$E817,FIND("-",'JANUARY 10, 2026'!$E817&amp;"-")-1)</f>
        <v/>
      </c>
      <c r="B817" s="41"/>
      <c r="C817" s="41"/>
      <c r="D817" s="42"/>
      <c r="E817" s="26"/>
      <c r="F817" s="43"/>
      <c r="G817" s="40"/>
      <c r="H817" s="44"/>
      <c r="I817" s="33"/>
      <c r="J817" s="34"/>
      <c r="K817" s="32"/>
      <c r="L817" s="35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9.5" customHeight="1">
      <c r="A818" s="36" t="str">
        <f>LEFT('JANUARY 10, 2026'!$E818,FIND("-",'JANUARY 10, 2026'!$E818&amp;"-")-1)</f>
        <v/>
      </c>
      <c r="B818" s="41"/>
      <c r="C818" s="41"/>
      <c r="D818" s="42"/>
      <c r="E818" s="26"/>
      <c r="F818" s="43"/>
      <c r="G818" s="40"/>
      <c r="H818" s="44"/>
      <c r="I818" s="33"/>
      <c r="J818" s="34"/>
      <c r="K818" s="32"/>
      <c r="L818" s="35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9.5" customHeight="1">
      <c r="A819" s="36" t="str">
        <f>LEFT('JANUARY 10, 2026'!$E819,FIND("-",'JANUARY 10, 2026'!$E819&amp;"-")-1)</f>
        <v/>
      </c>
      <c r="B819" s="41"/>
      <c r="C819" s="41"/>
      <c r="D819" s="42"/>
      <c r="E819" s="26"/>
      <c r="F819" s="43"/>
      <c r="G819" s="40"/>
      <c r="H819" s="44"/>
      <c r="I819" s="33"/>
      <c r="J819" s="34"/>
      <c r="K819" s="32"/>
      <c r="L819" s="35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9.5" customHeight="1">
      <c r="A820" s="36" t="str">
        <f>LEFT('JANUARY 10, 2026'!$E820,FIND("-",'JANUARY 10, 2026'!$E820&amp;"-")-1)</f>
        <v/>
      </c>
      <c r="B820" s="41"/>
      <c r="C820" s="41"/>
      <c r="D820" s="42"/>
      <c r="E820" s="26"/>
      <c r="F820" s="43"/>
      <c r="G820" s="40"/>
      <c r="H820" s="44"/>
      <c r="I820" s="33"/>
      <c r="J820" s="34"/>
      <c r="K820" s="32"/>
      <c r="L820" s="35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9.5" customHeight="1">
      <c r="A821" s="36" t="str">
        <f>LEFT('JANUARY 10, 2026'!$E821,FIND("-",'JANUARY 10, 2026'!$E821&amp;"-")-1)</f>
        <v/>
      </c>
      <c r="B821" s="41"/>
      <c r="C821" s="41"/>
      <c r="D821" s="42"/>
      <c r="E821" s="26"/>
      <c r="F821" s="43"/>
      <c r="G821" s="40"/>
      <c r="H821" s="44"/>
      <c r="I821" s="33"/>
      <c r="J821" s="34"/>
      <c r="K821" s="32"/>
      <c r="L821" s="35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9.5" customHeight="1">
      <c r="A822" s="36" t="str">
        <f>LEFT('JANUARY 10, 2026'!$E822,FIND("-",'JANUARY 10, 2026'!$E822&amp;"-")-1)</f>
        <v/>
      </c>
      <c r="B822" s="41"/>
      <c r="C822" s="41"/>
      <c r="D822" s="42"/>
      <c r="E822" s="26"/>
      <c r="F822" s="43"/>
      <c r="G822" s="40"/>
      <c r="H822" s="44"/>
      <c r="I822" s="33"/>
      <c r="J822" s="34"/>
      <c r="K822" s="32"/>
      <c r="L822" s="35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9.5" customHeight="1">
      <c r="A823" s="36" t="str">
        <f>LEFT('JANUARY 10, 2026'!$E823,FIND("-",'JANUARY 10, 2026'!$E823&amp;"-")-1)</f>
        <v/>
      </c>
      <c r="B823" s="41"/>
      <c r="C823" s="41"/>
      <c r="D823" s="42"/>
      <c r="E823" s="26"/>
      <c r="F823" s="43"/>
      <c r="G823" s="40"/>
      <c r="H823" s="44"/>
      <c r="I823" s="33"/>
      <c r="J823" s="34"/>
      <c r="K823" s="32"/>
      <c r="L823" s="35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9.5" customHeight="1">
      <c r="A824" s="36" t="str">
        <f>LEFT('JANUARY 10, 2026'!$E824,FIND("-",'JANUARY 10, 2026'!$E824&amp;"-")-1)</f>
        <v/>
      </c>
      <c r="B824" s="41"/>
      <c r="C824" s="41"/>
      <c r="D824" s="42"/>
      <c r="E824" s="26"/>
      <c r="F824" s="43"/>
      <c r="G824" s="40"/>
      <c r="H824" s="44"/>
      <c r="I824" s="33"/>
      <c r="J824" s="34"/>
      <c r="K824" s="32"/>
      <c r="L824" s="35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9.5" customHeight="1">
      <c r="A825" s="36" t="str">
        <f>LEFT('JANUARY 10, 2026'!$E825,FIND("-",'JANUARY 10, 2026'!$E825&amp;"-")-1)</f>
        <v/>
      </c>
      <c r="B825" s="41"/>
      <c r="C825" s="41"/>
      <c r="D825" s="42"/>
      <c r="E825" s="26"/>
      <c r="F825" s="43"/>
      <c r="G825" s="40"/>
      <c r="H825" s="44"/>
      <c r="I825" s="33"/>
      <c r="J825" s="34"/>
      <c r="K825" s="32"/>
      <c r="L825" s="35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9.5" customHeight="1">
      <c r="A826" s="36" t="str">
        <f>LEFT('JANUARY 10, 2026'!$E826,FIND("-",'JANUARY 10, 2026'!$E826&amp;"-")-1)</f>
        <v/>
      </c>
      <c r="B826" s="41"/>
      <c r="C826" s="41"/>
      <c r="D826" s="42"/>
      <c r="E826" s="26"/>
      <c r="F826" s="43"/>
      <c r="G826" s="40"/>
      <c r="H826" s="44"/>
      <c r="I826" s="33"/>
      <c r="J826" s="34"/>
      <c r="K826" s="32"/>
      <c r="L826" s="35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9.5" customHeight="1">
      <c r="A827" s="36" t="str">
        <f>LEFT('JANUARY 10, 2026'!$E827,FIND("-",'JANUARY 10, 2026'!$E827&amp;"-")-1)</f>
        <v/>
      </c>
      <c r="B827" s="41"/>
      <c r="C827" s="41"/>
      <c r="D827" s="42"/>
      <c r="E827" s="26"/>
      <c r="F827" s="43"/>
      <c r="G827" s="40"/>
      <c r="H827" s="44"/>
      <c r="I827" s="33"/>
      <c r="J827" s="34"/>
      <c r="K827" s="32"/>
      <c r="L827" s="35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9.5" customHeight="1">
      <c r="A828" s="36" t="str">
        <f>LEFT('JANUARY 10, 2026'!$E828,FIND("-",'JANUARY 10, 2026'!$E828&amp;"-")-1)</f>
        <v/>
      </c>
      <c r="B828" s="41"/>
      <c r="C828" s="41"/>
      <c r="D828" s="42"/>
      <c r="E828" s="26"/>
      <c r="F828" s="43"/>
      <c r="G828" s="40"/>
      <c r="H828" s="44"/>
      <c r="I828" s="33"/>
      <c r="J828" s="34"/>
      <c r="K828" s="32"/>
      <c r="L828" s="35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9.5" customHeight="1">
      <c r="A829" s="36" t="str">
        <f>LEFT('JANUARY 10, 2026'!$E829,FIND("-",'JANUARY 10, 2026'!$E829&amp;"-")-1)</f>
        <v/>
      </c>
      <c r="B829" s="41"/>
      <c r="C829" s="41"/>
      <c r="D829" s="45"/>
      <c r="E829" s="26"/>
      <c r="F829" s="43"/>
      <c r="G829" s="40"/>
      <c r="H829" s="44"/>
      <c r="I829" s="33"/>
      <c r="J829" s="34"/>
      <c r="K829" s="32"/>
      <c r="L829" s="35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9.5" customHeight="1">
      <c r="A830" s="36" t="str">
        <f>LEFT('JANUARY 10, 2026'!$E830,FIND("-",'JANUARY 10, 2026'!$E830&amp;"-")-1)</f>
        <v/>
      </c>
      <c r="B830" s="41"/>
      <c r="C830" s="41"/>
      <c r="D830" s="42"/>
      <c r="E830" s="26"/>
      <c r="F830" s="43"/>
      <c r="G830" s="40"/>
      <c r="H830" s="44"/>
      <c r="I830" s="33"/>
      <c r="J830" s="34"/>
      <c r="K830" s="32"/>
      <c r="L830" s="35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9.5" customHeight="1">
      <c r="A831" s="36" t="str">
        <f>LEFT('JANUARY 10, 2026'!$E831,FIND("-",'JANUARY 10, 2026'!$E831&amp;"-")-1)</f>
        <v/>
      </c>
      <c r="B831" s="41"/>
      <c r="C831" s="41"/>
      <c r="D831" s="42"/>
      <c r="E831" s="26"/>
      <c r="F831" s="43"/>
      <c r="G831" s="40"/>
      <c r="H831" s="44"/>
      <c r="I831" s="33"/>
      <c r="J831" s="34"/>
      <c r="K831" s="32"/>
      <c r="L831" s="35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9.5" customHeight="1">
      <c r="A832" s="36" t="str">
        <f>LEFT('JANUARY 10, 2026'!$E832,FIND("-",'JANUARY 10, 2026'!$E832&amp;"-")-1)</f>
        <v/>
      </c>
      <c r="B832" s="41"/>
      <c r="C832" s="41"/>
      <c r="D832" s="42"/>
      <c r="E832" s="26"/>
      <c r="F832" s="43"/>
      <c r="G832" s="40"/>
      <c r="H832" s="44"/>
      <c r="I832" s="33"/>
      <c r="J832" s="34"/>
      <c r="K832" s="32"/>
      <c r="L832" s="35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9.5" customHeight="1">
      <c r="A833" s="36" t="str">
        <f>LEFT('JANUARY 10, 2026'!$E833,FIND("-",'JANUARY 10, 2026'!$E833&amp;"-")-1)</f>
        <v/>
      </c>
      <c r="B833" s="41"/>
      <c r="C833" s="41"/>
      <c r="D833" s="42"/>
      <c r="E833" s="26"/>
      <c r="F833" s="43"/>
      <c r="G833" s="40"/>
      <c r="H833" s="44"/>
      <c r="I833" s="33"/>
      <c r="J833" s="34"/>
      <c r="K833" s="32"/>
      <c r="L833" s="35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9.5" customHeight="1">
      <c r="A834" s="36" t="str">
        <f>LEFT('JANUARY 10, 2026'!$E834,FIND("-",'JANUARY 10, 2026'!$E834&amp;"-")-1)</f>
        <v/>
      </c>
      <c r="B834" s="41"/>
      <c r="C834" s="41"/>
      <c r="D834" s="42"/>
      <c r="E834" s="26"/>
      <c r="F834" s="43"/>
      <c r="G834" s="40"/>
      <c r="H834" s="44"/>
      <c r="I834" s="33"/>
      <c r="J834" s="34"/>
      <c r="K834" s="32"/>
      <c r="L834" s="35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9.5" customHeight="1">
      <c r="A835" s="36" t="str">
        <f>LEFT('JANUARY 10, 2026'!$E835,FIND("-",'JANUARY 10, 2026'!$E835&amp;"-")-1)</f>
        <v/>
      </c>
      <c r="B835" s="41"/>
      <c r="C835" s="41"/>
      <c r="D835" s="42"/>
      <c r="E835" s="26"/>
      <c r="F835" s="43"/>
      <c r="G835" s="40"/>
      <c r="H835" s="44"/>
      <c r="I835" s="33"/>
      <c r="J835" s="34"/>
      <c r="K835" s="32"/>
      <c r="L835" s="35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9.5" customHeight="1">
      <c r="A836" s="36" t="str">
        <f>LEFT('JANUARY 10, 2026'!$E836,FIND("-",'JANUARY 10, 2026'!$E836&amp;"-")-1)</f>
        <v/>
      </c>
      <c r="B836" s="41"/>
      <c r="C836" s="41"/>
      <c r="D836" s="42"/>
      <c r="E836" s="26"/>
      <c r="F836" s="43"/>
      <c r="G836" s="40"/>
      <c r="H836" s="44"/>
      <c r="I836" s="33"/>
      <c r="J836" s="34"/>
      <c r="K836" s="32"/>
      <c r="L836" s="35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9.5" customHeight="1">
      <c r="A837" s="36" t="str">
        <f>LEFT('JANUARY 10, 2026'!$E837,FIND("-",'JANUARY 10, 2026'!$E837&amp;"-")-1)</f>
        <v/>
      </c>
      <c r="B837" s="41"/>
      <c r="C837" s="41"/>
      <c r="D837" s="42"/>
      <c r="E837" s="26"/>
      <c r="F837" s="43"/>
      <c r="G837" s="40"/>
      <c r="H837" s="44"/>
      <c r="I837" s="33"/>
      <c r="J837" s="34"/>
      <c r="K837" s="32"/>
      <c r="L837" s="35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9.5" customHeight="1">
      <c r="A838" s="36" t="str">
        <f>LEFT('JANUARY 10, 2026'!$E838,FIND("-",'JANUARY 10, 2026'!$E838&amp;"-")-1)</f>
        <v/>
      </c>
      <c r="B838" s="41"/>
      <c r="C838" s="41"/>
      <c r="D838" s="42"/>
      <c r="E838" s="26"/>
      <c r="F838" s="43"/>
      <c r="G838" s="40"/>
      <c r="H838" s="44"/>
      <c r="I838" s="33"/>
      <c r="J838" s="34"/>
      <c r="K838" s="32"/>
      <c r="L838" s="35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9.5" customHeight="1">
      <c r="A839" s="36" t="str">
        <f>LEFT('JANUARY 10, 2026'!$E839,FIND("-",'JANUARY 10, 2026'!$E839&amp;"-")-1)</f>
        <v/>
      </c>
      <c r="B839" s="41"/>
      <c r="C839" s="41"/>
      <c r="D839" s="42"/>
      <c r="E839" s="26"/>
      <c r="F839" s="43"/>
      <c r="G839" s="40"/>
      <c r="H839" s="44"/>
      <c r="I839" s="33"/>
      <c r="J839" s="34"/>
      <c r="K839" s="32"/>
      <c r="L839" s="35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9.5" customHeight="1">
      <c r="A840" s="36" t="str">
        <f>LEFT('JANUARY 10, 2026'!$E840,FIND("-",'JANUARY 10, 2026'!$E840&amp;"-")-1)</f>
        <v/>
      </c>
      <c r="B840" s="41"/>
      <c r="C840" s="41"/>
      <c r="D840" s="42"/>
      <c r="E840" s="26"/>
      <c r="F840" s="43"/>
      <c r="G840" s="40"/>
      <c r="H840" s="44"/>
      <c r="I840" s="33"/>
      <c r="J840" s="34"/>
      <c r="K840" s="32"/>
      <c r="L840" s="35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9.5" customHeight="1">
      <c r="A841" s="36" t="str">
        <f>LEFT('JANUARY 10, 2026'!$E841,FIND("-",'JANUARY 10, 2026'!$E841&amp;"-")-1)</f>
        <v/>
      </c>
      <c r="B841" s="41"/>
      <c r="C841" s="41"/>
      <c r="D841" s="42"/>
      <c r="E841" s="26"/>
      <c r="F841" s="43"/>
      <c r="G841" s="40"/>
      <c r="H841" s="44"/>
      <c r="I841" s="33"/>
      <c r="J841" s="34"/>
      <c r="K841" s="32"/>
      <c r="L841" s="35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9.5" customHeight="1">
      <c r="A842" s="36" t="str">
        <f>LEFT('JANUARY 10, 2026'!$E842,FIND("-",'JANUARY 10, 2026'!$E842&amp;"-")-1)</f>
        <v/>
      </c>
      <c r="B842" s="41"/>
      <c r="C842" s="41"/>
      <c r="D842" s="42"/>
      <c r="E842" s="26"/>
      <c r="F842" s="43"/>
      <c r="G842" s="40"/>
      <c r="H842" s="44"/>
      <c r="I842" s="33"/>
      <c r="J842" s="34"/>
      <c r="K842" s="32"/>
      <c r="L842" s="35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9.5" customHeight="1">
      <c r="A843" s="36" t="str">
        <f>LEFT('JANUARY 10, 2026'!$E843,FIND("-",'JANUARY 10, 2026'!$E843&amp;"-")-1)</f>
        <v/>
      </c>
      <c r="B843" s="41"/>
      <c r="C843" s="41"/>
      <c r="D843" s="42"/>
      <c r="E843" s="26"/>
      <c r="F843" s="43"/>
      <c r="G843" s="40"/>
      <c r="H843" s="44"/>
      <c r="I843" s="33"/>
      <c r="J843" s="34"/>
      <c r="K843" s="32"/>
      <c r="L843" s="35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9.5" customHeight="1">
      <c r="A844" s="36" t="str">
        <f>LEFT('JANUARY 10, 2026'!$E844,FIND("-",'JANUARY 10, 2026'!$E844&amp;"-")-1)</f>
        <v/>
      </c>
      <c r="B844" s="41"/>
      <c r="C844" s="41"/>
      <c r="D844" s="42"/>
      <c r="E844" s="26"/>
      <c r="F844" s="43"/>
      <c r="G844" s="40"/>
      <c r="H844" s="44"/>
      <c r="I844" s="33"/>
      <c r="J844" s="34"/>
      <c r="K844" s="32"/>
      <c r="L844" s="35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9.5" customHeight="1">
      <c r="A845" s="36" t="str">
        <f>LEFT('JANUARY 10, 2026'!$E845,FIND("-",'JANUARY 10, 2026'!$E845&amp;"-")-1)</f>
        <v/>
      </c>
      <c r="B845" s="41"/>
      <c r="C845" s="41"/>
      <c r="D845" s="42"/>
      <c r="E845" s="26"/>
      <c r="F845" s="43"/>
      <c r="G845" s="40"/>
      <c r="H845" s="44"/>
      <c r="I845" s="33"/>
      <c r="J845" s="34"/>
      <c r="K845" s="32"/>
      <c r="L845" s="35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9.5" customHeight="1">
      <c r="A846" s="36" t="str">
        <f>LEFT('JANUARY 10, 2026'!$E846,FIND("-",'JANUARY 10, 2026'!$E846&amp;"-")-1)</f>
        <v/>
      </c>
      <c r="B846" s="41"/>
      <c r="C846" s="41"/>
      <c r="D846" s="42"/>
      <c r="E846" s="26"/>
      <c r="F846" s="43"/>
      <c r="G846" s="40"/>
      <c r="H846" s="44"/>
      <c r="I846" s="33"/>
      <c r="J846" s="34"/>
      <c r="K846" s="32"/>
      <c r="L846" s="35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9.5" customHeight="1">
      <c r="A847" s="36" t="str">
        <f>LEFT('JANUARY 10, 2026'!$E847,FIND("-",'JANUARY 10, 2026'!$E847&amp;"-")-1)</f>
        <v/>
      </c>
      <c r="B847" s="41"/>
      <c r="C847" s="41"/>
      <c r="D847" s="42"/>
      <c r="E847" s="26"/>
      <c r="F847" s="43"/>
      <c r="G847" s="40"/>
      <c r="H847" s="44"/>
      <c r="I847" s="33"/>
      <c r="J847" s="34"/>
      <c r="K847" s="32"/>
      <c r="L847" s="35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9.5" customHeight="1">
      <c r="A848" s="36" t="str">
        <f>LEFT('JANUARY 10, 2026'!$E848,FIND("-",'JANUARY 10, 2026'!$E848&amp;"-")-1)</f>
        <v/>
      </c>
      <c r="B848" s="41"/>
      <c r="C848" s="41"/>
      <c r="D848" s="42"/>
      <c r="E848" s="26"/>
      <c r="F848" s="43"/>
      <c r="G848" s="40"/>
      <c r="H848" s="44"/>
      <c r="I848" s="33"/>
      <c r="J848" s="34"/>
      <c r="K848" s="32"/>
      <c r="L848" s="35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9.5" customHeight="1">
      <c r="A849" s="36" t="str">
        <f>LEFT('JANUARY 10, 2026'!$E849,FIND("-",'JANUARY 10, 2026'!$E849&amp;"-")-1)</f>
        <v/>
      </c>
      <c r="B849" s="41"/>
      <c r="C849" s="41"/>
      <c r="D849" s="42"/>
      <c r="E849" s="26"/>
      <c r="F849" s="43"/>
      <c r="G849" s="40"/>
      <c r="H849" s="44"/>
      <c r="I849" s="33"/>
      <c r="J849" s="34"/>
      <c r="K849" s="32"/>
      <c r="L849" s="35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9.5" customHeight="1">
      <c r="A850" s="36" t="str">
        <f>LEFT('JANUARY 10, 2026'!$E850,FIND("-",'JANUARY 10, 2026'!$E850&amp;"-")-1)</f>
        <v/>
      </c>
      <c r="B850" s="41"/>
      <c r="C850" s="41"/>
      <c r="D850" s="42"/>
      <c r="E850" s="26"/>
      <c r="F850" s="43"/>
      <c r="G850" s="40"/>
      <c r="H850" s="44"/>
      <c r="I850" s="33"/>
      <c r="J850" s="34"/>
      <c r="K850" s="32"/>
      <c r="L850" s="35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9.5" customHeight="1">
      <c r="A851" s="36" t="str">
        <f>LEFT('JANUARY 10, 2026'!$E851,FIND("-",'JANUARY 10, 2026'!$E851&amp;"-")-1)</f>
        <v/>
      </c>
      <c r="B851" s="41"/>
      <c r="C851" s="41"/>
      <c r="D851" s="42"/>
      <c r="E851" s="26"/>
      <c r="F851" s="43"/>
      <c r="G851" s="40"/>
      <c r="H851" s="44"/>
      <c r="I851" s="33"/>
      <c r="J851" s="34"/>
      <c r="K851" s="32"/>
      <c r="L851" s="35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9.5" customHeight="1">
      <c r="A852" s="36" t="str">
        <f>LEFT('JANUARY 10, 2026'!$E852,FIND("-",'JANUARY 10, 2026'!$E852&amp;"-")-1)</f>
        <v/>
      </c>
      <c r="B852" s="41"/>
      <c r="C852" s="41"/>
      <c r="D852" s="42"/>
      <c r="E852" s="26"/>
      <c r="F852" s="43"/>
      <c r="G852" s="40"/>
      <c r="H852" s="44"/>
      <c r="I852" s="33"/>
      <c r="J852" s="34"/>
      <c r="K852" s="32"/>
      <c r="L852" s="35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9.5" customHeight="1">
      <c r="A853" s="36" t="str">
        <f>LEFT('JANUARY 10, 2026'!$E853,FIND("-",'JANUARY 10, 2026'!$E853&amp;"-")-1)</f>
        <v/>
      </c>
      <c r="B853" s="41"/>
      <c r="C853" s="41"/>
      <c r="D853" s="46"/>
      <c r="E853" s="26"/>
      <c r="F853" s="43"/>
      <c r="G853" s="40"/>
      <c r="H853" s="44"/>
      <c r="I853" s="33"/>
      <c r="J853" s="34"/>
      <c r="K853" s="32"/>
      <c r="L853" s="35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9.5" customHeight="1">
      <c r="A854" s="26" t="str">
        <f>LEFT('JANUARY 10, 2026'!$E854,FIND("-",'JANUARY 10, 2026'!$E854&amp;"-")-1)</f>
        <v/>
      </c>
      <c r="B854" s="41"/>
      <c r="C854" s="41"/>
      <c r="D854" s="42"/>
      <c r="E854" s="26"/>
      <c r="F854" s="43"/>
      <c r="G854" s="40"/>
      <c r="H854" s="44"/>
      <c r="I854" s="33"/>
      <c r="J854" s="34"/>
      <c r="K854" s="32"/>
      <c r="L854" s="35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9.5" customHeight="1">
      <c r="A855" s="36" t="str">
        <f>LEFT('JANUARY 10, 2026'!$E855,FIND("-",'JANUARY 10, 2026'!$E855&amp;"-")-1)</f>
        <v/>
      </c>
      <c r="B855" s="41"/>
      <c r="C855" s="41"/>
      <c r="D855" s="42"/>
      <c r="E855" s="26"/>
      <c r="F855" s="43"/>
      <c r="G855" s="40"/>
      <c r="H855" s="44"/>
      <c r="I855" s="33"/>
      <c r="J855" s="34"/>
      <c r="K855" s="32"/>
      <c r="L855" s="35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9.5" customHeight="1">
      <c r="A856" s="36" t="str">
        <f>LEFT('JANUARY 10, 2026'!$E856,FIND("-",'JANUARY 10, 2026'!$E856&amp;"-")-1)</f>
        <v/>
      </c>
      <c r="B856" s="41"/>
      <c r="C856" s="41"/>
      <c r="D856" s="42"/>
      <c r="E856" s="26"/>
      <c r="F856" s="43"/>
      <c r="G856" s="40"/>
      <c r="H856" s="44"/>
      <c r="I856" s="33"/>
      <c r="J856" s="34"/>
      <c r="K856" s="32"/>
      <c r="L856" s="35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9.5" customHeight="1">
      <c r="A857" s="36" t="str">
        <f>LEFT('JANUARY 10, 2026'!$E857,FIND("-",'JANUARY 10, 2026'!$E857&amp;"-")-1)</f>
        <v/>
      </c>
      <c r="B857" s="41"/>
      <c r="C857" s="41"/>
      <c r="D857" s="42"/>
      <c r="E857" s="45"/>
      <c r="F857" s="43"/>
      <c r="G857" s="40"/>
      <c r="H857" s="44"/>
      <c r="I857" s="33"/>
      <c r="J857" s="34"/>
      <c r="K857" s="32"/>
      <c r="L857" s="35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9.5" customHeight="1">
      <c r="A858" s="36" t="str">
        <f>LEFT('JANUARY 10, 2026'!$E858,FIND("-",'JANUARY 10, 2026'!$E858&amp;"-")-1)</f>
        <v/>
      </c>
      <c r="B858" s="41"/>
      <c r="C858" s="41"/>
      <c r="D858" s="42"/>
      <c r="E858" s="45"/>
      <c r="F858" s="43"/>
      <c r="G858" s="40"/>
      <c r="H858" s="44"/>
      <c r="I858" s="33"/>
      <c r="J858" s="34"/>
      <c r="K858" s="32"/>
      <c r="L858" s="35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9.5" customHeight="1">
      <c r="A859" s="36" t="str">
        <f>LEFT('JANUARY 10, 2026'!$E859,FIND("-",'JANUARY 10, 2026'!$E859&amp;"-")-1)</f>
        <v/>
      </c>
      <c r="B859" s="41"/>
      <c r="C859" s="41"/>
      <c r="D859" s="42"/>
      <c r="E859" s="45"/>
      <c r="F859" s="43"/>
      <c r="G859" s="40"/>
      <c r="H859" s="44"/>
      <c r="I859" s="33"/>
      <c r="J859" s="34"/>
      <c r="K859" s="32"/>
      <c r="L859" s="35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9.5" customHeight="1">
      <c r="A860" s="36" t="str">
        <f>LEFT('JANUARY 10, 2026'!$E860,FIND("-",'JANUARY 10, 2026'!$E860&amp;"-")-1)</f>
        <v/>
      </c>
      <c r="B860" s="41"/>
      <c r="C860" s="41"/>
      <c r="D860" s="42"/>
      <c r="E860" s="45"/>
      <c r="F860" s="43"/>
      <c r="G860" s="40"/>
      <c r="H860" s="44"/>
      <c r="I860" s="33"/>
      <c r="J860" s="34"/>
      <c r="K860" s="32"/>
      <c r="L860" s="35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9.5" customHeight="1">
      <c r="A861" s="36" t="str">
        <f>LEFT('JANUARY 10, 2026'!$E861,FIND("-",'JANUARY 10, 2026'!$E861&amp;"-")-1)</f>
        <v/>
      </c>
      <c r="B861" s="41"/>
      <c r="C861" s="41"/>
      <c r="D861" s="42"/>
      <c r="E861" s="45"/>
      <c r="F861" s="43"/>
      <c r="G861" s="40"/>
      <c r="H861" s="44"/>
      <c r="I861" s="33"/>
      <c r="J861" s="34"/>
      <c r="K861" s="32"/>
      <c r="L861" s="35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9.5" customHeight="1">
      <c r="A862" s="36" t="str">
        <f>LEFT('JANUARY 10, 2026'!$E862,FIND("-",'JANUARY 10, 2026'!$E862&amp;"-")-1)</f>
        <v/>
      </c>
      <c r="B862" s="41"/>
      <c r="C862" s="41"/>
      <c r="D862" s="42"/>
      <c r="E862" s="45"/>
      <c r="F862" s="43"/>
      <c r="G862" s="40"/>
      <c r="H862" s="44"/>
      <c r="I862" s="33"/>
      <c r="J862" s="34"/>
      <c r="K862" s="32"/>
      <c r="L862" s="35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9.5" customHeight="1">
      <c r="A863" s="36" t="str">
        <f>LEFT('JANUARY 10, 2026'!$E863,FIND("-",'JANUARY 10, 2026'!$E863&amp;"-")-1)</f>
        <v/>
      </c>
      <c r="B863" s="41"/>
      <c r="C863" s="41"/>
      <c r="D863" s="42"/>
      <c r="E863" s="45"/>
      <c r="F863" s="43"/>
      <c r="G863" s="40"/>
      <c r="H863" s="44"/>
      <c r="I863" s="33"/>
      <c r="J863" s="34"/>
      <c r="K863" s="32"/>
      <c r="L863" s="35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9.5" customHeight="1">
      <c r="A864" s="36" t="str">
        <f>LEFT('JANUARY 10, 2026'!$E864,FIND("-",'JANUARY 10, 2026'!$E864&amp;"-")-1)</f>
        <v/>
      </c>
      <c r="B864" s="41"/>
      <c r="C864" s="41"/>
      <c r="D864" s="42"/>
      <c r="E864" s="45"/>
      <c r="F864" s="43"/>
      <c r="G864" s="40"/>
      <c r="H864" s="44"/>
      <c r="I864" s="33"/>
      <c r="J864" s="34"/>
      <c r="K864" s="32"/>
      <c r="L864" s="35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9.5" customHeight="1">
      <c r="A865" s="36" t="str">
        <f>LEFT('JANUARY 10, 2026'!$E865,FIND("-",'JANUARY 10, 2026'!$E865&amp;"-")-1)</f>
        <v/>
      </c>
      <c r="B865" s="41"/>
      <c r="C865" s="41"/>
      <c r="D865" s="42"/>
      <c r="E865" s="45"/>
      <c r="F865" s="43"/>
      <c r="G865" s="40"/>
      <c r="H865" s="44"/>
      <c r="I865" s="33"/>
      <c r="J865" s="34"/>
      <c r="K865" s="32"/>
      <c r="L865" s="35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9.5" customHeight="1">
      <c r="A866" s="36" t="str">
        <f>LEFT('JANUARY 10, 2026'!$E866,FIND("-",'JANUARY 10, 2026'!$E866&amp;"-")-1)</f>
        <v/>
      </c>
      <c r="B866" s="41"/>
      <c r="C866" s="41"/>
      <c r="D866" s="42"/>
      <c r="E866" s="26"/>
      <c r="F866" s="43"/>
      <c r="G866" s="40"/>
      <c r="H866" s="44"/>
      <c r="I866" s="33"/>
      <c r="J866" s="34"/>
      <c r="K866" s="32"/>
      <c r="L866" s="35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9.5" customHeight="1">
      <c r="A867" s="36" t="str">
        <f>LEFT('JANUARY 10, 2026'!$E867,FIND("-",'JANUARY 10, 2026'!$E867&amp;"-")-1)</f>
        <v/>
      </c>
      <c r="B867" s="41"/>
      <c r="C867" s="41"/>
      <c r="D867" s="45"/>
      <c r="E867" s="45"/>
      <c r="F867" s="43"/>
      <c r="G867" s="40"/>
      <c r="H867" s="44"/>
      <c r="I867" s="33"/>
      <c r="J867" s="34"/>
      <c r="K867" s="32"/>
      <c r="L867" s="35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9.5" customHeight="1">
      <c r="A868" s="36" t="str">
        <f>LEFT('JANUARY 10, 2026'!$E868,FIND("-",'JANUARY 10, 2026'!$E868&amp;"-")-1)</f>
        <v/>
      </c>
      <c r="B868" s="41"/>
      <c r="C868" s="41"/>
      <c r="D868" s="45"/>
      <c r="E868" s="45"/>
      <c r="F868" s="43"/>
      <c r="G868" s="40"/>
      <c r="H868" s="44"/>
      <c r="I868" s="33"/>
      <c r="J868" s="34"/>
      <c r="K868" s="32"/>
      <c r="L868" s="35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9.5" customHeight="1">
      <c r="A869" s="36" t="str">
        <f>LEFT('JANUARY 10, 2026'!$E869,FIND("-",'JANUARY 10, 2026'!$E869&amp;"-")-1)</f>
        <v/>
      </c>
      <c r="B869" s="41"/>
      <c r="C869" s="41"/>
      <c r="D869" s="45"/>
      <c r="E869" s="45"/>
      <c r="F869" s="43"/>
      <c r="G869" s="40"/>
      <c r="H869" s="44"/>
      <c r="I869" s="33"/>
      <c r="J869" s="34"/>
      <c r="K869" s="32"/>
      <c r="L869" s="35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9.5" customHeight="1">
      <c r="A870" s="36" t="str">
        <f>LEFT('JANUARY 10, 2026'!$E870,FIND("-",'JANUARY 10, 2026'!$E870&amp;"-")-1)</f>
        <v/>
      </c>
      <c r="B870" s="41"/>
      <c r="C870" s="41"/>
      <c r="D870" s="42"/>
      <c r="E870" s="26"/>
      <c r="F870" s="43"/>
      <c r="G870" s="40"/>
      <c r="H870" s="44"/>
      <c r="I870" s="33"/>
      <c r="J870" s="34"/>
      <c r="K870" s="32"/>
      <c r="L870" s="35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9.5" customHeight="1">
      <c r="A871" s="36" t="str">
        <f>LEFT('JANUARY 10, 2026'!$E871,FIND("-",'JANUARY 10, 2026'!$E871&amp;"-")-1)</f>
        <v/>
      </c>
      <c r="B871" s="41"/>
      <c r="C871" s="41"/>
      <c r="D871" s="45"/>
      <c r="E871" s="45"/>
      <c r="F871" s="43"/>
      <c r="G871" s="40"/>
      <c r="H871" s="44"/>
      <c r="I871" s="33"/>
      <c r="J871" s="34"/>
      <c r="K871" s="32"/>
      <c r="L871" s="35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9.5" customHeight="1">
      <c r="A872" s="36" t="str">
        <f>LEFT('JANUARY 10, 2026'!$E872,FIND("-",'JANUARY 10, 2026'!$E872&amp;"-")-1)</f>
        <v/>
      </c>
      <c r="B872" s="41"/>
      <c r="C872" s="41"/>
      <c r="D872" s="42"/>
      <c r="E872" s="26"/>
      <c r="F872" s="43"/>
      <c r="G872" s="40"/>
      <c r="H872" s="44"/>
      <c r="I872" s="33"/>
      <c r="J872" s="34"/>
      <c r="K872" s="32"/>
      <c r="L872" s="35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9.5" customHeight="1">
      <c r="A873" s="36" t="str">
        <f>LEFT('JANUARY 10, 2026'!$E873,FIND("-",'JANUARY 10, 2026'!$E873&amp;"-")-1)</f>
        <v/>
      </c>
      <c r="B873" s="41"/>
      <c r="C873" s="41"/>
      <c r="D873" s="42"/>
      <c r="E873" s="26"/>
      <c r="F873" s="43"/>
      <c r="G873" s="40"/>
      <c r="H873" s="44"/>
      <c r="I873" s="33"/>
      <c r="J873" s="34"/>
      <c r="K873" s="32"/>
      <c r="L873" s="35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9.5" customHeight="1">
      <c r="A874" s="36" t="str">
        <f>LEFT('JANUARY 10, 2026'!$E874,FIND("-",'JANUARY 10, 2026'!$E874&amp;"-")-1)</f>
        <v/>
      </c>
      <c r="B874" s="41"/>
      <c r="C874" s="41"/>
      <c r="D874" s="45"/>
      <c r="E874" s="45"/>
      <c r="F874" s="43"/>
      <c r="G874" s="40"/>
      <c r="H874" s="44"/>
      <c r="I874" s="33"/>
      <c r="J874" s="34"/>
      <c r="K874" s="32"/>
      <c r="L874" s="35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9.5" customHeight="1">
      <c r="A875" s="36" t="str">
        <f>LEFT('JANUARY 10, 2026'!$E875,FIND("-",'JANUARY 10, 2026'!$E875&amp;"-")-1)</f>
        <v/>
      </c>
      <c r="B875" s="41"/>
      <c r="C875" s="41"/>
      <c r="D875" s="45"/>
      <c r="E875" s="45"/>
      <c r="F875" s="43"/>
      <c r="G875" s="40"/>
      <c r="H875" s="44"/>
      <c r="I875" s="33"/>
      <c r="J875" s="34"/>
      <c r="K875" s="32"/>
      <c r="L875" s="35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9.5" customHeight="1">
      <c r="A876" s="36" t="str">
        <f>LEFT('JANUARY 10, 2026'!$E876,FIND("-",'JANUARY 10, 2026'!$E876&amp;"-")-1)</f>
        <v/>
      </c>
      <c r="B876" s="41"/>
      <c r="C876" s="41"/>
      <c r="D876" s="45"/>
      <c r="E876" s="45"/>
      <c r="F876" s="43"/>
      <c r="G876" s="40"/>
      <c r="H876" s="44"/>
      <c r="I876" s="33"/>
      <c r="J876" s="34"/>
      <c r="K876" s="32"/>
      <c r="L876" s="35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9.5" customHeight="1">
      <c r="A877" s="36" t="str">
        <f>LEFT('JANUARY 10, 2026'!$E877,FIND("-",'JANUARY 10, 2026'!$E877&amp;"-")-1)</f>
        <v/>
      </c>
      <c r="B877" s="41"/>
      <c r="C877" s="41"/>
      <c r="D877" s="45"/>
      <c r="E877" s="45"/>
      <c r="F877" s="43"/>
      <c r="G877" s="40"/>
      <c r="H877" s="44"/>
      <c r="I877" s="33"/>
      <c r="J877" s="34"/>
      <c r="K877" s="32"/>
      <c r="L877" s="35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9.5" customHeight="1">
      <c r="A878" s="36" t="str">
        <f>LEFT('JANUARY 10, 2026'!$E878,FIND("-",'JANUARY 10, 2026'!$E878&amp;"-")-1)</f>
        <v/>
      </c>
      <c r="B878" s="41"/>
      <c r="C878" s="41"/>
      <c r="D878" s="45"/>
      <c r="E878" s="45"/>
      <c r="F878" s="43"/>
      <c r="G878" s="40"/>
      <c r="H878" s="44"/>
      <c r="I878" s="33"/>
      <c r="J878" s="34"/>
      <c r="K878" s="32"/>
      <c r="L878" s="35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9.5" customHeight="1">
      <c r="A879" s="36" t="str">
        <f>LEFT('JANUARY 10, 2026'!$E879,FIND("-",'JANUARY 10, 2026'!$E879&amp;"-")-1)</f>
        <v/>
      </c>
      <c r="B879" s="41"/>
      <c r="C879" s="41"/>
      <c r="D879" s="45"/>
      <c r="E879" s="45"/>
      <c r="F879" s="43"/>
      <c r="G879" s="40"/>
      <c r="H879" s="44"/>
      <c r="I879" s="33"/>
      <c r="J879" s="34"/>
      <c r="K879" s="32"/>
      <c r="L879" s="35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9.5" customHeight="1">
      <c r="A880" s="36" t="str">
        <f>LEFT('JANUARY 10, 2026'!$E880,FIND("-",'JANUARY 10, 2026'!$E880&amp;"-")-1)</f>
        <v/>
      </c>
      <c r="B880" s="41"/>
      <c r="C880" s="41"/>
      <c r="D880" s="45"/>
      <c r="E880" s="45"/>
      <c r="F880" s="43"/>
      <c r="G880" s="40"/>
      <c r="H880" s="44"/>
      <c r="I880" s="33"/>
      <c r="J880" s="34"/>
      <c r="K880" s="32"/>
      <c r="L880" s="35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9.5" customHeight="1">
      <c r="A881" s="36" t="str">
        <f>LEFT('JANUARY 10, 2026'!$E881,FIND("-",'JANUARY 10, 2026'!$E881&amp;"-")-1)</f>
        <v/>
      </c>
      <c r="B881" s="41"/>
      <c r="C881" s="41"/>
      <c r="D881" s="45"/>
      <c r="E881" s="45"/>
      <c r="F881" s="43"/>
      <c r="G881" s="40"/>
      <c r="H881" s="44"/>
      <c r="I881" s="33"/>
      <c r="J881" s="34"/>
      <c r="K881" s="32"/>
      <c r="L881" s="35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9.5" customHeight="1">
      <c r="A882" s="36" t="str">
        <f>LEFT('JANUARY 10, 2026'!$E882,FIND("-",'JANUARY 10, 2026'!$E882&amp;"-")-1)</f>
        <v/>
      </c>
      <c r="B882" s="41"/>
      <c r="C882" s="41"/>
      <c r="D882" s="45"/>
      <c r="E882" s="45"/>
      <c r="F882" s="43"/>
      <c r="G882" s="40"/>
      <c r="H882" s="44"/>
      <c r="I882" s="33"/>
      <c r="J882" s="34"/>
      <c r="K882" s="32"/>
      <c r="L882" s="35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9.5" customHeight="1">
      <c r="A883" s="36" t="str">
        <f>LEFT('JANUARY 10, 2026'!$E883,FIND("-",'JANUARY 10, 2026'!$E883&amp;"-")-1)</f>
        <v/>
      </c>
      <c r="B883" s="41"/>
      <c r="C883" s="41"/>
      <c r="D883" s="45"/>
      <c r="E883" s="45"/>
      <c r="F883" s="43"/>
      <c r="G883" s="40"/>
      <c r="H883" s="44"/>
      <c r="I883" s="33"/>
      <c r="J883" s="34"/>
      <c r="K883" s="32"/>
      <c r="L883" s="35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9.5" customHeight="1">
      <c r="A884" s="36" t="str">
        <f>LEFT('JANUARY 10, 2026'!$E884,FIND("-",'JANUARY 10, 2026'!$E884&amp;"-")-1)</f>
        <v/>
      </c>
      <c r="B884" s="41"/>
      <c r="C884" s="41"/>
      <c r="D884" s="45"/>
      <c r="E884" s="45"/>
      <c r="F884" s="43"/>
      <c r="G884" s="40"/>
      <c r="H884" s="44"/>
      <c r="I884" s="33"/>
      <c r="J884" s="34"/>
      <c r="K884" s="32"/>
      <c r="L884" s="35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9.5" customHeight="1">
      <c r="A885" s="36" t="str">
        <f>LEFT('JANUARY 10, 2026'!$E885,FIND("-",'JANUARY 10, 2026'!$E885&amp;"-")-1)</f>
        <v/>
      </c>
      <c r="B885" s="41"/>
      <c r="C885" s="41"/>
      <c r="D885" s="45"/>
      <c r="E885" s="45"/>
      <c r="F885" s="43"/>
      <c r="G885" s="40"/>
      <c r="H885" s="44"/>
      <c r="I885" s="33"/>
      <c r="J885" s="34"/>
      <c r="K885" s="32"/>
      <c r="L885" s="35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9.5" customHeight="1">
      <c r="A886" s="36" t="str">
        <f>LEFT('JANUARY 10, 2026'!$E886,FIND("-",'JANUARY 10, 2026'!$E886&amp;"-")-1)</f>
        <v/>
      </c>
      <c r="B886" s="41"/>
      <c r="C886" s="41"/>
      <c r="D886" s="45"/>
      <c r="E886" s="45"/>
      <c r="F886" s="43"/>
      <c r="G886" s="40"/>
      <c r="H886" s="44"/>
      <c r="I886" s="33"/>
      <c r="J886" s="34"/>
      <c r="K886" s="32"/>
      <c r="L886" s="35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9.5" customHeight="1">
      <c r="A887" s="36" t="str">
        <f>LEFT('JANUARY 10, 2026'!$E887,FIND("-",'JANUARY 10, 2026'!$E887&amp;"-")-1)</f>
        <v/>
      </c>
      <c r="B887" s="41"/>
      <c r="C887" s="41"/>
      <c r="D887" s="42"/>
      <c r="E887" s="26"/>
      <c r="F887" s="43"/>
      <c r="G887" s="40"/>
      <c r="H887" s="44"/>
      <c r="I887" s="33"/>
      <c r="J887" s="34"/>
      <c r="K887" s="32"/>
      <c r="L887" s="35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9.5" customHeight="1">
      <c r="A888" s="36" t="str">
        <f>LEFT('JANUARY 10, 2026'!$E888,FIND("-",'JANUARY 10, 2026'!$E888&amp;"-")-1)</f>
        <v/>
      </c>
      <c r="B888" s="41"/>
      <c r="C888" s="41"/>
      <c r="D888" s="42"/>
      <c r="E888" s="26"/>
      <c r="F888" s="43"/>
      <c r="G888" s="40"/>
      <c r="H888" s="44"/>
      <c r="I888" s="33"/>
      <c r="J888" s="34"/>
      <c r="K888" s="32"/>
      <c r="L888" s="35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9.5" customHeight="1">
      <c r="A889" s="36" t="str">
        <f>LEFT('JANUARY 10, 2026'!$E889,FIND("-",'JANUARY 10, 2026'!$E889&amp;"-")-1)</f>
        <v/>
      </c>
      <c r="B889" s="41"/>
      <c r="C889" s="41"/>
      <c r="D889" s="42"/>
      <c r="E889" s="26"/>
      <c r="F889" s="43"/>
      <c r="G889" s="40"/>
      <c r="H889" s="44"/>
      <c r="I889" s="33"/>
      <c r="J889" s="34"/>
      <c r="K889" s="32"/>
      <c r="L889" s="35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9.5" customHeight="1">
      <c r="A890" s="36" t="str">
        <f>LEFT('JANUARY 10, 2026'!$E890,FIND("-",'JANUARY 10, 2026'!$E890&amp;"-")-1)</f>
        <v/>
      </c>
      <c r="B890" s="41"/>
      <c r="C890" s="41"/>
      <c r="D890" s="45"/>
      <c r="E890" s="45"/>
      <c r="F890" s="43"/>
      <c r="G890" s="40"/>
      <c r="H890" s="44"/>
      <c r="I890" s="33"/>
      <c r="J890" s="34"/>
      <c r="K890" s="32"/>
      <c r="L890" s="35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9.5" customHeight="1">
      <c r="A891" s="36" t="str">
        <f>LEFT('JANUARY 10, 2026'!$E891,FIND("-",'JANUARY 10, 2026'!$E891&amp;"-")-1)</f>
        <v/>
      </c>
      <c r="B891" s="41"/>
      <c r="C891" s="41"/>
      <c r="D891" s="45"/>
      <c r="E891" s="45"/>
      <c r="F891" s="43"/>
      <c r="G891" s="40"/>
      <c r="H891" s="44"/>
      <c r="I891" s="33"/>
      <c r="J891" s="34"/>
      <c r="K891" s="32"/>
      <c r="L891" s="35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9.5" customHeight="1">
      <c r="A892" s="36" t="str">
        <f>LEFT('JANUARY 10, 2026'!$E892,FIND("-",'JANUARY 10, 2026'!$E892&amp;"-")-1)</f>
        <v/>
      </c>
      <c r="B892" s="41"/>
      <c r="C892" s="41"/>
      <c r="D892" s="42"/>
      <c r="E892" s="26"/>
      <c r="F892" s="43"/>
      <c r="G892" s="40"/>
      <c r="H892" s="44"/>
      <c r="I892" s="33"/>
      <c r="J892" s="34"/>
      <c r="K892" s="32"/>
      <c r="L892" s="35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9.5" customHeight="1">
      <c r="A893" s="36" t="str">
        <f>LEFT('JANUARY 10, 2026'!$E893,FIND("-",'JANUARY 10, 2026'!$E893&amp;"-")-1)</f>
        <v/>
      </c>
      <c r="B893" s="41"/>
      <c r="C893" s="41"/>
      <c r="D893" s="42"/>
      <c r="E893" s="26"/>
      <c r="F893" s="43"/>
      <c r="G893" s="40"/>
      <c r="H893" s="44"/>
      <c r="I893" s="33"/>
      <c r="J893" s="34"/>
      <c r="K893" s="32"/>
      <c r="L893" s="35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9.5" customHeight="1">
      <c r="A894" s="36" t="str">
        <f>LEFT('JANUARY 10, 2026'!$E894,FIND("-",'JANUARY 10, 2026'!$E894&amp;"-")-1)</f>
        <v/>
      </c>
      <c r="B894" s="41"/>
      <c r="C894" s="41"/>
      <c r="D894" s="42"/>
      <c r="E894" s="26"/>
      <c r="F894" s="43"/>
      <c r="G894" s="40"/>
      <c r="H894" s="44"/>
      <c r="I894" s="33"/>
      <c r="J894" s="34"/>
      <c r="K894" s="32"/>
      <c r="L894" s="35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9.5" customHeight="1">
      <c r="A895" s="36" t="str">
        <f>LEFT('JANUARY 10, 2026'!$E895,FIND("-",'JANUARY 10, 2026'!$E895&amp;"-")-1)</f>
        <v/>
      </c>
      <c r="B895" s="41"/>
      <c r="C895" s="41"/>
      <c r="D895" s="45"/>
      <c r="E895" s="45"/>
      <c r="F895" s="43"/>
      <c r="G895" s="40"/>
      <c r="H895" s="44"/>
      <c r="I895" s="33"/>
      <c r="J895" s="34"/>
      <c r="K895" s="32"/>
      <c r="L895" s="35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9.5" customHeight="1">
      <c r="A896" s="36" t="str">
        <f>LEFT('JANUARY 10, 2026'!$E896,FIND("-",'JANUARY 10, 2026'!$E896&amp;"-")-1)</f>
        <v/>
      </c>
      <c r="B896" s="41"/>
      <c r="C896" s="41"/>
      <c r="D896" s="42"/>
      <c r="E896" s="26"/>
      <c r="F896" s="43"/>
      <c r="G896" s="40"/>
      <c r="H896" s="44"/>
      <c r="I896" s="33"/>
      <c r="J896" s="34"/>
      <c r="K896" s="32"/>
      <c r="L896" s="35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9.5" customHeight="1">
      <c r="A897" s="36" t="str">
        <f>LEFT('JANUARY 10, 2026'!$E897,FIND("-",'JANUARY 10, 2026'!$E897&amp;"-")-1)</f>
        <v/>
      </c>
      <c r="B897" s="41"/>
      <c r="C897" s="41"/>
      <c r="D897" s="42"/>
      <c r="E897" s="26"/>
      <c r="F897" s="43"/>
      <c r="G897" s="40"/>
      <c r="H897" s="44"/>
      <c r="I897" s="33"/>
      <c r="J897" s="34"/>
      <c r="K897" s="32"/>
      <c r="L897" s="35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9.5" customHeight="1">
      <c r="A898" s="36" t="str">
        <f>LEFT('JANUARY 10, 2026'!$E898,FIND("-",'JANUARY 10, 2026'!$E898&amp;"-")-1)</f>
        <v/>
      </c>
      <c r="B898" s="41"/>
      <c r="C898" s="41"/>
      <c r="D898" s="45"/>
      <c r="E898" s="45"/>
      <c r="F898" s="43"/>
      <c r="G898" s="40"/>
      <c r="H898" s="44"/>
      <c r="I898" s="33"/>
      <c r="J898" s="34"/>
      <c r="K898" s="32"/>
      <c r="L898" s="35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9.5" customHeight="1">
      <c r="A899" s="36" t="str">
        <f>LEFT('JANUARY 10, 2026'!$E899,FIND("-",'JANUARY 10, 2026'!$E899&amp;"-")-1)</f>
        <v/>
      </c>
      <c r="B899" s="41"/>
      <c r="C899" s="41"/>
      <c r="D899" s="45"/>
      <c r="E899" s="45"/>
      <c r="F899" s="43"/>
      <c r="G899" s="40"/>
      <c r="H899" s="44"/>
      <c r="I899" s="33"/>
      <c r="J899" s="34"/>
      <c r="K899" s="32"/>
      <c r="L899" s="35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9.5" customHeight="1">
      <c r="A900" s="36" t="str">
        <f>LEFT('JANUARY 10, 2026'!$E900,FIND("-",'JANUARY 10, 2026'!$E900&amp;"-")-1)</f>
        <v/>
      </c>
      <c r="B900" s="41"/>
      <c r="C900" s="41"/>
      <c r="D900" s="45"/>
      <c r="E900" s="45"/>
      <c r="F900" s="43"/>
      <c r="G900" s="40"/>
      <c r="H900" s="44"/>
      <c r="I900" s="33"/>
      <c r="J900" s="34"/>
      <c r="K900" s="32"/>
      <c r="L900" s="35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9.5" customHeight="1">
      <c r="A901" s="36" t="str">
        <f>LEFT('JANUARY 10, 2026'!$E901,FIND("-",'JANUARY 10, 2026'!$E901&amp;"-")-1)</f>
        <v/>
      </c>
      <c r="B901" s="41"/>
      <c r="C901" s="41"/>
      <c r="D901" s="45"/>
      <c r="E901" s="45"/>
      <c r="F901" s="43"/>
      <c r="G901" s="40"/>
      <c r="H901" s="44"/>
      <c r="I901" s="33"/>
      <c r="J901" s="34"/>
      <c r="K901" s="32"/>
      <c r="L901" s="35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9.5" customHeight="1">
      <c r="A902" s="36" t="str">
        <f>LEFT('JANUARY 10, 2026'!$E902,FIND("-",'JANUARY 10, 2026'!$E902&amp;"-")-1)</f>
        <v/>
      </c>
      <c r="B902" s="41"/>
      <c r="C902" s="41"/>
      <c r="D902" s="42"/>
      <c r="E902" s="26"/>
      <c r="F902" s="43"/>
      <c r="G902" s="40"/>
      <c r="H902" s="44"/>
      <c r="I902" s="33"/>
      <c r="J902" s="34"/>
      <c r="K902" s="32"/>
      <c r="L902" s="35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9.5" customHeight="1">
      <c r="A903" s="36" t="str">
        <f>LEFT('JANUARY 10, 2026'!$E903,FIND("-",'JANUARY 10, 2026'!$E903&amp;"-")-1)</f>
        <v/>
      </c>
      <c r="B903" s="41"/>
      <c r="C903" s="41"/>
      <c r="D903" s="42"/>
      <c r="E903" s="26"/>
      <c r="F903" s="43"/>
      <c r="G903" s="40"/>
      <c r="H903" s="44"/>
      <c r="I903" s="33"/>
      <c r="J903" s="34"/>
      <c r="K903" s="32"/>
      <c r="L903" s="35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9.5" customHeight="1">
      <c r="A904" s="36" t="str">
        <f>LEFT('JANUARY 10, 2026'!$E904,FIND("-",'JANUARY 10, 2026'!$E904&amp;"-")-1)</f>
        <v/>
      </c>
      <c r="B904" s="41"/>
      <c r="C904" s="41"/>
      <c r="D904" s="42"/>
      <c r="E904" s="26"/>
      <c r="F904" s="43"/>
      <c r="G904" s="40"/>
      <c r="H904" s="44"/>
      <c r="I904" s="33"/>
      <c r="J904" s="34"/>
      <c r="K904" s="32"/>
      <c r="L904" s="35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9.5" customHeight="1">
      <c r="A905" s="36" t="str">
        <f>LEFT('JANUARY 10, 2026'!$E905,FIND("-",'JANUARY 10, 2026'!$E905&amp;"-")-1)</f>
        <v/>
      </c>
      <c r="B905" s="41"/>
      <c r="C905" s="41"/>
      <c r="D905" s="42"/>
      <c r="E905" s="26"/>
      <c r="F905" s="43"/>
      <c r="G905" s="40"/>
      <c r="H905" s="44"/>
      <c r="I905" s="33"/>
      <c r="J905" s="34"/>
      <c r="K905" s="32"/>
      <c r="L905" s="35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9.5" customHeight="1">
      <c r="A906" s="36" t="str">
        <f>LEFT('JANUARY 10, 2026'!$E906,FIND("-",'JANUARY 10, 2026'!$E906&amp;"-")-1)</f>
        <v/>
      </c>
      <c r="B906" s="41"/>
      <c r="C906" s="41"/>
      <c r="D906" s="42"/>
      <c r="E906" s="26"/>
      <c r="F906" s="43"/>
      <c r="G906" s="40"/>
      <c r="H906" s="44"/>
      <c r="I906" s="33"/>
      <c r="J906" s="34"/>
      <c r="K906" s="32"/>
      <c r="L906" s="35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9.5" customHeight="1">
      <c r="A907" s="36" t="str">
        <f>LEFT('JANUARY 10, 2026'!$E907,FIND("-",'JANUARY 10, 2026'!$E907&amp;"-")-1)</f>
        <v/>
      </c>
      <c r="B907" s="41"/>
      <c r="C907" s="41"/>
      <c r="D907" s="42"/>
      <c r="E907" s="26"/>
      <c r="F907" s="43"/>
      <c r="G907" s="40"/>
      <c r="H907" s="44"/>
      <c r="I907" s="33"/>
      <c r="J907" s="34"/>
      <c r="K907" s="32"/>
      <c r="L907" s="35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9.5" customHeight="1">
      <c r="A908" s="36" t="str">
        <f>LEFT('JANUARY 10, 2026'!$E908,FIND("-",'JANUARY 10, 2026'!$E908&amp;"-")-1)</f>
        <v/>
      </c>
      <c r="B908" s="41"/>
      <c r="C908" s="41"/>
      <c r="D908" s="42"/>
      <c r="E908" s="26"/>
      <c r="F908" s="43"/>
      <c r="G908" s="40"/>
      <c r="H908" s="44"/>
      <c r="I908" s="33"/>
      <c r="J908" s="34"/>
      <c r="K908" s="32"/>
      <c r="L908" s="35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9.5" customHeight="1">
      <c r="A909" s="36" t="str">
        <f>LEFT('JANUARY 10, 2026'!$E909,FIND("-",'JANUARY 10, 2026'!$E909&amp;"-")-1)</f>
        <v/>
      </c>
      <c r="B909" s="41"/>
      <c r="C909" s="41"/>
      <c r="D909" s="42"/>
      <c r="E909" s="26"/>
      <c r="F909" s="43"/>
      <c r="G909" s="40"/>
      <c r="H909" s="44"/>
      <c r="I909" s="33"/>
      <c r="J909" s="34"/>
      <c r="K909" s="32"/>
      <c r="L909" s="35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9.5" customHeight="1">
      <c r="A910" s="36" t="str">
        <f>LEFT('JANUARY 10, 2026'!$E910,FIND("-",'JANUARY 10, 2026'!$E910&amp;"-")-1)</f>
        <v/>
      </c>
      <c r="B910" s="41"/>
      <c r="C910" s="41"/>
      <c r="D910" s="42"/>
      <c r="E910" s="26"/>
      <c r="F910" s="43"/>
      <c r="G910" s="40"/>
      <c r="H910" s="44"/>
      <c r="I910" s="33"/>
      <c r="J910" s="34"/>
      <c r="K910" s="32"/>
      <c r="L910" s="35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9.5" customHeight="1">
      <c r="A911" s="36" t="str">
        <f>LEFT('JANUARY 10, 2026'!$E911,FIND("-",'JANUARY 10, 2026'!$E911&amp;"-")-1)</f>
        <v/>
      </c>
      <c r="B911" s="41"/>
      <c r="C911" s="41"/>
      <c r="D911" s="42"/>
      <c r="E911" s="26"/>
      <c r="F911" s="43"/>
      <c r="G911" s="40"/>
      <c r="H911" s="44"/>
      <c r="I911" s="33"/>
      <c r="J911" s="34"/>
      <c r="K911" s="32"/>
      <c r="L911" s="35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9.5" customHeight="1">
      <c r="A912" s="36" t="str">
        <f>LEFT('JANUARY 10, 2026'!$E912,FIND("-",'JANUARY 10, 2026'!$E912&amp;"-")-1)</f>
        <v/>
      </c>
      <c r="B912" s="41"/>
      <c r="C912" s="41"/>
      <c r="D912" s="42"/>
      <c r="E912" s="26"/>
      <c r="F912" s="43"/>
      <c r="G912" s="40"/>
      <c r="H912" s="44"/>
      <c r="I912" s="33"/>
      <c r="J912" s="34"/>
      <c r="K912" s="32"/>
      <c r="L912" s="35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9.5" customHeight="1">
      <c r="A913" s="36" t="str">
        <f>LEFT('JANUARY 10, 2026'!$E913,FIND("-",'JANUARY 10, 2026'!$E913&amp;"-")-1)</f>
        <v/>
      </c>
      <c r="B913" s="41"/>
      <c r="C913" s="41"/>
      <c r="D913" s="42"/>
      <c r="E913" s="26"/>
      <c r="F913" s="43"/>
      <c r="G913" s="40"/>
      <c r="H913" s="44"/>
      <c r="I913" s="33"/>
      <c r="J913" s="34"/>
      <c r="K913" s="32"/>
      <c r="L913" s="35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9.5" customHeight="1">
      <c r="A914" s="36" t="str">
        <f>LEFT('JANUARY 10, 2026'!$E914,FIND("-",'JANUARY 10, 2026'!$E914&amp;"-")-1)</f>
        <v/>
      </c>
      <c r="B914" s="41"/>
      <c r="C914" s="41"/>
      <c r="D914" s="42"/>
      <c r="E914" s="26"/>
      <c r="F914" s="43"/>
      <c r="G914" s="40"/>
      <c r="H914" s="44"/>
      <c r="I914" s="33"/>
      <c r="J914" s="34"/>
      <c r="K914" s="32"/>
      <c r="L914" s="35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9.5" customHeight="1">
      <c r="A915" s="36" t="str">
        <f>LEFT('JANUARY 10, 2026'!$E915,FIND("-",'JANUARY 10, 2026'!$E915&amp;"-")-1)</f>
        <v/>
      </c>
      <c r="B915" s="41"/>
      <c r="C915" s="41"/>
      <c r="D915" s="42"/>
      <c r="E915" s="26"/>
      <c r="F915" s="43"/>
      <c r="G915" s="40"/>
      <c r="H915" s="44"/>
      <c r="I915" s="33"/>
      <c r="J915" s="34"/>
      <c r="K915" s="32"/>
      <c r="L915" s="35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9.5" customHeight="1">
      <c r="A916" s="36" t="str">
        <f>LEFT('JANUARY 10, 2026'!$E916,FIND("-",'JANUARY 10, 2026'!$E916&amp;"-")-1)</f>
        <v/>
      </c>
      <c r="B916" s="41"/>
      <c r="C916" s="41"/>
      <c r="D916" s="42"/>
      <c r="E916" s="26"/>
      <c r="F916" s="43"/>
      <c r="G916" s="40"/>
      <c r="H916" s="44"/>
      <c r="I916" s="33"/>
      <c r="J916" s="34"/>
      <c r="K916" s="32"/>
      <c r="L916" s="35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9.5" customHeight="1">
      <c r="A917" s="36" t="str">
        <f>LEFT('JANUARY 10, 2026'!$E917,FIND("-",'JANUARY 10, 2026'!$E917&amp;"-")-1)</f>
        <v/>
      </c>
      <c r="B917" s="41"/>
      <c r="C917" s="41"/>
      <c r="D917" s="42"/>
      <c r="E917" s="26"/>
      <c r="F917" s="43"/>
      <c r="G917" s="40"/>
      <c r="H917" s="44"/>
      <c r="I917" s="33"/>
      <c r="J917" s="34"/>
      <c r="K917" s="32"/>
      <c r="L917" s="35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9.5" customHeight="1">
      <c r="A918" s="36" t="str">
        <f>LEFT('JANUARY 10, 2026'!$E918,FIND("-",'JANUARY 10, 2026'!$E918&amp;"-")-1)</f>
        <v/>
      </c>
      <c r="B918" s="41"/>
      <c r="C918" s="41"/>
      <c r="D918" s="42"/>
      <c r="E918" s="26"/>
      <c r="F918" s="43"/>
      <c r="G918" s="40"/>
      <c r="H918" s="44"/>
      <c r="I918" s="33"/>
      <c r="J918" s="34"/>
      <c r="K918" s="32"/>
      <c r="L918" s="35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9.5" customHeight="1">
      <c r="A919" s="36" t="str">
        <f>LEFT('JANUARY 10, 2026'!$E919,FIND("-",'JANUARY 10, 2026'!$E919&amp;"-")-1)</f>
        <v/>
      </c>
      <c r="B919" s="41"/>
      <c r="C919" s="41"/>
      <c r="D919" s="42"/>
      <c r="E919" s="26"/>
      <c r="F919" s="43"/>
      <c r="G919" s="40"/>
      <c r="H919" s="44"/>
      <c r="I919" s="33"/>
      <c r="J919" s="34"/>
      <c r="K919" s="32"/>
      <c r="L919" s="35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9.5" customHeight="1">
      <c r="A920" s="36" t="str">
        <f>LEFT('JANUARY 10, 2026'!$E920,FIND("-",'JANUARY 10, 2026'!$E920&amp;"-")-1)</f>
        <v/>
      </c>
      <c r="B920" s="41"/>
      <c r="C920" s="41"/>
      <c r="D920" s="42"/>
      <c r="E920" s="26"/>
      <c r="F920" s="43"/>
      <c r="G920" s="40"/>
      <c r="H920" s="44"/>
      <c r="I920" s="33"/>
      <c r="J920" s="34"/>
      <c r="K920" s="32"/>
      <c r="L920" s="35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9.5" customHeight="1">
      <c r="A921" s="36" t="str">
        <f>LEFT('JANUARY 10, 2026'!$E921,FIND("-",'JANUARY 10, 2026'!$E921&amp;"-")-1)</f>
        <v/>
      </c>
      <c r="B921" s="41"/>
      <c r="C921" s="41"/>
      <c r="D921" s="42"/>
      <c r="E921" s="26"/>
      <c r="F921" s="43"/>
      <c r="G921" s="40"/>
      <c r="H921" s="44"/>
      <c r="I921" s="33"/>
      <c r="J921" s="34"/>
      <c r="K921" s="32"/>
      <c r="L921" s="35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9.5" customHeight="1">
      <c r="A922" s="36" t="str">
        <f>LEFT('JANUARY 10, 2026'!$E922,FIND("-",'JANUARY 10, 2026'!$E922&amp;"-")-1)</f>
        <v/>
      </c>
      <c r="B922" s="41"/>
      <c r="C922" s="41"/>
      <c r="D922" s="42"/>
      <c r="E922" s="26"/>
      <c r="F922" s="43"/>
      <c r="G922" s="40"/>
      <c r="H922" s="44"/>
      <c r="I922" s="33"/>
      <c r="J922" s="34"/>
      <c r="K922" s="32"/>
      <c r="L922" s="35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9.5" customHeight="1">
      <c r="A923" s="36" t="str">
        <f>LEFT('JANUARY 10, 2026'!$E923,FIND("-",'JANUARY 10, 2026'!$E923&amp;"-")-1)</f>
        <v/>
      </c>
      <c r="B923" s="41"/>
      <c r="C923" s="41"/>
      <c r="D923" s="42"/>
      <c r="E923" s="26"/>
      <c r="F923" s="43"/>
      <c r="G923" s="40"/>
      <c r="H923" s="44"/>
      <c r="I923" s="33"/>
      <c r="J923" s="34"/>
      <c r="K923" s="32"/>
      <c r="L923" s="35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9.5" customHeight="1">
      <c r="A924" s="36" t="str">
        <f>LEFT('JANUARY 10, 2026'!$E924,FIND("-",'JANUARY 10, 2026'!$E924&amp;"-")-1)</f>
        <v/>
      </c>
      <c r="B924" s="41"/>
      <c r="C924" s="41"/>
      <c r="D924" s="42"/>
      <c r="E924" s="26"/>
      <c r="F924" s="43"/>
      <c r="G924" s="40"/>
      <c r="H924" s="44"/>
      <c r="I924" s="33"/>
      <c r="J924" s="34"/>
      <c r="K924" s="32"/>
      <c r="L924" s="35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9.5" customHeight="1">
      <c r="A925" s="36" t="str">
        <f>LEFT('JANUARY 10, 2026'!$E925,FIND("-",'JANUARY 10, 2026'!$E925&amp;"-")-1)</f>
        <v/>
      </c>
      <c r="B925" s="41"/>
      <c r="C925" s="41"/>
      <c r="D925" s="42"/>
      <c r="E925" s="26"/>
      <c r="F925" s="43"/>
      <c r="G925" s="40"/>
      <c r="H925" s="44"/>
      <c r="I925" s="33"/>
      <c r="J925" s="34"/>
      <c r="K925" s="32"/>
      <c r="L925" s="35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9.5" customHeight="1">
      <c r="A926" s="36" t="str">
        <f>LEFT('JANUARY 10, 2026'!$E926,FIND("-",'JANUARY 10, 2026'!$E926&amp;"-")-1)</f>
        <v/>
      </c>
      <c r="B926" s="41"/>
      <c r="C926" s="41"/>
      <c r="D926" s="42"/>
      <c r="E926" s="26"/>
      <c r="F926" s="43"/>
      <c r="G926" s="40"/>
      <c r="H926" s="44"/>
      <c r="I926" s="33"/>
      <c r="J926" s="34"/>
      <c r="K926" s="32"/>
      <c r="L926" s="35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9.5" customHeight="1">
      <c r="A927" s="36" t="str">
        <f>LEFT('JANUARY 10, 2026'!$E927,FIND("-",'JANUARY 10, 2026'!$E927&amp;"-")-1)</f>
        <v/>
      </c>
      <c r="B927" s="41"/>
      <c r="C927" s="41"/>
      <c r="D927" s="42"/>
      <c r="E927" s="26"/>
      <c r="F927" s="43"/>
      <c r="G927" s="40"/>
      <c r="H927" s="44"/>
      <c r="I927" s="33"/>
      <c r="J927" s="34"/>
      <c r="K927" s="32"/>
      <c r="L927" s="35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9.5" customHeight="1">
      <c r="A928" s="36" t="str">
        <f>LEFT('JANUARY 10, 2026'!$E928,FIND("-",'JANUARY 10, 2026'!$E928&amp;"-")-1)</f>
        <v/>
      </c>
      <c r="B928" s="41"/>
      <c r="C928" s="41"/>
      <c r="D928" s="42"/>
      <c r="E928" s="26"/>
      <c r="F928" s="43"/>
      <c r="G928" s="40"/>
      <c r="H928" s="44"/>
      <c r="I928" s="33"/>
      <c r="J928" s="34"/>
      <c r="K928" s="32"/>
      <c r="L928" s="35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9.5" customHeight="1">
      <c r="A929" s="36" t="str">
        <f>LEFT('JANUARY 10, 2026'!$E929,FIND("-",'JANUARY 10, 2026'!$E929&amp;"-")-1)</f>
        <v/>
      </c>
      <c r="B929" s="41"/>
      <c r="C929" s="41"/>
      <c r="D929" s="42"/>
      <c r="E929" s="26"/>
      <c r="F929" s="43"/>
      <c r="G929" s="40"/>
      <c r="H929" s="44"/>
      <c r="I929" s="33"/>
      <c r="J929" s="34"/>
      <c r="K929" s="32"/>
      <c r="L929" s="35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9.5" customHeight="1">
      <c r="A930" s="36" t="str">
        <f>LEFT('JANUARY 10, 2026'!$E930,FIND("-",'JANUARY 10, 2026'!$E930&amp;"-")-1)</f>
        <v/>
      </c>
      <c r="B930" s="41"/>
      <c r="C930" s="41"/>
      <c r="D930" s="42"/>
      <c r="E930" s="26"/>
      <c r="F930" s="43"/>
      <c r="G930" s="40"/>
      <c r="H930" s="44"/>
      <c r="I930" s="33"/>
      <c r="J930" s="34"/>
      <c r="K930" s="32"/>
      <c r="L930" s="35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9.5" customHeight="1">
      <c r="A931" s="36" t="str">
        <f>LEFT('JANUARY 10, 2026'!$E931,FIND("-",'JANUARY 10, 2026'!$E931&amp;"-")-1)</f>
        <v/>
      </c>
      <c r="B931" s="41"/>
      <c r="C931" s="41"/>
      <c r="D931" s="42"/>
      <c r="E931" s="26"/>
      <c r="F931" s="43"/>
      <c r="G931" s="40"/>
      <c r="H931" s="44"/>
      <c r="I931" s="33"/>
      <c r="J931" s="34"/>
      <c r="K931" s="32"/>
      <c r="L931" s="35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9.5" customHeight="1">
      <c r="A932" s="36" t="str">
        <f>LEFT('JANUARY 10, 2026'!$E932,FIND("-",'JANUARY 10, 2026'!$E932&amp;"-")-1)</f>
        <v/>
      </c>
      <c r="B932" s="41"/>
      <c r="C932" s="41"/>
      <c r="D932" s="42"/>
      <c r="E932" s="26"/>
      <c r="F932" s="43"/>
      <c r="G932" s="40"/>
      <c r="H932" s="44"/>
      <c r="I932" s="33"/>
      <c r="J932" s="34"/>
      <c r="K932" s="32"/>
      <c r="L932" s="35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9.5" customHeight="1">
      <c r="A933" s="36" t="str">
        <f>LEFT('JANUARY 10, 2026'!$E933,FIND("-",'JANUARY 10, 2026'!$E933&amp;"-")-1)</f>
        <v/>
      </c>
      <c r="B933" s="41"/>
      <c r="C933" s="41"/>
      <c r="D933" s="42"/>
      <c r="E933" s="26"/>
      <c r="F933" s="43"/>
      <c r="G933" s="40"/>
      <c r="H933" s="44"/>
      <c r="I933" s="33"/>
      <c r="J933" s="34"/>
      <c r="K933" s="32"/>
      <c r="L933" s="35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9.5" customHeight="1">
      <c r="A934" s="36" t="str">
        <f>LEFT('JANUARY 10, 2026'!$E934,FIND("-",'JANUARY 10, 2026'!$E934&amp;"-")-1)</f>
        <v/>
      </c>
      <c r="B934" s="41"/>
      <c r="C934" s="41"/>
      <c r="D934" s="42"/>
      <c r="E934" s="26"/>
      <c r="F934" s="43"/>
      <c r="G934" s="40"/>
      <c r="H934" s="44"/>
      <c r="I934" s="33"/>
      <c r="J934" s="34"/>
      <c r="K934" s="32"/>
      <c r="L934" s="35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9.5" customHeight="1">
      <c r="A935" s="36" t="str">
        <f>LEFT('JANUARY 10, 2026'!$E935,FIND("-",'JANUARY 10, 2026'!$E935&amp;"-")-1)</f>
        <v/>
      </c>
      <c r="B935" s="41"/>
      <c r="C935" s="41"/>
      <c r="D935" s="42"/>
      <c r="E935" s="26"/>
      <c r="F935" s="43"/>
      <c r="G935" s="40"/>
      <c r="H935" s="44"/>
      <c r="I935" s="33"/>
      <c r="J935" s="34"/>
      <c r="K935" s="32"/>
      <c r="L935" s="35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9.5" customHeight="1">
      <c r="A936" s="36" t="str">
        <f>LEFT('JANUARY 10, 2026'!$E936,FIND("-",'JANUARY 10, 2026'!$E936&amp;"-")-1)</f>
        <v/>
      </c>
      <c r="B936" s="41"/>
      <c r="C936" s="41"/>
      <c r="D936" s="42"/>
      <c r="E936" s="26"/>
      <c r="F936" s="43"/>
      <c r="G936" s="40"/>
      <c r="H936" s="44"/>
      <c r="I936" s="33"/>
      <c r="J936" s="34"/>
      <c r="K936" s="32"/>
      <c r="L936" s="35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9.5" customHeight="1">
      <c r="A937" s="36" t="str">
        <f>LEFT('JANUARY 10, 2026'!$E937,FIND("-",'JANUARY 10, 2026'!$E937&amp;"-")-1)</f>
        <v/>
      </c>
      <c r="B937" s="41"/>
      <c r="C937" s="41"/>
      <c r="D937" s="42"/>
      <c r="E937" s="26"/>
      <c r="F937" s="43"/>
      <c r="G937" s="40"/>
      <c r="H937" s="44"/>
      <c r="I937" s="33"/>
      <c r="J937" s="34"/>
      <c r="K937" s="32"/>
      <c r="L937" s="35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9.5" customHeight="1">
      <c r="A938" s="36" t="str">
        <f>LEFT('JANUARY 10, 2026'!$E938,FIND("-",'JANUARY 10, 2026'!$E938&amp;"-")-1)</f>
        <v/>
      </c>
      <c r="B938" s="41"/>
      <c r="C938" s="41"/>
      <c r="D938" s="42"/>
      <c r="E938" s="26"/>
      <c r="F938" s="43"/>
      <c r="G938" s="40"/>
      <c r="H938" s="44"/>
      <c r="I938" s="33"/>
      <c r="J938" s="34"/>
      <c r="K938" s="32"/>
      <c r="L938" s="35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9.5" customHeight="1">
      <c r="A939" s="36" t="str">
        <f>LEFT('JANUARY 10, 2026'!$E939,FIND("-",'JANUARY 10, 2026'!$E939&amp;"-")-1)</f>
        <v/>
      </c>
      <c r="B939" s="41"/>
      <c r="C939" s="41"/>
      <c r="D939" s="42"/>
      <c r="E939" s="26"/>
      <c r="F939" s="43"/>
      <c r="G939" s="40"/>
      <c r="H939" s="44"/>
      <c r="I939" s="33"/>
      <c r="J939" s="34"/>
      <c r="K939" s="32"/>
      <c r="L939" s="35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9.5" customHeight="1">
      <c r="A940" s="36" t="str">
        <f>LEFT('JANUARY 10, 2026'!$E940,FIND("-",'JANUARY 10, 2026'!$E940&amp;"-")-1)</f>
        <v/>
      </c>
      <c r="B940" s="41"/>
      <c r="C940" s="41"/>
      <c r="D940" s="42"/>
      <c r="E940" s="26"/>
      <c r="F940" s="43"/>
      <c r="G940" s="40"/>
      <c r="H940" s="44"/>
      <c r="I940" s="33"/>
      <c r="J940" s="34"/>
      <c r="K940" s="32"/>
      <c r="L940" s="35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9.5" customHeight="1">
      <c r="A941" s="36" t="str">
        <f>LEFT('JANUARY 10, 2026'!$E941,FIND("-",'JANUARY 10, 2026'!$E941&amp;"-")-1)</f>
        <v/>
      </c>
      <c r="B941" s="41"/>
      <c r="C941" s="41"/>
      <c r="D941" s="42"/>
      <c r="E941" s="26"/>
      <c r="F941" s="43"/>
      <c r="G941" s="40"/>
      <c r="H941" s="44"/>
      <c r="I941" s="33"/>
      <c r="J941" s="34"/>
      <c r="K941" s="32"/>
      <c r="L941" s="35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9.5" customHeight="1">
      <c r="A942" s="36" t="str">
        <f>LEFT('JANUARY 10, 2026'!$E942,FIND("-",'JANUARY 10, 2026'!$E942&amp;"-")-1)</f>
        <v/>
      </c>
      <c r="B942" s="41"/>
      <c r="C942" s="41"/>
      <c r="D942" s="42"/>
      <c r="E942" s="26"/>
      <c r="F942" s="43"/>
      <c r="G942" s="40"/>
      <c r="H942" s="44"/>
      <c r="I942" s="33"/>
      <c r="J942" s="34"/>
      <c r="K942" s="32"/>
      <c r="L942" s="35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9.5" customHeight="1">
      <c r="A943" s="36" t="str">
        <f>LEFT('JANUARY 10, 2026'!$E943,FIND("-",'JANUARY 10, 2026'!$E943&amp;"-")-1)</f>
        <v/>
      </c>
      <c r="B943" s="41"/>
      <c r="C943" s="41"/>
      <c r="D943" s="42"/>
      <c r="E943" s="26"/>
      <c r="F943" s="43"/>
      <c r="G943" s="40"/>
      <c r="H943" s="44"/>
      <c r="I943" s="33"/>
      <c r="J943" s="34"/>
      <c r="K943" s="32"/>
      <c r="L943" s="35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9.5" customHeight="1">
      <c r="A944" s="36" t="str">
        <f>LEFT('JANUARY 10, 2026'!$E944,FIND("-",'JANUARY 10, 2026'!$E944&amp;"-")-1)</f>
        <v/>
      </c>
      <c r="B944" s="41"/>
      <c r="C944" s="41"/>
      <c r="D944" s="42"/>
      <c r="E944" s="26"/>
      <c r="F944" s="43"/>
      <c r="G944" s="40"/>
      <c r="H944" s="44"/>
      <c r="I944" s="33"/>
      <c r="J944" s="34"/>
      <c r="K944" s="32"/>
      <c r="L944" s="35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9.5" customHeight="1">
      <c r="A945" s="36" t="str">
        <f>LEFT('JANUARY 10, 2026'!$E945,FIND("-",'JANUARY 10, 2026'!$E945&amp;"-")-1)</f>
        <v/>
      </c>
      <c r="B945" s="41"/>
      <c r="C945" s="41"/>
      <c r="D945" s="42"/>
      <c r="E945" s="26"/>
      <c r="F945" s="43"/>
      <c r="G945" s="40"/>
      <c r="H945" s="44"/>
      <c r="I945" s="33"/>
      <c r="J945" s="34"/>
      <c r="K945" s="32"/>
      <c r="L945" s="35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9.5" customHeight="1">
      <c r="A946" s="36" t="str">
        <f>LEFT('JANUARY 10, 2026'!$E946,FIND("-",'JANUARY 10, 2026'!$E946&amp;"-")-1)</f>
        <v/>
      </c>
      <c r="B946" s="41"/>
      <c r="C946" s="41"/>
      <c r="D946" s="42"/>
      <c r="E946" s="26"/>
      <c r="F946" s="43"/>
      <c r="G946" s="40"/>
      <c r="H946" s="44"/>
      <c r="I946" s="33"/>
      <c r="J946" s="34"/>
      <c r="K946" s="32"/>
      <c r="L946" s="35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9.5" customHeight="1">
      <c r="A947" s="36" t="str">
        <f>LEFT('JANUARY 10, 2026'!$E947,FIND("-",'JANUARY 10, 2026'!$E947&amp;"-")-1)</f>
        <v/>
      </c>
      <c r="B947" s="41"/>
      <c r="C947" s="41"/>
      <c r="D947" s="42"/>
      <c r="E947" s="26"/>
      <c r="F947" s="43"/>
      <c r="G947" s="40"/>
      <c r="H947" s="44"/>
      <c r="I947" s="33"/>
      <c r="J947" s="34"/>
      <c r="K947" s="32"/>
      <c r="L947" s="35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9.5" customHeight="1">
      <c r="A948" s="36" t="str">
        <f>LEFT('JANUARY 10, 2026'!$E948,FIND("-",'JANUARY 10, 2026'!$E948&amp;"-")-1)</f>
        <v/>
      </c>
      <c r="B948" s="41"/>
      <c r="C948" s="41"/>
      <c r="D948" s="42"/>
      <c r="E948" s="26"/>
      <c r="F948" s="43"/>
      <c r="G948" s="40"/>
      <c r="H948" s="44"/>
      <c r="I948" s="33"/>
      <c r="J948" s="34"/>
      <c r="K948" s="32"/>
      <c r="L948" s="35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9.5" customHeight="1">
      <c r="A949" s="36" t="str">
        <f>LEFT('JANUARY 10, 2026'!$E949,FIND("-",'JANUARY 10, 2026'!$E949&amp;"-")-1)</f>
        <v/>
      </c>
      <c r="B949" s="41"/>
      <c r="C949" s="41"/>
      <c r="D949" s="42"/>
      <c r="E949" s="26"/>
      <c r="F949" s="43"/>
      <c r="G949" s="40"/>
      <c r="H949" s="44"/>
      <c r="I949" s="33"/>
      <c r="J949" s="34"/>
      <c r="K949" s="32"/>
      <c r="L949" s="35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9.5" customHeight="1">
      <c r="A950" s="36" t="str">
        <f>LEFT('JANUARY 10, 2026'!$E950,FIND("-",'JANUARY 10, 2026'!$E950&amp;"-")-1)</f>
        <v/>
      </c>
      <c r="B950" s="41"/>
      <c r="C950" s="41"/>
      <c r="D950" s="42"/>
      <c r="E950" s="26"/>
      <c r="F950" s="43"/>
      <c r="G950" s="40"/>
      <c r="H950" s="44"/>
      <c r="I950" s="33"/>
      <c r="J950" s="34"/>
      <c r="K950" s="32"/>
      <c r="L950" s="35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9.5" customHeight="1">
      <c r="A951" s="36" t="str">
        <f>LEFT('JANUARY 10, 2026'!$E951,FIND("-",'JANUARY 10, 2026'!$E951&amp;"-")-1)</f>
        <v/>
      </c>
      <c r="B951" s="41"/>
      <c r="C951" s="41"/>
      <c r="D951" s="42"/>
      <c r="E951" s="26"/>
      <c r="F951" s="43"/>
      <c r="G951" s="40"/>
      <c r="H951" s="44"/>
      <c r="I951" s="33"/>
      <c r="J951" s="34"/>
      <c r="K951" s="32"/>
      <c r="L951" s="35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9.5" customHeight="1">
      <c r="A952" s="36" t="str">
        <f>LEFT('JANUARY 10, 2026'!$E952,FIND("-",'JANUARY 10, 2026'!$E952&amp;"-")-1)</f>
        <v/>
      </c>
      <c r="B952" s="41"/>
      <c r="C952" s="41"/>
      <c r="D952" s="42"/>
      <c r="E952" s="26"/>
      <c r="F952" s="43"/>
      <c r="G952" s="40"/>
      <c r="H952" s="44"/>
      <c r="I952" s="33"/>
      <c r="J952" s="34"/>
      <c r="K952" s="32"/>
      <c r="L952" s="35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9.5" customHeight="1">
      <c r="A953" s="36" t="str">
        <f>LEFT('JANUARY 10, 2026'!$E953,FIND("-",'JANUARY 10, 2026'!$E953&amp;"-")-1)</f>
        <v/>
      </c>
      <c r="B953" s="41"/>
      <c r="C953" s="41"/>
      <c r="D953" s="42"/>
      <c r="E953" s="26"/>
      <c r="F953" s="43"/>
      <c r="G953" s="40"/>
      <c r="H953" s="44"/>
      <c r="I953" s="33"/>
      <c r="J953" s="34"/>
      <c r="K953" s="32"/>
      <c r="L953" s="35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9.5" customHeight="1">
      <c r="A954" s="36" t="str">
        <f>LEFT('JANUARY 10, 2026'!$E954,FIND("-",'JANUARY 10, 2026'!$E954&amp;"-")-1)</f>
        <v/>
      </c>
      <c r="B954" s="41"/>
      <c r="C954" s="41"/>
      <c r="D954" s="42"/>
      <c r="E954" s="26"/>
      <c r="F954" s="43"/>
      <c r="G954" s="40"/>
      <c r="H954" s="44"/>
      <c r="I954" s="33"/>
      <c r="J954" s="34"/>
      <c r="K954" s="32"/>
      <c r="L954" s="35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9.5" customHeight="1">
      <c r="A955" s="36" t="str">
        <f>LEFT('JANUARY 10, 2026'!$E955,FIND("-",'JANUARY 10, 2026'!$E955&amp;"-")-1)</f>
        <v/>
      </c>
      <c r="B955" s="41"/>
      <c r="C955" s="41"/>
      <c r="D955" s="42"/>
      <c r="E955" s="26"/>
      <c r="F955" s="43"/>
      <c r="G955" s="40"/>
      <c r="H955" s="44"/>
      <c r="I955" s="33"/>
      <c r="J955" s="34"/>
      <c r="K955" s="32"/>
      <c r="L955" s="35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9.5" customHeight="1">
      <c r="A956" s="36" t="str">
        <f>LEFT('JANUARY 10, 2026'!$E956,FIND("-",'JANUARY 10, 2026'!$E956&amp;"-")-1)</f>
        <v/>
      </c>
      <c r="B956" s="41"/>
      <c r="C956" s="41"/>
      <c r="D956" s="42"/>
      <c r="E956" s="26"/>
      <c r="F956" s="43"/>
      <c r="G956" s="40"/>
      <c r="H956" s="44"/>
      <c r="I956" s="33"/>
      <c r="J956" s="34"/>
      <c r="K956" s="32"/>
      <c r="L956" s="35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9.5" customHeight="1">
      <c r="A957" s="36" t="str">
        <f>LEFT('JANUARY 10, 2026'!$E957,FIND("-",'JANUARY 10, 2026'!$E957&amp;"-")-1)</f>
        <v/>
      </c>
      <c r="B957" s="41"/>
      <c r="C957" s="41"/>
      <c r="D957" s="42"/>
      <c r="E957" s="26"/>
      <c r="F957" s="43"/>
      <c r="G957" s="40"/>
      <c r="H957" s="44"/>
      <c r="I957" s="33"/>
      <c r="J957" s="34"/>
      <c r="K957" s="32"/>
      <c r="L957" s="35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9.5" customHeight="1">
      <c r="A958" s="36" t="str">
        <f>LEFT('JANUARY 10, 2026'!$E958,FIND("-",'JANUARY 10, 2026'!$E958&amp;"-")-1)</f>
        <v/>
      </c>
      <c r="B958" s="41"/>
      <c r="C958" s="41"/>
      <c r="D958" s="42"/>
      <c r="E958" s="26"/>
      <c r="F958" s="43"/>
      <c r="G958" s="40"/>
      <c r="H958" s="44"/>
      <c r="I958" s="33"/>
      <c r="J958" s="34"/>
      <c r="K958" s="32"/>
      <c r="L958" s="35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9.5" customHeight="1">
      <c r="A959" s="36" t="str">
        <f>LEFT('JANUARY 10, 2026'!$E959,FIND("-",'JANUARY 10, 2026'!$E959&amp;"-")-1)</f>
        <v/>
      </c>
      <c r="B959" s="47"/>
      <c r="C959" s="41"/>
      <c r="D959" s="42"/>
      <c r="E959" s="26"/>
      <c r="F959" s="43"/>
      <c r="G959" s="40"/>
      <c r="H959" s="44"/>
      <c r="I959" s="33"/>
      <c r="J959" s="34"/>
      <c r="K959" s="32"/>
      <c r="L959" s="35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9.5" customHeight="1">
      <c r="A960" s="36" t="str">
        <f>LEFT('JANUARY 10, 2026'!$E960,FIND("-",'JANUARY 10, 2026'!$E960&amp;"-")-1)</f>
        <v/>
      </c>
      <c r="B960" s="47"/>
      <c r="C960" s="41"/>
      <c r="D960" s="42"/>
      <c r="E960" s="26"/>
      <c r="F960" s="43"/>
      <c r="G960" s="40"/>
      <c r="H960" s="44"/>
      <c r="I960" s="33"/>
      <c r="J960" s="34"/>
      <c r="K960" s="32"/>
      <c r="L960" s="35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9.5" customHeight="1">
      <c r="A961" s="36" t="str">
        <f>LEFT('JANUARY 10, 2026'!$E961,FIND("-",'JANUARY 10, 2026'!$E961&amp;"-")-1)</f>
        <v/>
      </c>
      <c r="B961" s="41"/>
      <c r="C961" s="41"/>
      <c r="D961" s="42"/>
      <c r="E961" s="26"/>
      <c r="F961" s="43"/>
      <c r="G961" s="40"/>
      <c r="H961" s="44"/>
      <c r="I961" s="33"/>
      <c r="J961" s="34"/>
      <c r="K961" s="32"/>
      <c r="L961" s="35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9.5" customHeight="1">
      <c r="A962" s="36" t="str">
        <f>LEFT('JANUARY 10, 2026'!$E962,FIND("-",'JANUARY 10, 2026'!$E962&amp;"-")-1)</f>
        <v/>
      </c>
      <c r="B962" s="41"/>
      <c r="C962" s="41"/>
      <c r="D962" s="42"/>
      <c r="E962" s="26"/>
      <c r="F962" s="43"/>
      <c r="G962" s="40"/>
      <c r="H962" s="44"/>
      <c r="I962" s="33"/>
      <c r="J962" s="34"/>
      <c r="K962" s="32"/>
      <c r="L962" s="35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9.5" customHeight="1">
      <c r="A963" s="36" t="str">
        <f>LEFT('JANUARY 10, 2026'!$E963,FIND("-",'JANUARY 10, 2026'!$E963&amp;"-")-1)</f>
        <v/>
      </c>
      <c r="B963" s="41"/>
      <c r="C963" s="41"/>
      <c r="D963" s="42"/>
      <c r="E963" s="26"/>
      <c r="F963" s="43"/>
      <c r="G963" s="40"/>
      <c r="H963" s="44"/>
      <c r="I963" s="33"/>
      <c r="J963" s="34"/>
      <c r="K963" s="32"/>
      <c r="L963" s="35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9.5" customHeight="1">
      <c r="A964" s="36" t="str">
        <f>LEFT('JANUARY 10, 2026'!$E964,FIND("-",'JANUARY 10, 2026'!$E964&amp;"-")-1)</f>
        <v/>
      </c>
      <c r="B964" s="41"/>
      <c r="C964" s="41"/>
      <c r="D964" s="42"/>
      <c r="E964" s="26"/>
      <c r="F964" s="43"/>
      <c r="G964" s="40"/>
      <c r="H964" s="44"/>
      <c r="I964" s="33"/>
      <c r="J964" s="34"/>
      <c r="K964" s="32"/>
      <c r="L964" s="35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9.5" customHeight="1">
      <c r="A965" s="36" t="str">
        <f>LEFT('JANUARY 10, 2026'!$E965,FIND("-",'JANUARY 10, 2026'!$E965&amp;"-")-1)</f>
        <v/>
      </c>
      <c r="B965" s="41"/>
      <c r="C965" s="41"/>
      <c r="D965" s="42"/>
      <c r="E965" s="26"/>
      <c r="F965" s="43"/>
      <c r="G965" s="40"/>
      <c r="H965" s="44"/>
      <c r="I965" s="33"/>
      <c r="J965" s="34"/>
      <c r="K965" s="32"/>
      <c r="L965" s="35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9.5" customHeight="1">
      <c r="A966" s="36" t="str">
        <f>LEFT('JANUARY 10, 2026'!$E966,FIND("-",'JANUARY 10, 2026'!$E966&amp;"-")-1)</f>
        <v/>
      </c>
      <c r="B966" s="41"/>
      <c r="C966" s="41"/>
      <c r="D966" s="42"/>
      <c r="E966" s="26"/>
      <c r="F966" s="43"/>
      <c r="G966" s="40"/>
      <c r="H966" s="44"/>
      <c r="I966" s="33"/>
      <c r="J966" s="34"/>
      <c r="K966" s="32"/>
      <c r="L966" s="35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9.5" customHeight="1">
      <c r="A967" s="36" t="str">
        <f>LEFT('JANUARY 10, 2026'!$E967,FIND("-",'JANUARY 10, 2026'!$E967&amp;"-")-1)</f>
        <v/>
      </c>
      <c r="B967" s="41"/>
      <c r="C967" s="41"/>
      <c r="D967" s="42"/>
      <c r="E967" s="26"/>
      <c r="F967" s="43"/>
      <c r="G967" s="40"/>
      <c r="H967" s="44"/>
      <c r="I967" s="33"/>
      <c r="J967" s="34"/>
      <c r="K967" s="32"/>
      <c r="L967" s="35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9.5" customHeight="1">
      <c r="A968" s="36" t="str">
        <f>LEFT('JANUARY 10, 2026'!$E968,FIND("-",'JANUARY 10, 2026'!$E968&amp;"-")-1)</f>
        <v/>
      </c>
      <c r="B968" s="41"/>
      <c r="C968" s="41"/>
      <c r="D968" s="42"/>
      <c r="E968" s="26"/>
      <c r="F968" s="43"/>
      <c r="G968" s="40"/>
      <c r="H968" s="44"/>
      <c r="I968" s="33"/>
      <c r="J968" s="34"/>
      <c r="K968" s="32"/>
      <c r="L968" s="35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9.5" customHeight="1">
      <c r="A969" s="36" t="str">
        <f>LEFT('JANUARY 10, 2026'!$E969,FIND("-",'JANUARY 10, 2026'!$E969&amp;"-")-1)</f>
        <v/>
      </c>
      <c r="B969" s="41"/>
      <c r="C969" s="41"/>
      <c r="D969" s="42"/>
      <c r="E969" s="26"/>
      <c r="F969" s="43"/>
      <c r="G969" s="40"/>
      <c r="H969" s="44"/>
      <c r="I969" s="33"/>
      <c r="J969" s="34"/>
      <c r="K969" s="32"/>
      <c r="L969" s="35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9.5" customHeight="1">
      <c r="A970" s="36" t="str">
        <f>LEFT('JANUARY 10, 2026'!$E970,FIND("-",'JANUARY 10, 2026'!$E970&amp;"-")-1)</f>
        <v/>
      </c>
      <c r="B970" s="41"/>
      <c r="C970" s="41"/>
      <c r="D970" s="42"/>
      <c r="E970" s="26"/>
      <c r="F970" s="43"/>
      <c r="G970" s="40"/>
      <c r="H970" s="44"/>
      <c r="I970" s="33"/>
      <c r="J970" s="34"/>
      <c r="K970" s="32"/>
      <c r="L970" s="35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9.5" customHeight="1">
      <c r="A971" s="36" t="str">
        <f>LEFT('JANUARY 10, 2026'!$E971,FIND("-",'JANUARY 10, 2026'!$E971&amp;"-")-1)</f>
        <v/>
      </c>
      <c r="B971" s="41"/>
      <c r="C971" s="41"/>
      <c r="D971" s="42"/>
      <c r="E971" s="26"/>
      <c r="F971" s="43"/>
      <c r="G971" s="40"/>
      <c r="H971" s="44"/>
      <c r="I971" s="33"/>
      <c r="J971" s="34"/>
      <c r="K971" s="32"/>
      <c r="L971" s="35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9.5" customHeight="1">
      <c r="A972" s="36" t="str">
        <f>LEFT('JANUARY 10, 2026'!$E972,FIND("-",'JANUARY 10, 2026'!$E972&amp;"-")-1)</f>
        <v/>
      </c>
      <c r="B972" s="41"/>
      <c r="C972" s="41"/>
      <c r="D972" s="42"/>
      <c r="E972" s="26"/>
      <c r="F972" s="43"/>
      <c r="G972" s="40"/>
      <c r="H972" s="44"/>
      <c r="I972" s="33"/>
      <c r="J972" s="34"/>
      <c r="K972" s="32"/>
      <c r="L972" s="35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9.5" customHeight="1">
      <c r="A973" s="36" t="str">
        <f>LEFT('JANUARY 10, 2026'!$E973,FIND("-",'JANUARY 10, 2026'!$E973&amp;"-")-1)</f>
        <v/>
      </c>
      <c r="B973" s="41"/>
      <c r="C973" s="41"/>
      <c r="D973" s="42"/>
      <c r="E973" s="26"/>
      <c r="F973" s="43"/>
      <c r="G973" s="40"/>
      <c r="H973" s="44"/>
      <c r="I973" s="33"/>
      <c r="J973" s="34"/>
      <c r="K973" s="32"/>
      <c r="L973" s="35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9.5" customHeight="1">
      <c r="A974" s="36" t="str">
        <f>LEFT('JANUARY 10, 2026'!$E974,FIND("-",'JANUARY 10, 2026'!$E974&amp;"-")-1)</f>
        <v/>
      </c>
      <c r="B974" s="41"/>
      <c r="C974" s="41"/>
      <c r="D974" s="42"/>
      <c r="E974" s="26"/>
      <c r="F974" s="43"/>
      <c r="G974" s="40"/>
      <c r="H974" s="44"/>
      <c r="I974" s="33"/>
      <c r="J974" s="34"/>
      <c r="K974" s="32"/>
      <c r="L974" s="35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9.5" customHeight="1">
      <c r="A975" s="36" t="str">
        <f>LEFT('JANUARY 10, 2026'!$E975,FIND("-",'JANUARY 10, 2026'!$E975&amp;"-")-1)</f>
        <v/>
      </c>
      <c r="B975" s="41"/>
      <c r="C975" s="41"/>
      <c r="D975" s="42"/>
      <c r="E975" s="26"/>
      <c r="F975" s="43"/>
      <c r="G975" s="40"/>
      <c r="H975" s="44"/>
      <c r="I975" s="33"/>
      <c r="J975" s="34"/>
      <c r="K975" s="32"/>
      <c r="L975" s="35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9.5" customHeight="1">
      <c r="A976" s="36" t="str">
        <f>LEFT('JANUARY 10, 2026'!$E976,FIND("-",'JANUARY 10, 2026'!$E976&amp;"-")-1)</f>
        <v/>
      </c>
      <c r="B976" s="41"/>
      <c r="C976" s="41"/>
      <c r="D976" s="42"/>
      <c r="E976" s="26"/>
      <c r="F976" s="43"/>
      <c r="G976" s="40"/>
      <c r="H976" s="44"/>
      <c r="I976" s="33"/>
      <c r="J976" s="34"/>
      <c r="K976" s="32"/>
      <c r="L976" s="35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9.5" customHeight="1">
      <c r="A977" s="36" t="str">
        <f>LEFT('JANUARY 10, 2026'!$E977,FIND("-",'JANUARY 10, 2026'!$E977&amp;"-")-1)</f>
        <v/>
      </c>
      <c r="B977" s="41"/>
      <c r="C977" s="41"/>
      <c r="D977" s="42"/>
      <c r="E977" s="26"/>
      <c r="F977" s="43"/>
      <c r="G977" s="40"/>
      <c r="H977" s="44"/>
      <c r="I977" s="33"/>
      <c r="J977" s="34"/>
      <c r="K977" s="32"/>
      <c r="L977" s="35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9.5" customHeight="1">
      <c r="A978" s="36" t="str">
        <f>LEFT('JANUARY 10, 2026'!$E978,FIND("-",'JANUARY 10, 2026'!$E978&amp;"-")-1)</f>
        <v/>
      </c>
      <c r="B978" s="41"/>
      <c r="C978" s="41"/>
      <c r="D978" s="42"/>
      <c r="E978" s="26"/>
      <c r="F978" s="43"/>
      <c r="G978" s="40"/>
      <c r="H978" s="44"/>
      <c r="I978" s="33"/>
      <c r="J978" s="34"/>
      <c r="K978" s="32"/>
      <c r="L978" s="35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9.5" customHeight="1">
      <c r="A979" s="36" t="str">
        <f>LEFT('JANUARY 10, 2026'!$E979,FIND("-",'JANUARY 10, 2026'!$E979&amp;"-")-1)</f>
        <v/>
      </c>
      <c r="B979" s="41"/>
      <c r="C979" s="41"/>
      <c r="D979" s="42"/>
      <c r="E979" s="26"/>
      <c r="F979" s="43"/>
      <c r="G979" s="40"/>
      <c r="H979" s="44"/>
      <c r="I979" s="33"/>
      <c r="J979" s="34"/>
      <c r="K979" s="32"/>
      <c r="L979" s="35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9.5" customHeight="1">
      <c r="A980" s="36" t="str">
        <f>LEFT('JANUARY 10, 2026'!$E980,FIND("-",'JANUARY 10, 2026'!$E980&amp;"-")-1)</f>
        <v/>
      </c>
      <c r="B980" s="41"/>
      <c r="C980" s="41"/>
      <c r="D980" s="42"/>
      <c r="E980" s="26"/>
      <c r="F980" s="43"/>
      <c r="G980" s="40"/>
      <c r="H980" s="44"/>
      <c r="I980" s="33"/>
      <c r="J980" s="34"/>
      <c r="K980" s="32"/>
      <c r="L980" s="35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9.5" customHeight="1">
      <c r="A981" s="36" t="str">
        <f>LEFT('JANUARY 10, 2026'!$E981,FIND("-",'JANUARY 10, 2026'!$E981&amp;"-")-1)</f>
        <v/>
      </c>
      <c r="B981" s="41"/>
      <c r="C981" s="41"/>
      <c r="D981" s="42"/>
      <c r="E981" s="26"/>
      <c r="F981" s="43"/>
      <c r="G981" s="40"/>
      <c r="H981" s="44"/>
      <c r="I981" s="33"/>
      <c r="J981" s="34"/>
      <c r="K981" s="32"/>
      <c r="L981" s="35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9.5" customHeight="1">
      <c r="A982" s="36" t="str">
        <f>LEFT('JANUARY 10, 2026'!$E982,FIND("-",'JANUARY 10, 2026'!$E982&amp;"-")-1)</f>
        <v/>
      </c>
      <c r="B982" s="41"/>
      <c r="C982" s="41"/>
      <c r="D982" s="42"/>
      <c r="E982" s="26"/>
      <c r="F982" s="43"/>
      <c r="G982" s="40"/>
      <c r="H982" s="44"/>
      <c r="I982" s="33"/>
      <c r="J982" s="34"/>
      <c r="K982" s="32"/>
      <c r="L982" s="35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9.5" customHeight="1">
      <c r="A983" s="36" t="str">
        <f>LEFT('JANUARY 10, 2026'!$E983,FIND("-",'JANUARY 10, 2026'!$E983&amp;"-")-1)</f>
        <v/>
      </c>
      <c r="B983" s="41"/>
      <c r="C983" s="41"/>
      <c r="D983" s="42"/>
      <c r="E983" s="26"/>
      <c r="F983" s="43"/>
      <c r="G983" s="40"/>
      <c r="H983" s="44"/>
      <c r="I983" s="33"/>
      <c r="J983" s="34"/>
      <c r="K983" s="32"/>
      <c r="L983" s="35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9.5" customHeight="1">
      <c r="A984" s="36" t="str">
        <f>LEFT('JANUARY 10, 2026'!$E984,FIND("-",'JANUARY 10, 2026'!$E984&amp;"-")-1)</f>
        <v/>
      </c>
      <c r="B984" s="41"/>
      <c r="C984" s="41"/>
      <c r="D984" s="42"/>
      <c r="E984" s="26"/>
      <c r="F984" s="43"/>
      <c r="G984" s="40"/>
      <c r="H984" s="44"/>
      <c r="I984" s="33"/>
      <c r="J984" s="34"/>
      <c r="K984" s="32"/>
      <c r="L984" s="35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9.5" customHeight="1">
      <c r="A985" s="36" t="str">
        <f>LEFT('JANUARY 10, 2026'!$E985,FIND("-",'JANUARY 10, 2026'!$E985&amp;"-")-1)</f>
        <v/>
      </c>
      <c r="B985" s="41"/>
      <c r="C985" s="41"/>
      <c r="D985" s="42"/>
      <c r="E985" s="26"/>
      <c r="F985" s="43"/>
      <c r="G985" s="40"/>
      <c r="H985" s="44"/>
      <c r="I985" s="33"/>
      <c r="J985" s="34"/>
      <c r="K985" s="32"/>
      <c r="L985" s="35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9.5" customHeight="1">
      <c r="A986" s="36" t="str">
        <f>LEFT('JANUARY 10, 2026'!$E986,FIND("-",'JANUARY 10, 2026'!$E986&amp;"-")-1)</f>
        <v/>
      </c>
      <c r="B986" s="41"/>
      <c r="C986" s="41"/>
      <c r="D986" s="42"/>
      <c r="E986" s="26"/>
      <c r="F986" s="43"/>
      <c r="G986" s="40"/>
      <c r="H986" s="44"/>
      <c r="I986" s="33"/>
      <c r="J986" s="34"/>
      <c r="K986" s="32"/>
      <c r="L986" s="35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9.5" customHeight="1">
      <c r="A987" s="36" t="str">
        <f>LEFT('JANUARY 10, 2026'!$E987,FIND("-",'JANUARY 10, 2026'!$E987&amp;"-")-1)</f>
        <v/>
      </c>
      <c r="B987" s="41"/>
      <c r="C987" s="41"/>
      <c r="D987" s="42"/>
      <c r="E987" s="26"/>
      <c r="F987" s="43"/>
      <c r="G987" s="40"/>
      <c r="H987" s="44"/>
      <c r="I987" s="33"/>
      <c r="J987" s="34"/>
      <c r="K987" s="32"/>
      <c r="L987" s="35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9.5" customHeight="1">
      <c r="A988" s="36" t="str">
        <f>LEFT('JANUARY 10, 2026'!$E988,FIND("-",'JANUARY 10, 2026'!$E988&amp;"-")-1)</f>
        <v/>
      </c>
      <c r="B988" s="41"/>
      <c r="C988" s="41"/>
      <c r="D988" s="42"/>
      <c r="E988" s="26"/>
      <c r="F988" s="43"/>
      <c r="G988" s="40"/>
      <c r="H988" s="44"/>
      <c r="I988" s="33"/>
      <c r="J988" s="34"/>
      <c r="K988" s="32"/>
      <c r="L988" s="35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9.5" customHeight="1">
      <c r="A989" s="36" t="str">
        <f>LEFT('JANUARY 10, 2026'!$E989,FIND("-",'JANUARY 10, 2026'!$E989&amp;"-")-1)</f>
        <v/>
      </c>
      <c r="B989" s="41"/>
      <c r="C989" s="41"/>
      <c r="D989" s="42"/>
      <c r="E989" s="26"/>
      <c r="F989" s="43"/>
      <c r="G989" s="40"/>
      <c r="H989" s="44"/>
      <c r="I989" s="33"/>
      <c r="J989" s="34"/>
      <c r="K989" s="32"/>
      <c r="L989" s="35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9.5" customHeight="1">
      <c r="A990" s="36" t="str">
        <f>LEFT('JANUARY 10, 2026'!$E990,FIND("-",'JANUARY 10, 2026'!$E990&amp;"-")-1)</f>
        <v/>
      </c>
      <c r="B990" s="41"/>
      <c r="C990" s="41"/>
      <c r="D990" s="42"/>
      <c r="E990" s="26"/>
      <c r="F990" s="43"/>
      <c r="G990" s="40"/>
      <c r="H990" s="44"/>
      <c r="I990" s="33"/>
      <c r="J990" s="34"/>
      <c r="K990" s="32"/>
      <c r="L990" s="35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9.5" customHeight="1">
      <c r="A991" s="36" t="str">
        <f>LEFT('JANUARY 10, 2026'!$E991,FIND("-",'JANUARY 10, 2026'!$E991&amp;"-")-1)</f>
        <v/>
      </c>
      <c r="B991" s="41"/>
      <c r="C991" s="41"/>
      <c r="D991" s="42"/>
      <c r="E991" s="26"/>
      <c r="F991" s="43"/>
      <c r="G991" s="40"/>
      <c r="H991" s="44"/>
      <c r="I991" s="33"/>
      <c r="J991" s="34"/>
      <c r="K991" s="32"/>
      <c r="L991" s="35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9.5" customHeight="1">
      <c r="A992" s="36" t="str">
        <f>LEFT('JANUARY 10, 2026'!$E992,FIND("-",'JANUARY 10, 2026'!$E992&amp;"-")-1)</f>
        <v/>
      </c>
      <c r="B992" s="41"/>
      <c r="C992" s="41"/>
      <c r="D992" s="42"/>
      <c r="E992" s="26"/>
      <c r="F992" s="43"/>
      <c r="G992" s="40"/>
      <c r="H992" s="44"/>
      <c r="I992" s="33"/>
      <c r="J992" s="34"/>
      <c r="K992" s="32"/>
      <c r="L992" s="35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9.5" customHeight="1">
      <c r="A993" s="36" t="str">
        <f>LEFT('JANUARY 10, 2026'!$E993,FIND("-",'JANUARY 10, 2026'!$E993&amp;"-")-1)</f>
        <v/>
      </c>
      <c r="B993" s="41"/>
      <c r="C993" s="41"/>
      <c r="D993" s="42"/>
      <c r="E993" s="26"/>
      <c r="F993" s="43"/>
      <c r="G993" s="40"/>
      <c r="H993" s="44"/>
      <c r="I993" s="33"/>
      <c r="J993" s="34"/>
      <c r="K993" s="32"/>
      <c r="L993" s="35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9.5" customHeight="1">
      <c r="A994" s="36" t="str">
        <f>LEFT('JANUARY 10, 2026'!$E994,FIND("-",'JANUARY 10, 2026'!$E994&amp;"-")-1)</f>
        <v/>
      </c>
      <c r="B994" s="41"/>
      <c r="C994" s="41"/>
      <c r="D994" s="42"/>
      <c r="E994" s="26"/>
      <c r="F994" s="43"/>
      <c r="G994" s="40"/>
      <c r="H994" s="44"/>
      <c r="I994" s="33"/>
      <c r="J994" s="34"/>
      <c r="K994" s="32"/>
      <c r="L994" s="35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9.5" customHeight="1">
      <c r="A995" s="36" t="str">
        <f>LEFT('JANUARY 10, 2026'!$E995,FIND("-",'JANUARY 10, 2026'!$E995&amp;"-")-1)</f>
        <v/>
      </c>
      <c r="B995" s="41"/>
      <c r="C995" s="41"/>
      <c r="D995" s="42"/>
      <c r="E995" s="26"/>
      <c r="F995" s="43"/>
      <c r="G995" s="40"/>
      <c r="H995" s="44"/>
      <c r="I995" s="33"/>
      <c r="J995" s="34"/>
      <c r="K995" s="32"/>
      <c r="L995" s="35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9.5" customHeight="1">
      <c r="A996" s="36" t="str">
        <f>LEFT('JANUARY 10, 2026'!$E996,FIND("-",'JANUARY 10, 2026'!$E996&amp;"-")-1)</f>
        <v/>
      </c>
      <c r="B996" s="41"/>
      <c r="C996" s="41"/>
      <c r="D996" s="42"/>
      <c r="E996" s="26"/>
      <c r="F996" s="43"/>
      <c r="G996" s="40"/>
      <c r="H996" s="44"/>
      <c r="I996" s="33"/>
      <c r="J996" s="34"/>
      <c r="K996" s="32"/>
      <c r="L996" s="35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9.5" customHeight="1">
      <c r="A997" s="36" t="str">
        <f>LEFT('JANUARY 10, 2026'!$E997,FIND("-",'JANUARY 10, 2026'!$E997&amp;"-")-1)</f>
        <v/>
      </c>
      <c r="B997" s="41"/>
      <c r="C997" s="41"/>
      <c r="D997" s="42"/>
      <c r="E997" s="26"/>
      <c r="F997" s="43"/>
      <c r="G997" s="40"/>
      <c r="H997" s="44"/>
      <c r="I997" s="33"/>
      <c r="J997" s="34"/>
      <c r="K997" s="32"/>
      <c r="L997" s="35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9.5" customHeight="1">
      <c r="A998" s="36" t="str">
        <f>LEFT('JANUARY 10, 2026'!$E998,FIND("-",'JANUARY 10, 2026'!$E998&amp;"-")-1)</f>
        <v/>
      </c>
      <c r="B998" s="41"/>
      <c r="C998" s="41"/>
      <c r="D998" s="42"/>
      <c r="E998" s="26"/>
      <c r="F998" s="43"/>
      <c r="G998" s="40"/>
      <c r="H998" s="44"/>
      <c r="I998" s="33"/>
      <c r="J998" s="34"/>
      <c r="K998" s="32"/>
      <c r="L998" s="35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9.5" customHeight="1">
      <c r="A999" s="36" t="str">
        <f>LEFT('JANUARY 10, 2026'!$E999,FIND("-",'JANUARY 10, 2026'!$E999&amp;"-")-1)</f>
        <v/>
      </c>
      <c r="B999" s="41"/>
      <c r="C999" s="41"/>
      <c r="D999" s="42"/>
      <c r="E999" s="26"/>
      <c r="F999" s="43"/>
      <c r="G999" s="40"/>
      <c r="H999" s="44"/>
      <c r="I999" s="33"/>
      <c r="J999" s="34"/>
      <c r="K999" s="32"/>
      <c r="L999" s="35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9.5" customHeight="1">
      <c r="A1000" s="36" t="str">
        <f>LEFT('JANUARY 10, 2026'!$E1000,FIND("-",'JANUARY 10, 2026'!$E1000&amp;"-")-1)</f>
        <v/>
      </c>
      <c r="B1000" s="41"/>
      <c r="C1000" s="41"/>
      <c r="D1000" s="42"/>
      <c r="E1000" s="26"/>
      <c r="F1000" s="43"/>
      <c r="G1000" s="40"/>
      <c r="H1000" s="44"/>
      <c r="I1000" s="33"/>
      <c r="J1000" s="34"/>
      <c r="K1000" s="32"/>
      <c r="L1000" s="35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9.5" customHeight="1">
      <c r="A1001" s="36" t="str">
        <f>LEFT('JANUARY 10, 2026'!$E1001,FIND("-",'JANUARY 10, 2026'!$E1001&amp;"-")-1)</f>
        <v/>
      </c>
      <c r="B1001" s="41"/>
      <c r="C1001" s="41"/>
      <c r="D1001" s="42"/>
      <c r="E1001" s="26"/>
      <c r="F1001" s="43"/>
      <c r="G1001" s="40"/>
      <c r="H1001" s="44"/>
      <c r="I1001" s="33"/>
      <c r="J1001" s="34"/>
      <c r="K1001" s="32"/>
      <c r="L1001" s="35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9.5" customHeight="1">
      <c r="A1002" s="36" t="str">
        <f>LEFT('JANUARY 10, 2026'!$E1002,FIND("-",'JANUARY 10, 2026'!$E1002&amp;"-")-1)</f>
        <v/>
      </c>
      <c r="B1002" s="41"/>
      <c r="C1002" s="41"/>
      <c r="D1002" s="42"/>
      <c r="E1002" s="26"/>
      <c r="F1002" s="43"/>
      <c r="G1002" s="40"/>
      <c r="H1002" s="44"/>
      <c r="I1002" s="33"/>
      <c r="J1002" s="34"/>
      <c r="K1002" s="32"/>
      <c r="L1002" s="35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9.5" customHeight="1">
      <c r="A1003" s="36" t="str">
        <f>LEFT('JANUARY 10, 2026'!$E1003,FIND("-",'JANUARY 10, 2026'!$E1003&amp;"-")-1)</f>
        <v/>
      </c>
      <c r="B1003" s="41"/>
      <c r="C1003" s="41"/>
      <c r="D1003" s="42"/>
      <c r="E1003" s="26"/>
      <c r="F1003" s="43"/>
      <c r="G1003" s="40"/>
      <c r="H1003" s="44"/>
      <c r="I1003" s="33"/>
      <c r="J1003" s="34"/>
      <c r="K1003" s="32"/>
      <c r="L1003" s="35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9.5" customHeight="1">
      <c r="A1004" s="36" t="str">
        <f>LEFT('JANUARY 10, 2026'!$E1004,FIND("-",'JANUARY 10, 2026'!$E1004&amp;"-")-1)</f>
        <v/>
      </c>
      <c r="B1004" s="41"/>
      <c r="C1004" s="41"/>
      <c r="D1004" s="42"/>
      <c r="E1004" s="26"/>
      <c r="F1004" s="43"/>
      <c r="G1004" s="40"/>
      <c r="H1004" s="44"/>
      <c r="I1004" s="33"/>
      <c r="J1004" s="34"/>
      <c r="K1004" s="32"/>
      <c r="L1004" s="35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9.5" customHeight="1">
      <c r="A1005" s="36" t="str">
        <f>LEFT('JANUARY 10, 2026'!$E1005,FIND("-",'JANUARY 10, 2026'!$E1005&amp;"-")-1)</f>
        <v/>
      </c>
      <c r="B1005" s="41"/>
      <c r="C1005" s="41"/>
      <c r="D1005" s="42"/>
      <c r="E1005" s="26"/>
      <c r="F1005" s="43"/>
      <c r="G1005" s="40"/>
      <c r="H1005" s="44"/>
      <c r="I1005" s="33"/>
      <c r="J1005" s="34"/>
      <c r="K1005" s="32"/>
      <c r="L1005" s="35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9.5" customHeight="1">
      <c r="A1006" s="36" t="str">
        <f>LEFT('JANUARY 10, 2026'!$E1006,FIND("-",'JANUARY 10, 2026'!$E1006&amp;"-")-1)</f>
        <v/>
      </c>
      <c r="B1006" s="41"/>
      <c r="C1006" s="41"/>
      <c r="D1006" s="42"/>
      <c r="E1006" s="26"/>
      <c r="F1006" s="43"/>
      <c r="G1006" s="40"/>
      <c r="H1006" s="44"/>
      <c r="I1006" s="33"/>
      <c r="J1006" s="34"/>
      <c r="K1006" s="32"/>
      <c r="L1006" s="35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9.5" customHeight="1">
      <c r="A1007" s="36" t="str">
        <f>LEFT('JANUARY 10, 2026'!$E1007,FIND("-",'JANUARY 10, 2026'!$E1007&amp;"-")-1)</f>
        <v/>
      </c>
      <c r="B1007" s="41"/>
      <c r="C1007" s="41"/>
      <c r="D1007" s="42"/>
      <c r="E1007" s="26"/>
      <c r="F1007" s="43"/>
      <c r="G1007" s="40"/>
      <c r="H1007" s="44"/>
      <c r="I1007" s="33"/>
      <c r="J1007" s="34"/>
      <c r="K1007" s="32"/>
      <c r="L1007" s="35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9.5" customHeight="1">
      <c r="A1008" s="36" t="str">
        <f>LEFT('JANUARY 10, 2026'!$E1008,FIND("-",'JANUARY 10, 2026'!$E1008&amp;"-")-1)</f>
        <v/>
      </c>
      <c r="B1008" s="41"/>
      <c r="C1008" s="41"/>
      <c r="D1008" s="42"/>
      <c r="E1008" s="26"/>
      <c r="F1008" s="43"/>
      <c r="G1008" s="40"/>
      <c r="H1008" s="44"/>
      <c r="I1008" s="33"/>
      <c r="J1008" s="34"/>
      <c r="K1008" s="32"/>
      <c r="L1008" s="35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9.5" customHeight="1">
      <c r="A1009" s="36" t="str">
        <f>LEFT('JANUARY 10, 2026'!$E1009,FIND("-",'JANUARY 10, 2026'!$E1009&amp;"-")-1)</f>
        <v/>
      </c>
      <c r="B1009" s="41"/>
      <c r="C1009" s="41"/>
      <c r="D1009" s="42"/>
      <c r="E1009" s="26"/>
      <c r="F1009" s="43"/>
      <c r="G1009" s="40"/>
      <c r="H1009" s="44"/>
      <c r="I1009" s="33"/>
      <c r="J1009" s="34"/>
      <c r="K1009" s="32"/>
      <c r="L1009" s="35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9.5" customHeight="1">
      <c r="A1010" s="36" t="str">
        <f>LEFT('JANUARY 10, 2026'!$E1010,FIND("-",'JANUARY 10, 2026'!$E1010&amp;"-")-1)</f>
        <v/>
      </c>
      <c r="B1010" s="41"/>
      <c r="C1010" s="41"/>
      <c r="D1010" s="42"/>
      <c r="E1010" s="26"/>
      <c r="F1010" s="43"/>
      <c r="G1010" s="40"/>
      <c r="H1010" s="44"/>
      <c r="I1010" s="33"/>
      <c r="J1010" s="34"/>
      <c r="K1010" s="32"/>
      <c r="L1010" s="35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9.5" customHeight="1">
      <c r="A1011" s="36" t="str">
        <f>LEFT('JANUARY 10, 2026'!$E1011,FIND("-",'JANUARY 10, 2026'!$E1011&amp;"-")-1)</f>
        <v/>
      </c>
      <c r="B1011" s="41"/>
      <c r="C1011" s="41"/>
      <c r="D1011" s="42"/>
      <c r="E1011" s="26"/>
      <c r="F1011" s="43"/>
      <c r="G1011" s="40"/>
      <c r="H1011" s="44"/>
      <c r="I1011" s="33"/>
      <c r="J1011" s="34"/>
      <c r="K1011" s="32"/>
      <c r="L1011" s="35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9.5" customHeight="1">
      <c r="A1012" s="36" t="str">
        <f>LEFT('JANUARY 10, 2026'!$E1012,FIND("-",'JANUARY 10, 2026'!$E1012&amp;"-")-1)</f>
        <v/>
      </c>
      <c r="B1012" s="41"/>
      <c r="C1012" s="41"/>
      <c r="D1012" s="42"/>
      <c r="E1012" s="26"/>
      <c r="F1012" s="43"/>
      <c r="G1012" s="40"/>
      <c r="H1012" s="44"/>
      <c r="I1012" s="33"/>
      <c r="J1012" s="34"/>
      <c r="K1012" s="32"/>
      <c r="L1012" s="35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9.5" customHeight="1">
      <c r="A1013" s="36" t="str">
        <f>LEFT('JANUARY 10, 2026'!$E1013,FIND("-",'JANUARY 10, 2026'!$E1013&amp;"-")-1)</f>
        <v/>
      </c>
      <c r="B1013" s="41"/>
      <c r="C1013" s="41"/>
      <c r="D1013" s="42"/>
      <c r="E1013" s="26"/>
      <c r="F1013" s="43"/>
      <c r="G1013" s="40"/>
      <c r="H1013" s="44"/>
      <c r="I1013" s="33"/>
      <c r="J1013" s="34"/>
      <c r="K1013" s="32"/>
      <c r="L1013" s="35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9.5" customHeight="1">
      <c r="A1014" s="36" t="str">
        <f>LEFT('JANUARY 10, 2026'!$E1014,FIND("-",'JANUARY 10, 2026'!$E1014&amp;"-")-1)</f>
        <v/>
      </c>
      <c r="B1014" s="41"/>
      <c r="C1014" s="41"/>
      <c r="D1014" s="42"/>
      <c r="E1014" s="26"/>
      <c r="F1014" s="43"/>
      <c r="G1014" s="40"/>
      <c r="H1014" s="44"/>
      <c r="I1014" s="33"/>
      <c r="J1014" s="34"/>
      <c r="K1014" s="32"/>
      <c r="L1014" s="35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9.5" customHeight="1">
      <c r="A1015" s="36" t="str">
        <f>LEFT('JANUARY 10, 2026'!$E1015,FIND("-",'JANUARY 10, 2026'!$E1015&amp;"-")-1)</f>
        <v/>
      </c>
      <c r="B1015" s="41"/>
      <c r="C1015" s="41"/>
      <c r="D1015" s="42"/>
      <c r="E1015" s="26"/>
      <c r="F1015" s="43"/>
      <c r="G1015" s="40"/>
      <c r="H1015" s="44"/>
      <c r="I1015" s="33"/>
      <c r="J1015" s="34"/>
      <c r="K1015" s="32"/>
      <c r="L1015" s="35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19.5" customHeight="1">
      <c r="A1016" s="36" t="str">
        <f>LEFT('JANUARY 10, 2026'!$E1016,FIND("-",'JANUARY 10, 2026'!$E1016&amp;"-")-1)</f>
        <v/>
      </c>
      <c r="B1016" s="41"/>
      <c r="C1016" s="41"/>
      <c r="D1016" s="42"/>
      <c r="E1016" s="26"/>
      <c r="F1016" s="43"/>
      <c r="G1016" s="40"/>
      <c r="H1016" s="44"/>
      <c r="I1016" s="33"/>
      <c r="J1016" s="34"/>
      <c r="K1016" s="32"/>
      <c r="L1016" s="35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9.5" customHeight="1">
      <c r="A1017" s="36" t="str">
        <f>LEFT('JANUARY 10, 2026'!$E1017,FIND("-",'JANUARY 10, 2026'!$E1017&amp;"-")-1)</f>
        <v/>
      </c>
      <c r="B1017" s="41"/>
      <c r="C1017" s="41"/>
      <c r="D1017" s="42"/>
      <c r="E1017" s="26"/>
      <c r="F1017" s="43"/>
      <c r="G1017" s="40"/>
      <c r="H1017" s="44"/>
      <c r="I1017" s="33"/>
      <c r="J1017" s="34"/>
      <c r="K1017" s="32"/>
      <c r="L1017" s="35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t="19.5" customHeight="1">
      <c r="A1018" s="36" t="str">
        <f>LEFT('JANUARY 10, 2026'!$E1018,FIND("-",'JANUARY 10, 2026'!$E1018&amp;"-")-1)</f>
        <v/>
      </c>
      <c r="B1018" s="41"/>
      <c r="C1018" s="41"/>
      <c r="D1018" s="42"/>
      <c r="E1018" s="26"/>
      <c r="F1018" s="43"/>
      <c r="G1018" s="40"/>
      <c r="H1018" s="44"/>
      <c r="I1018" s="33"/>
      <c r="J1018" s="34"/>
      <c r="K1018" s="32"/>
      <c r="L1018" s="35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t="19.5" customHeight="1">
      <c r="A1019" s="36" t="str">
        <f>LEFT('JANUARY 10, 2026'!$E1019,FIND("-",'JANUARY 10, 2026'!$E1019&amp;"-")-1)</f>
        <v/>
      </c>
      <c r="B1019" s="41"/>
      <c r="C1019" s="41"/>
      <c r="D1019" s="42"/>
      <c r="E1019" s="26"/>
      <c r="F1019" s="43"/>
      <c r="G1019" s="40"/>
      <c r="H1019" s="44"/>
      <c r="I1019" s="33"/>
      <c r="J1019" s="34"/>
      <c r="K1019" s="32"/>
      <c r="L1019" s="35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t="19.5" customHeight="1">
      <c r="A1020" s="36" t="str">
        <f>LEFT('JANUARY 10, 2026'!$E1020,FIND("-",'JANUARY 10, 2026'!$E1020&amp;"-")-1)</f>
        <v/>
      </c>
      <c r="B1020" s="41"/>
      <c r="C1020" s="41"/>
      <c r="D1020" s="42"/>
      <c r="E1020" s="26"/>
      <c r="F1020" s="43"/>
      <c r="G1020" s="40"/>
      <c r="H1020" s="44"/>
      <c r="I1020" s="33"/>
      <c r="J1020" s="34"/>
      <c r="K1020" s="32"/>
      <c r="L1020" s="35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t="19.5" customHeight="1">
      <c r="A1021" s="36" t="str">
        <f>LEFT('JANUARY 10, 2026'!$E1021,FIND("-",'JANUARY 10, 2026'!$E1021&amp;"-")-1)</f>
        <v/>
      </c>
      <c r="B1021" s="41"/>
      <c r="C1021" s="41"/>
      <c r="D1021" s="42"/>
      <c r="E1021" s="26"/>
      <c r="F1021" s="43"/>
      <c r="G1021" s="40"/>
      <c r="H1021" s="44"/>
      <c r="I1021" s="33"/>
      <c r="J1021" s="34"/>
      <c r="K1021" s="32"/>
      <c r="L1021" s="35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t="19.5" customHeight="1">
      <c r="A1022" s="36" t="str">
        <f>LEFT('JANUARY 10, 2026'!$E1022,FIND("-",'JANUARY 10, 2026'!$E1022&amp;"-")-1)</f>
        <v/>
      </c>
      <c r="B1022" s="41"/>
      <c r="C1022" s="41"/>
      <c r="D1022" s="42"/>
      <c r="E1022" s="26"/>
      <c r="F1022" s="43"/>
      <c r="G1022" s="40"/>
      <c r="H1022" s="44"/>
      <c r="I1022" s="33"/>
      <c r="J1022" s="34"/>
      <c r="K1022" s="32"/>
      <c r="L1022" s="35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t="19.5" customHeight="1">
      <c r="A1023" s="36" t="str">
        <f>LEFT('JANUARY 10, 2026'!$E1023,FIND("-",'JANUARY 10, 2026'!$E1023&amp;"-")-1)</f>
        <v/>
      </c>
      <c r="B1023" s="41"/>
      <c r="C1023" s="41"/>
      <c r="D1023" s="42"/>
      <c r="E1023" s="26"/>
      <c r="F1023" s="43"/>
      <c r="G1023" s="40"/>
      <c r="H1023" s="44"/>
      <c r="I1023" s="33"/>
      <c r="J1023" s="34"/>
      <c r="K1023" s="32"/>
      <c r="L1023" s="35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t="19.5" customHeight="1">
      <c r="A1024" s="36" t="str">
        <f>LEFT('JANUARY 10, 2026'!$E1024,FIND("-",'JANUARY 10, 2026'!$E1024&amp;"-")-1)</f>
        <v/>
      </c>
      <c r="B1024" s="41"/>
      <c r="C1024" s="41"/>
      <c r="D1024" s="42"/>
      <c r="E1024" s="26"/>
      <c r="F1024" s="43"/>
      <c r="G1024" s="40"/>
      <c r="H1024" s="44"/>
      <c r="I1024" s="33"/>
      <c r="J1024" s="34"/>
      <c r="K1024" s="32"/>
      <c r="L1024" s="35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t="19.5" customHeight="1">
      <c r="A1025" s="36" t="str">
        <f>LEFT('JANUARY 10, 2026'!$E1025,FIND("-",'JANUARY 10, 2026'!$E1025&amp;"-")-1)</f>
        <v/>
      </c>
      <c r="B1025" s="41"/>
      <c r="C1025" s="41"/>
      <c r="D1025" s="42"/>
      <c r="E1025" s="26"/>
      <c r="F1025" s="43"/>
      <c r="G1025" s="40"/>
      <c r="H1025" s="44"/>
      <c r="I1025" s="33"/>
      <c r="J1025" s="34"/>
      <c r="K1025" s="32"/>
      <c r="L1025" s="35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t="19.5" customHeight="1">
      <c r="A1026" s="36" t="str">
        <f>LEFT('JANUARY 10, 2026'!$E1026,FIND("-",'JANUARY 10, 2026'!$E1026&amp;"-")-1)</f>
        <v/>
      </c>
      <c r="B1026" s="41"/>
      <c r="C1026" s="41"/>
      <c r="D1026" s="42"/>
      <c r="E1026" s="26"/>
      <c r="F1026" s="43"/>
      <c r="G1026" s="40"/>
      <c r="H1026" s="44"/>
      <c r="I1026" s="33"/>
      <c r="J1026" s="34"/>
      <c r="K1026" s="32"/>
      <c r="L1026" s="35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ht="19.5" customHeight="1">
      <c r="A1027" s="36" t="str">
        <f>LEFT('JANUARY 10, 2026'!$E1027,FIND("-",'JANUARY 10, 2026'!$E1027&amp;"-")-1)</f>
        <v/>
      </c>
      <c r="B1027" s="41"/>
      <c r="C1027" s="41"/>
      <c r="D1027" s="42"/>
      <c r="E1027" s="26"/>
      <c r="F1027" s="43"/>
      <c r="G1027" s="40"/>
      <c r="H1027" s="44"/>
      <c r="I1027" s="33"/>
      <c r="J1027" s="34"/>
      <c r="K1027" s="32"/>
      <c r="L1027" s="35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ht="19.5" customHeight="1">
      <c r="A1028" s="36" t="str">
        <f>LEFT('JANUARY 10, 2026'!$E1028,FIND("-",'JANUARY 10, 2026'!$E1028&amp;"-")-1)</f>
        <v/>
      </c>
      <c r="B1028" s="41"/>
      <c r="C1028" s="41"/>
      <c r="D1028" s="42"/>
      <c r="E1028" s="26"/>
      <c r="F1028" s="43"/>
      <c r="G1028" s="40"/>
      <c r="H1028" s="44"/>
      <c r="I1028" s="33"/>
      <c r="J1028" s="34"/>
      <c r="K1028" s="32"/>
      <c r="L1028" s="35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ht="19.5" customHeight="1">
      <c r="A1029" s="36" t="str">
        <f>LEFT('JANUARY 10, 2026'!$E1029,FIND("-",'JANUARY 10, 2026'!$E1029&amp;"-")-1)</f>
        <v/>
      </c>
      <c r="B1029" s="41"/>
      <c r="C1029" s="41"/>
      <c r="D1029" s="42"/>
      <c r="E1029" s="26"/>
      <c r="F1029" s="43"/>
      <c r="G1029" s="40"/>
      <c r="H1029" s="44"/>
      <c r="I1029" s="33"/>
      <c r="J1029" s="34"/>
      <c r="K1029" s="32"/>
      <c r="L1029" s="35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ht="19.5" customHeight="1">
      <c r="A1030" s="36" t="str">
        <f>LEFT('JANUARY 10, 2026'!$E1030,FIND("-",'JANUARY 10, 2026'!$E1030&amp;"-")-1)</f>
        <v/>
      </c>
      <c r="B1030" s="41"/>
      <c r="C1030" s="41"/>
      <c r="D1030" s="42"/>
      <c r="E1030" s="26"/>
      <c r="F1030" s="43"/>
      <c r="G1030" s="40"/>
      <c r="H1030" s="44"/>
      <c r="I1030" s="33"/>
      <c r="J1030" s="34"/>
      <c r="K1030" s="32"/>
      <c r="L1030" s="35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ht="19.5" customHeight="1">
      <c r="A1031" s="36" t="str">
        <f>LEFT('JANUARY 10, 2026'!$E1031,FIND("-",'JANUARY 10, 2026'!$E1031&amp;"-")-1)</f>
        <v/>
      </c>
      <c r="B1031" s="41"/>
      <c r="C1031" s="41"/>
      <c r="D1031" s="42"/>
      <c r="E1031" s="26"/>
      <c r="F1031" s="43"/>
      <c r="G1031" s="40"/>
      <c r="H1031" s="44"/>
      <c r="I1031" s="33"/>
      <c r="J1031" s="34"/>
      <c r="K1031" s="32"/>
      <c r="L1031" s="35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ht="19.5" customHeight="1">
      <c r="A1032" s="36" t="str">
        <f>LEFT('JANUARY 10, 2026'!$E1032,FIND("-",'JANUARY 10, 2026'!$E1032&amp;"-")-1)</f>
        <v/>
      </c>
      <c r="B1032" s="41"/>
      <c r="C1032" s="41"/>
      <c r="D1032" s="42"/>
      <c r="E1032" s="26"/>
      <c r="F1032" s="43"/>
      <c r="G1032" s="40"/>
      <c r="H1032" s="44"/>
      <c r="I1032" s="33"/>
      <c r="J1032" s="34"/>
      <c r="K1032" s="32"/>
      <c r="L1032" s="35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ht="19.5" customHeight="1">
      <c r="A1033" s="36" t="str">
        <f>LEFT('JANUARY 10, 2026'!$E1033,FIND("-",'JANUARY 10, 2026'!$E1033&amp;"-")-1)</f>
        <v/>
      </c>
      <c r="B1033" s="41"/>
      <c r="C1033" s="41"/>
      <c r="D1033" s="42"/>
      <c r="E1033" s="26"/>
      <c r="F1033" s="43"/>
      <c r="G1033" s="40"/>
      <c r="H1033" s="44"/>
      <c r="I1033" s="33"/>
      <c r="J1033" s="34"/>
      <c r="K1033" s="32"/>
      <c r="L1033" s="35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ht="19.5" customHeight="1">
      <c r="A1034" s="36" t="str">
        <f>LEFT('JANUARY 10, 2026'!$E1034,FIND("-",'JANUARY 10, 2026'!$E1034&amp;"-")-1)</f>
        <v/>
      </c>
      <c r="B1034" s="41"/>
      <c r="C1034" s="41"/>
      <c r="D1034" s="42"/>
      <c r="E1034" s="26"/>
      <c r="F1034" s="43"/>
      <c r="G1034" s="40"/>
      <c r="H1034" s="44"/>
      <c r="I1034" s="33"/>
      <c r="J1034" s="34"/>
      <c r="K1034" s="32"/>
      <c r="L1034" s="35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ht="19.5" customHeight="1">
      <c r="A1035" s="36" t="str">
        <f>LEFT('JANUARY 10, 2026'!$E1035,FIND("-",'JANUARY 10, 2026'!$E1035&amp;"-")-1)</f>
        <v/>
      </c>
      <c r="B1035" s="41"/>
      <c r="C1035" s="41"/>
      <c r="D1035" s="42"/>
      <c r="E1035" s="26"/>
      <c r="F1035" s="43"/>
      <c r="G1035" s="40"/>
      <c r="H1035" s="44"/>
      <c r="I1035" s="33"/>
      <c r="J1035" s="34"/>
      <c r="K1035" s="32"/>
      <c r="L1035" s="35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ht="19.5" customHeight="1">
      <c r="A1036" s="36" t="str">
        <f>LEFT('JANUARY 10, 2026'!$E1036,FIND("-",'JANUARY 10, 2026'!$E1036&amp;"-")-1)</f>
        <v/>
      </c>
      <c r="B1036" s="41"/>
      <c r="C1036" s="41"/>
      <c r="D1036" s="42"/>
      <c r="E1036" s="26"/>
      <c r="F1036" s="43"/>
      <c r="G1036" s="40"/>
      <c r="H1036" s="44"/>
      <c r="I1036" s="33"/>
      <c r="J1036" s="34"/>
      <c r="K1036" s="32"/>
      <c r="L1036" s="35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ht="19.5" customHeight="1">
      <c r="A1037" s="36" t="str">
        <f>LEFT('JANUARY 10, 2026'!$E1037,FIND("-",'JANUARY 10, 2026'!$E1037&amp;"-")-1)</f>
        <v/>
      </c>
      <c r="B1037" s="41"/>
      <c r="C1037" s="41"/>
      <c r="D1037" s="42"/>
      <c r="E1037" s="26"/>
      <c r="F1037" s="43"/>
      <c r="G1037" s="40"/>
      <c r="H1037" s="44"/>
      <c r="I1037" s="33"/>
      <c r="J1037" s="34"/>
      <c r="K1037" s="32"/>
      <c r="L1037" s="35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ht="19.5" customHeight="1">
      <c r="A1038" s="36" t="str">
        <f>LEFT('JANUARY 10, 2026'!$E1038,FIND("-",'JANUARY 10, 2026'!$E1038&amp;"-")-1)</f>
        <v/>
      </c>
      <c r="B1038" s="41"/>
      <c r="C1038" s="41"/>
      <c r="D1038" s="42"/>
      <c r="E1038" s="26"/>
      <c r="F1038" s="43"/>
      <c r="G1038" s="40"/>
      <c r="H1038" s="44"/>
      <c r="I1038" s="33"/>
      <c r="J1038" s="34"/>
      <c r="K1038" s="32"/>
      <c r="L1038" s="35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ht="19.5" customHeight="1">
      <c r="A1039" s="36" t="str">
        <f>LEFT('JANUARY 10, 2026'!$E1039,FIND("-",'JANUARY 10, 2026'!$E1039&amp;"-")-1)</f>
        <v/>
      </c>
      <c r="B1039" s="41"/>
      <c r="C1039" s="41"/>
      <c r="D1039" s="42"/>
      <c r="E1039" s="26"/>
      <c r="F1039" s="43"/>
      <c r="G1039" s="40"/>
      <c r="H1039" s="44"/>
      <c r="I1039" s="33"/>
      <c r="J1039" s="34"/>
      <c r="K1039" s="32"/>
      <c r="L1039" s="35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ht="19.5" customHeight="1">
      <c r="A1040" s="36" t="str">
        <f>LEFT('JANUARY 10, 2026'!$E1040,FIND("-",'JANUARY 10, 2026'!$E1040&amp;"-")-1)</f>
        <v/>
      </c>
      <c r="B1040" s="41"/>
      <c r="C1040" s="41"/>
      <c r="D1040" s="42"/>
      <c r="E1040" s="26"/>
      <c r="F1040" s="43"/>
      <c r="G1040" s="40"/>
      <c r="H1040" s="44"/>
      <c r="I1040" s="33"/>
      <c r="J1040" s="34"/>
      <c r="K1040" s="32"/>
      <c r="L1040" s="35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ht="19.5" customHeight="1">
      <c r="A1041" s="36" t="str">
        <f>LEFT('JANUARY 10, 2026'!$E1041,FIND("-",'JANUARY 10, 2026'!$E1041&amp;"-")-1)</f>
        <v/>
      </c>
      <c r="B1041" s="41"/>
      <c r="C1041" s="41"/>
      <c r="D1041" s="42"/>
      <c r="E1041" s="26"/>
      <c r="F1041" s="43"/>
      <c r="G1041" s="40"/>
      <c r="H1041" s="44"/>
      <c r="I1041" s="33"/>
      <c r="J1041" s="34"/>
      <c r="K1041" s="32"/>
      <c r="L1041" s="35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ht="19.5" customHeight="1">
      <c r="A1042" s="36" t="str">
        <f>LEFT('JANUARY 10, 2026'!$E1042,FIND("-",'JANUARY 10, 2026'!$E1042&amp;"-")-1)</f>
        <v/>
      </c>
      <c r="B1042" s="41"/>
      <c r="C1042" s="41"/>
      <c r="D1042" s="42"/>
      <c r="E1042" s="26"/>
      <c r="F1042" s="43"/>
      <c r="G1042" s="40"/>
      <c r="H1042" s="44"/>
      <c r="I1042" s="33"/>
      <c r="J1042" s="34"/>
      <c r="K1042" s="32"/>
      <c r="L1042" s="35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ht="19.5" customHeight="1">
      <c r="A1043" s="36" t="str">
        <f>LEFT('JANUARY 10, 2026'!$E1043,FIND("-",'JANUARY 10, 2026'!$E1043&amp;"-")-1)</f>
        <v/>
      </c>
      <c r="B1043" s="41"/>
      <c r="C1043" s="41"/>
      <c r="D1043" s="42"/>
      <c r="E1043" s="26"/>
      <c r="F1043" s="43"/>
      <c r="G1043" s="40"/>
      <c r="H1043" s="44"/>
      <c r="I1043" s="33"/>
      <c r="J1043" s="34"/>
      <c r="K1043" s="32"/>
      <c r="L1043" s="35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ht="19.5" customHeight="1">
      <c r="A1044" s="36" t="str">
        <f>LEFT('JANUARY 10, 2026'!$E1044,FIND("-",'JANUARY 10, 2026'!$E1044&amp;"-")-1)</f>
        <v/>
      </c>
      <c r="B1044" s="41"/>
      <c r="C1044" s="41"/>
      <c r="D1044" s="42"/>
      <c r="E1044" s="26"/>
      <c r="F1044" s="43"/>
      <c r="G1044" s="40"/>
      <c r="H1044" s="44"/>
      <c r="I1044" s="33"/>
      <c r="J1044" s="34"/>
      <c r="K1044" s="32"/>
      <c r="L1044" s="35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ht="19.5" customHeight="1">
      <c r="A1045" s="36" t="str">
        <f>LEFT('JANUARY 10, 2026'!$E1045,FIND("-",'JANUARY 10, 2026'!$E1045&amp;"-")-1)</f>
        <v/>
      </c>
      <c r="B1045" s="41"/>
      <c r="C1045" s="41"/>
      <c r="D1045" s="42"/>
      <c r="E1045" s="26"/>
      <c r="F1045" s="43"/>
      <c r="G1045" s="40"/>
      <c r="H1045" s="44"/>
      <c r="I1045" s="33"/>
      <c r="J1045" s="34"/>
      <c r="K1045" s="32"/>
      <c r="L1045" s="35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t="19.5" customHeight="1">
      <c r="A1046" s="36" t="str">
        <f>LEFT('JANUARY 10, 2026'!$E1046,FIND("-",'JANUARY 10, 2026'!$E1046&amp;"-")-1)</f>
        <v/>
      </c>
      <c r="B1046" s="41"/>
      <c r="C1046" s="41"/>
      <c r="D1046" s="42"/>
      <c r="E1046" s="26"/>
      <c r="F1046" s="43"/>
      <c r="G1046" s="40"/>
      <c r="H1046" s="44"/>
      <c r="I1046" s="33"/>
      <c r="J1046" s="34"/>
      <c r="K1046" s="32"/>
      <c r="L1046" s="35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ht="19.5" customHeight="1">
      <c r="A1047" s="36" t="str">
        <f>LEFT('JANUARY 10, 2026'!$E1047,FIND("-",'JANUARY 10, 2026'!$E1047&amp;"-")-1)</f>
        <v/>
      </c>
      <c r="B1047" s="41"/>
      <c r="C1047" s="41"/>
      <c r="D1047" s="42"/>
      <c r="E1047" s="26"/>
      <c r="F1047" s="43"/>
      <c r="G1047" s="40"/>
      <c r="H1047" s="44"/>
      <c r="I1047" s="33"/>
      <c r="J1047" s="34"/>
      <c r="K1047" s="32"/>
      <c r="L1047" s="35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ht="19.5" customHeight="1">
      <c r="A1048" s="36" t="str">
        <f>LEFT('JANUARY 10, 2026'!$E1048,FIND("-",'JANUARY 10, 2026'!$E1048&amp;"-")-1)</f>
        <v/>
      </c>
      <c r="B1048" s="41"/>
      <c r="C1048" s="41"/>
      <c r="D1048" s="42"/>
      <c r="E1048" s="26"/>
      <c r="F1048" s="43"/>
      <c r="G1048" s="40"/>
      <c r="H1048" s="44"/>
      <c r="I1048" s="33"/>
      <c r="J1048" s="34"/>
      <c r="K1048" s="32"/>
      <c r="L1048" s="35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ht="19.5" customHeight="1">
      <c r="A1049" s="36" t="str">
        <f>LEFT('JANUARY 10, 2026'!$E1049,FIND("-",'JANUARY 10, 2026'!$E1049&amp;"-")-1)</f>
        <v/>
      </c>
      <c r="B1049" s="41"/>
      <c r="C1049" s="41"/>
      <c r="D1049" s="42"/>
      <c r="E1049" s="26"/>
      <c r="F1049" s="43"/>
      <c r="G1049" s="40"/>
      <c r="H1049" s="44"/>
      <c r="I1049" s="33"/>
      <c r="J1049" s="34"/>
      <c r="K1049" s="32"/>
      <c r="L1049" s="35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ht="19.5" customHeight="1">
      <c r="A1050" s="36" t="str">
        <f>LEFT('JANUARY 10, 2026'!$E1050,FIND("-",'JANUARY 10, 2026'!$E1050&amp;"-")-1)</f>
        <v/>
      </c>
      <c r="B1050" s="41"/>
      <c r="C1050" s="41"/>
      <c r="D1050" s="42"/>
      <c r="E1050" s="26"/>
      <c r="F1050" s="43"/>
      <c r="G1050" s="40"/>
      <c r="H1050" s="44"/>
      <c r="I1050" s="33"/>
      <c r="J1050" s="34"/>
      <c r="K1050" s="32"/>
      <c r="L1050" s="35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ht="19.5" customHeight="1">
      <c r="A1051" s="36" t="str">
        <f>LEFT('JANUARY 10, 2026'!$E1051,FIND("-",'JANUARY 10, 2026'!$E1051&amp;"-")-1)</f>
        <v/>
      </c>
      <c r="B1051" s="41"/>
      <c r="C1051" s="41"/>
      <c r="D1051" s="42"/>
      <c r="E1051" s="26"/>
      <c r="F1051" s="43"/>
      <c r="G1051" s="40"/>
      <c r="H1051" s="44"/>
      <c r="I1051" s="33"/>
      <c r="J1051" s="34"/>
      <c r="K1051" s="32"/>
      <c r="L1051" s="35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ht="19.5" customHeight="1">
      <c r="A1052" s="36" t="str">
        <f>LEFT('JANUARY 10, 2026'!$E1052,FIND("-",'JANUARY 10, 2026'!$E1052&amp;"-")-1)</f>
        <v/>
      </c>
      <c r="B1052" s="41"/>
      <c r="C1052" s="41"/>
      <c r="D1052" s="42"/>
      <c r="E1052" s="26"/>
      <c r="F1052" s="43"/>
      <c r="G1052" s="40"/>
      <c r="H1052" s="44"/>
      <c r="I1052" s="33"/>
      <c r="J1052" s="34"/>
      <c r="K1052" s="32"/>
      <c r="L1052" s="35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ht="19.5" customHeight="1">
      <c r="A1053" s="36" t="str">
        <f>LEFT('JANUARY 10, 2026'!$E1053,FIND("-",'JANUARY 10, 2026'!$E1053&amp;"-")-1)</f>
        <v/>
      </c>
      <c r="B1053" s="41"/>
      <c r="C1053" s="41"/>
      <c r="D1053" s="42"/>
      <c r="E1053" s="26"/>
      <c r="F1053" s="43"/>
      <c r="G1053" s="40"/>
      <c r="H1053" s="44"/>
      <c r="I1053" s="33"/>
      <c r="J1053" s="34"/>
      <c r="K1053" s="32"/>
      <c r="L1053" s="35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ht="19.5" customHeight="1">
      <c r="A1054" s="36" t="str">
        <f>LEFT('JANUARY 10, 2026'!$E1054,FIND("-",'JANUARY 10, 2026'!$E1054&amp;"-")-1)</f>
        <v/>
      </c>
      <c r="B1054" s="41"/>
      <c r="C1054" s="41"/>
      <c r="D1054" s="42"/>
      <c r="E1054" s="26"/>
      <c r="F1054" s="43"/>
      <c r="G1054" s="40"/>
      <c r="H1054" s="44"/>
      <c r="I1054" s="33"/>
      <c r="J1054" s="34"/>
      <c r="K1054" s="32"/>
      <c r="L1054" s="35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ht="19.5" customHeight="1">
      <c r="A1055" s="36" t="str">
        <f>LEFT('JANUARY 10, 2026'!$E1055,FIND("-",'JANUARY 10, 2026'!$E1055&amp;"-")-1)</f>
        <v/>
      </c>
      <c r="B1055" s="41"/>
      <c r="C1055" s="41"/>
      <c r="D1055" s="42"/>
      <c r="E1055" s="26"/>
      <c r="F1055" s="43"/>
      <c r="G1055" s="40"/>
      <c r="H1055" s="44"/>
      <c r="I1055" s="33"/>
      <c r="J1055" s="34"/>
      <c r="K1055" s="32"/>
      <c r="L1055" s="35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ht="19.5" customHeight="1">
      <c r="A1056" s="36" t="str">
        <f>LEFT('JANUARY 10, 2026'!$E1056,FIND("-",'JANUARY 10, 2026'!$E1056&amp;"-")-1)</f>
        <v/>
      </c>
      <c r="B1056" s="41"/>
      <c r="C1056" s="41"/>
      <c r="D1056" s="42"/>
      <c r="E1056" s="26"/>
      <c r="F1056" s="43"/>
      <c r="G1056" s="40"/>
      <c r="H1056" s="44"/>
      <c r="I1056" s="33"/>
      <c r="J1056" s="34"/>
      <c r="K1056" s="32"/>
      <c r="L1056" s="35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ht="19.5" customHeight="1">
      <c r="A1057" s="36" t="str">
        <f>LEFT('JANUARY 10, 2026'!$E1057,FIND("-",'JANUARY 10, 2026'!$E1057&amp;"-")-1)</f>
        <v/>
      </c>
      <c r="B1057" s="41"/>
      <c r="C1057" s="41"/>
      <c r="D1057" s="42"/>
      <c r="E1057" s="26"/>
      <c r="F1057" s="43"/>
      <c r="G1057" s="40"/>
      <c r="H1057" s="44"/>
      <c r="I1057" s="33"/>
      <c r="J1057" s="34"/>
      <c r="K1057" s="32"/>
      <c r="L1057" s="35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ht="19.5" customHeight="1">
      <c r="A1058" s="36" t="str">
        <f>LEFT('JANUARY 10, 2026'!$E1058,FIND("-",'JANUARY 10, 2026'!$E1058&amp;"-")-1)</f>
        <v/>
      </c>
      <c r="B1058" s="41"/>
      <c r="C1058" s="41"/>
      <c r="D1058" s="42"/>
      <c r="E1058" s="26"/>
      <c r="F1058" s="43"/>
      <c r="G1058" s="40"/>
      <c r="H1058" s="44"/>
      <c r="I1058" s="33"/>
      <c r="J1058" s="34"/>
      <c r="K1058" s="32"/>
      <c r="L1058" s="35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ht="19.5" customHeight="1">
      <c r="A1059" s="36" t="str">
        <f>LEFT('JANUARY 10, 2026'!$E1059,FIND("-",'JANUARY 10, 2026'!$E1059&amp;"-")-1)</f>
        <v/>
      </c>
      <c r="B1059" s="41"/>
      <c r="C1059" s="41"/>
      <c r="D1059" s="42"/>
      <c r="E1059" s="26"/>
      <c r="F1059" s="43"/>
      <c r="G1059" s="40"/>
      <c r="H1059" s="44"/>
      <c r="I1059" s="33"/>
      <c r="J1059" s="34"/>
      <c r="K1059" s="32"/>
      <c r="L1059" s="35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t="19.5" customHeight="1">
      <c r="A1060" s="36" t="str">
        <f>LEFT('JANUARY 10, 2026'!$E1060,FIND("-",'JANUARY 10, 2026'!$E1060&amp;"-")-1)</f>
        <v/>
      </c>
      <c r="B1060" s="41"/>
      <c r="C1060" s="41"/>
      <c r="D1060" s="42"/>
      <c r="E1060" s="26"/>
      <c r="F1060" s="43"/>
      <c r="G1060" s="40"/>
      <c r="H1060" s="44"/>
      <c r="I1060" s="33"/>
      <c r="J1060" s="34"/>
      <c r="K1060" s="32"/>
      <c r="L1060" s="35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ht="19.5" customHeight="1">
      <c r="A1061" s="36" t="str">
        <f>LEFT('JANUARY 10, 2026'!$E1061,FIND("-",'JANUARY 10, 2026'!$E1061&amp;"-")-1)</f>
        <v/>
      </c>
      <c r="B1061" s="41"/>
      <c r="C1061" s="41"/>
      <c r="D1061" s="42"/>
      <c r="E1061" s="26"/>
      <c r="F1061" s="43"/>
      <c r="G1061" s="40"/>
      <c r="H1061" s="44"/>
      <c r="I1061" s="33"/>
      <c r="J1061" s="34"/>
      <c r="K1061" s="32"/>
      <c r="L1061" s="35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ht="19.5" customHeight="1">
      <c r="A1062" s="36" t="str">
        <f>LEFT('JANUARY 10, 2026'!$E1062,FIND("-",'JANUARY 10, 2026'!$E1062&amp;"-")-1)</f>
        <v/>
      </c>
      <c r="B1062" s="41"/>
      <c r="C1062" s="41"/>
      <c r="D1062" s="42"/>
      <c r="E1062" s="26"/>
      <c r="F1062" s="43"/>
      <c r="G1062" s="40"/>
      <c r="H1062" s="44"/>
      <c r="I1062" s="33"/>
      <c r="J1062" s="34"/>
      <c r="K1062" s="32"/>
      <c r="L1062" s="35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ht="19.5" customHeight="1">
      <c r="A1063" s="36" t="str">
        <f>LEFT('JANUARY 10, 2026'!$E1063,FIND("-",'JANUARY 10, 2026'!$E1063&amp;"-")-1)</f>
        <v/>
      </c>
      <c r="B1063" s="41"/>
      <c r="C1063" s="41"/>
      <c r="D1063" s="42"/>
      <c r="E1063" s="26"/>
      <c r="F1063" s="43"/>
      <c r="G1063" s="40"/>
      <c r="H1063" s="44"/>
      <c r="I1063" s="33"/>
      <c r="J1063" s="34"/>
      <c r="K1063" s="32"/>
      <c r="L1063" s="35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ht="19.5" customHeight="1">
      <c r="A1064" s="36" t="str">
        <f>LEFT('JANUARY 10, 2026'!$E1064,FIND("-",'JANUARY 10, 2026'!$E1064&amp;"-")-1)</f>
        <v/>
      </c>
      <c r="B1064" s="41"/>
      <c r="C1064" s="41"/>
      <c r="D1064" s="42"/>
      <c r="E1064" s="26"/>
      <c r="F1064" s="43"/>
      <c r="G1064" s="40"/>
      <c r="H1064" s="44"/>
      <c r="I1064" s="33"/>
      <c r="J1064" s="34"/>
      <c r="K1064" s="32"/>
      <c r="L1064" s="35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ht="19.5" customHeight="1">
      <c r="A1065" s="36" t="str">
        <f>LEFT('JANUARY 10, 2026'!$E1065,FIND("-",'JANUARY 10, 2026'!$E1065&amp;"-")-1)</f>
        <v/>
      </c>
      <c r="B1065" s="41"/>
      <c r="C1065" s="41"/>
      <c r="D1065" s="42"/>
      <c r="E1065" s="26"/>
      <c r="F1065" s="43"/>
      <c r="G1065" s="40"/>
      <c r="H1065" s="44"/>
      <c r="I1065" s="33"/>
      <c r="J1065" s="34"/>
      <c r="K1065" s="32"/>
      <c r="L1065" s="35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ht="19.5" customHeight="1">
      <c r="A1066" s="36" t="str">
        <f>LEFT('JANUARY 10, 2026'!$E1066,FIND("-",'JANUARY 10, 2026'!$E1066&amp;"-")-1)</f>
        <v/>
      </c>
      <c r="B1066" s="41"/>
      <c r="C1066" s="41"/>
      <c r="D1066" s="42"/>
      <c r="E1066" s="26"/>
      <c r="F1066" s="43"/>
      <c r="G1066" s="40"/>
      <c r="H1066" s="44"/>
      <c r="I1066" s="33"/>
      <c r="J1066" s="34"/>
      <c r="K1066" s="32"/>
      <c r="L1066" s="35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ht="19.5" customHeight="1">
      <c r="A1067" s="36" t="str">
        <f>LEFT('JANUARY 10, 2026'!$E1067,FIND("-",'JANUARY 10, 2026'!$E1067&amp;"-")-1)</f>
        <v/>
      </c>
      <c r="B1067" s="41"/>
      <c r="C1067" s="41"/>
      <c r="D1067" s="42"/>
      <c r="E1067" s="26"/>
      <c r="F1067" s="43"/>
      <c r="G1067" s="40"/>
      <c r="H1067" s="44"/>
      <c r="I1067" s="33"/>
      <c r="J1067" s="34"/>
      <c r="K1067" s="32"/>
      <c r="L1067" s="35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ht="19.5" customHeight="1">
      <c r="A1068" s="36" t="str">
        <f>LEFT('JANUARY 10, 2026'!$E1068,FIND("-",'JANUARY 10, 2026'!$E1068&amp;"-")-1)</f>
        <v/>
      </c>
      <c r="B1068" s="41"/>
      <c r="C1068" s="41"/>
      <c r="D1068" s="42"/>
      <c r="E1068" s="26"/>
      <c r="F1068" s="43"/>
      <c r="G1068" s="40"/>
      <c r="H1068" s="44"/>
      <c r="I1068" s="33"/>
      <c r="J1068" s="34"/>
      <c r="K1068" s="32"/>
      <c r="L1068" s="35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ht="19.5" customHeight="1">
      <c r="A1069" s="36" t="str">
        <f>LEFT('JANUARY 10, 2026'!$E1069,FIND("-",'JANUARY 10, 2026'!$E1069&amp;"-")-1)</f>
        <v/>
      </c>
      <c r="B1069" s="41"/>
      <c r="C1069" s="41"/>
      <c r="D1069" s="42"/>
      <c r="E1069" s="26"/>
      <c r="F1069" s="43"/>
      <c r="G1069" s="40"/>
      <c r="H1069" s="44"/>
      <c r="I1069" s="33"/>
      <c r="J1069" s="34"/>
      <c r="K1069" s="32"/>
      <c r="L1069" s="35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ht="19.5" customHeight="1">
      <c r="A1070" s="36" t="str">
        <f>LEFT('JANUARY 10, 2026'!$E1070,FIND("-",'JANUARY 10, 2026'!$E1070&amp;"-")-1)</f>
        <v/>
      </c>
      <c r="B1070" s="41"/>
      <c r="C1070" s="41"/>
      <c r="D1070" s="42"/>
      <c r="E1070" s="26"/>
      <c r="F1070" s="43"/>
      <c r="G1070" s="40"/>
      <c r="H1070" s="44"/>
      <c r="I1070" s="33"/>
      <c r="J1070" s="34"/>
      <c r="K1070" s="32"/>
      <c r="L1070" s="35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ht="19.5" customHeight="1">
      <c r="A1071" s="36" t="str">
        <f>LEFT('JANUARY 10, 2026'!$E1071,FIND("-",'JANUARY 10, 2026'!$E1071&amp;"-")-1)</f>
        <v/>
      </c>
      <c r="B1071" s="41"/>
      <c r="C1071" s="41"/>
      <c r="D1071" s="42"/>
      <c r="E1071" s="26"/>
      <c r="F1071" s="43"/>
      <c r="G1071" s="40"/>
      <c r="H1071" s="44"/>
      <c r="I1071" s="33"/>
      <c r="J1071" s="34"/>
      <c r="K1071" s="32"/>
      <c r="L1071" s="35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ht="19.5" customHeight="1">
      <c r="A1072" s="36" t="str">
        <f>LEFT('JANUARY 10, 2026'!$E1072,FIND("-",'JANUARY 10, 2026'!$E1072&amp;"-")-1)</f>
        <v/>
      </c>
      <c r="B1072" s="41"/>
      <c r="C1072" s="41"/>
      <c r="D1072" s="42"/>
      <c r="E1072" s="26"/>
      <c r="F1072" s="43"/>
      <c r="G1072" s="40"/>
      <c r="H1072" s="44"/>
      <c r="I1072" s="33"/>
      <c r="J1072" s="34"/>
      <c r="K1072" s="32"/>
      <c r="L1072" s="35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ht="19.5" customHeight="1">
      <c r="A1073" s="36" t="str">
        <f>LEFT('JANUARY 10, 2026'!$E1073,FIND("-",'JANUARY 10, 2026'!$E1073&amp;"-")-1)</f>
        <v/>
      </c>
      <c r="B1073" s="41"/>
      <c r="C1073" s="41"/>
      <c r="D1073" s="42"/>
      <c r="E1073" s="26"/>
      <c r="F1073" s="43"/>
      <c r="G1073" s="40"/>
      <c r="H1073" s="44"/>
      <c r="I1073" s="33"/>
      <c r="J1073" s="34"/>
      <c r="K1073" s="32"/>
      <c r="L1073" s="35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ht="19.5" customHeight="1">
      <c r="A1074" s="36" t="str">
        <f>LEFT('JANUARY 10, 2026'!$E1074,FIND("-",'JANUARY 10, 2026'!$E1074&amp;"-")-1)</f>
        <v/>
      </c>
      <c r="B1074" s="41"/>
      <c r="C1074" s="41"/>
      <c r="D1074" s="42"/>
      <c r="E1074" s="26"/>
      <c r="F1074" s="43"/>
      <c r="G1074" s="40"/>
      <c r="H1074" s="44"/>
      <c r="I1074" s="33"/>
      <c r="J1074" s="34"/>
      <c r="K1074" s="32"/>
      <c r="L1074" s="35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ht="19.5" customHeight="1">
      <c r="A1075" s="36" t="str">
        <f>LEFT('JANUARY 10, 2026'!$E1075,FIND("-",'JANUARY 10, 2026'!$E1075&amp;"-")-1)</f>
        <v/>
      </c>
      <c r="B1075" s="41"/>
      <c r="C1075" s="41"/>
      <c r="D1075" s="42"/>
      <c r="E1075" s="26"/>
      <c r="F1075" s="43"/>
      <c r="G1075" s="40"/>
      <c r="H1075" s="44"/>
      <c r="I1075" s="33"/>
      <c r="J1075" s="34"/>
      <c r="K1075" s="32"/>
      <c r="L1075" s="35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ht="19.5" customHeight="1">
      <c r="A1076" s="36" t="str">
        <f>LEFT('JANUARY 10, 2026'!$E1076,FIND("-",'JANUARY 10, 2026'!$E1076&amp;"-")-1)</f>
        <v/>
      </c>
      <c r="B1076" s="41"/>
      <c r="C1076" s="41"/>
      <c r="D1076" s="42"/>
      <c r="E1076" s="26"/>
      <c r="F1076" s="43"/>
      <c r="G1076" s="40"/>
      <c r="H1076" s="44"/>
      <c r="I1076" s="33"/>
      <c r="J1076" s="34"/>
      <c r="K1076" s="32"/>
      <c r="L1076" s="35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ht="19.5" customHeight="1">
      <c r="A1077" s="36" t="str">
        <f>LEFT('JANUARY 10, 2026'!$E1077,FIND("-",'JANUARY 10, 2026'!$E1077&amp;"-")-1)</f>
        <v/>
      </c>
      <c r="B1077" s="41"/>
      <c r="C1077" s="41"/>
      <c r="D1077" s="42"/>
      <c r="E1077" s="26"/>
      <c r="F1077" s="43"/>
      <c r="G1077" s="40"/>
      <c r="H1077" s="44"/>
      <c r="I1077" s="33"/>
      <c r="J1077" s="34"/>
      <c r="K1077" s="32"/>
      <c r="L1077" s="35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ht="19.5" customHeight="1">
      <c r="A1078" s="36" t="str">
        <f>LEFT('JANUARY 10, 2026'!$E1078,FIND("-",'JANUARY 10, 2026'!$E1078&amp;"-")-1)</f>
        <v/>
      </c>
      <c r="B1078" s="41"/>
      <c r="C1078" s="41"/>
      <c r="D1078" s="42"/>
      <c r="E1078" s="26"/>
      <c r="F1078" s="43"/>
      <c r="G1078" s="40"/>
      <c r="H1078" s="44"/>
      <c r="I1078" s="33"/>
      <c r="J1078" s="34"/>
      <c r="K1078" s="32"/>
      <c r="L1078" s="35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ht="19.5" customHeight="1">
      <c r="A1079" s="36" t="str">
        <f>LEFT('JANUARY 10, 2026'!$E1079,FIND("-",'JANUARY 10, 2026'!$E1079&amp;"-")-1)</f>
        <v/>
      </c>
      <c r="B1079" s="47"/>
      <c r="C1079" s="41"/>
      <c r="D1079" s="42"/>
      <c r="E1079" s="26"/>
      <c r="F1079" s="43"/>
      <c r="G1079" s="40"/>
      <c r="H1079" s="44"/>
      <c r="I1079" s="33"/>
      <c r="J1079" s="34"/>
      <c r="K1079" s="32"/>
      <c r="L1079" s="35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ht="19.5" customHeight="1">
      <c r="A1080" s="36" t="str">
        <f>LEFT('JANUARY 10, 2026'!$E1080,FIND("-",'JANUARY 10, 2026'!$E1080&amp;"-")-1)</f>
        <v/>
      </c>
      <c r="B1080" s="41"/>
      <c r="C1080" s="41"/>
      <c r="D1080" s="42"/>
      <c r="E1080" s="26"/>
      <c r="F1080" s="43"/>
      <c r="G1080" s="40"/>
      <c r="H1080" s="44"/>
      <c r="I1080" s="33"/>
      <c r="J1080" s="34"/>
      <c r="K1080" s="32"/>
      <c r="L1080" s="35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ht="19.5" customHeight="1">
      <c r="A1081" s="36" t="str">
        <f>LEFT('JANUARY 10, 2026'!$E1081,FIND("-",'JANUARY 10, 2026'!$E1081&amp;"-")-1)</f>
        <v/>
      </c>
      <c r="B1081" s="41"/>
      <c r="C1081" s="41"/>
      <c r="D1081" s="42"/>
      <c r="E1081" s="26"/>
      <c r="F1081" s="43"/>
      <c r="G1081" s="40"/>
      <c r="H1081" s="44"/>
      <c r="I1081" s="33"/>
      <c r="J1081" s="34"/>
      <c r="K1081" s="32"/>
      <c r="L1081" s="35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ht="19.5" customHeight="1">
      <c r="A1082" s="36" t="str">
        <f>LEFT('JANUARY 10, 2026'!$E1082,FIND("-",'JANUARY 10, 2026'!$E1082&amp;"-")-1)</f>
        <v/>
      </c>
      <c r="B1082" s="41"/>
      <c r="C1082" s="41"/>
      <c r="D1082" s="42"/>
      <c r="E1082" s="26"/>
      <c r="F1082" s="43"/>
      <c r="G1082" s="40"/>
      <c r="H1082" s="44"/>
      <c r="I1082" s="33"/>
      <c r="J1082" s="34"/>
      <c r="K1082" s="32"/>
      <c r="L1082" s="35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ht="19.5" customHeight="1">
      <c r="A1083" s="36" t="str">
        <f>LEFT('JANUARY 10, 2026'!$E1083,FIND("-",'JANUARY 10, 2026'!$E1083&amp;"-")-1)</f>
        <v/>
      </c>
      <c r="B1083" s="41"/>
      <c r="C1083" s="41"/>
      <c r="D1083" s="42"/>
      <c r="E1083" s="26"/>
      <c r="F1083" s="43"/>
      <c r="G1083" s="40"/>
      <c r="H1083" s="44"/>
      <c r="I1083" s="33"/>
      <c r="J1083" s="34"/>
      <c r="K1083" s="32"/>
      <c r="L1083" s="35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ht="19.5" customHeight="1">
      <c r="A1084" s="36" t="str">
        <f>LEFT('JANUARY 10, 2026'!$E1084,FIND("-",'JANUARY 10, 2026'!$E1084&amp;"-")-1)</f>
        <v/>
      </c>
      <c r="B1084" s="41"/>
      <c r="C1084" s="41"/>
      <c r="D1084" s="42"/>
      <c r="E1084" s="26"/>
      <c r="F1084" s="43"/>
      <c r="G1084" s="40"/>
      <c r="H1084" s="44"/>
      <c r="I1084" s="33"/>
      <c r="J1084" s="34"/>
      <c r="K1084" s="32"/>
      <c r="L1084" s="35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ht="19.5" customHeight="1">
      <c r="A1085" s="36" t="str">
        <f>LEFT('JANUARY 10, 2026'!$E1085,FIND("-",'JANUARY 10, 2026'!$E1085&amp;"-")-1)</f>
        <v/>
      </c>
      <c r="B1085" s="41"/>
      <c r="C1085" s="41"/>
      <c r="D1085" s="42"/>
      <c r="E1085" s="26"/>
      <c r="F1085" s="43"/>
      <c r="G1085" s="40"/>
      <c r="H1085" s="44"/>
      <c r="I1085" s="33"/>
      <c r="J1085" s="34"/>
      <c r="K1085" s="32"/>
      <c r="L1085" s="35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ht="19.5" customHeight="1">
      <c r="A1086" s="36" t="str">
        <f>LEFT('JANUARY 10, 2026'!$E1086,FIND("-",'JANUARY 10, 2026'!$E1086&amp;"-")-1)</f>
        <v/>
      </c>
      <c r="B1086" s="41"/>
      <c r="C1086" s="41"/>
      <c r="D1086" s="42"/>
      <c r="E1086" s="26"/>
      <c r="F1086" s="43"/>
      <c r="G1086" s="40"/>
      <c r="H1086" s="44"/>
      <c r="I1086" s="33"/>
      <c r="J1086" s="34"/>
      <c r="K1086" s="32"/>
      <c r="L1086" s="35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ht="19.5" customHeight="1">
      <c r="A1087" s="36" t="str">
        <f>LEFT('JANUARY 10, 2026'!$E1087,FIND("-",'JANUARY 10, 2026'!$E1087&amp;"-")-1)</f>
        <v/>
      </c>
      <c r="B1087" s="41"/>
      <c r="C1087" s="41"/>
      <c r="D1087" s="42"/>
      <c r="E1087" s="26"/>
      <c r="F1087" s="43"/>
      <c r="G1087" s="40"/>
      <c r="H1087" s="44"/>
      <c r="I1087" s="33"/>
      <c r="J1087" s="34"/>
      <c r="K1087" s="32"/>
      <c r="L1087" s="35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ht="19.5" customHeight="1">
      <c r="A1088" s="36" t="str">
        <f>LEFT('JANUARY 10, 2026'!$E1088,FIND("-",'JANUARY 10, 2026'!$E1088&amp;"-")-1)</f>
        <v/>
      </c>
      <c r="B1088" s="41"/>
      <c r="C1088" s="41"/>
      <c r="D1088" s="42"/>
      <c r="E1088" s="26"/>
      <c r="F1088" s="43"/>
      <c r="G1088" s="40"/>
      <c r="H1088" s="44"/>
      <c r="I1088" s="33"/>
      <c r="J1088" s="34"/>
      <c r="K1088" s="32"/>
      <c r="L1088" s="35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ht="19.5" customHeight="1">
      <c r="A1089" s="36" t="str">
        <f>LEFT('JANUARY 10, 2026'!$E1089,FIND("-",'JANUARY 10, 2026'!$E1089&amp;"-")-1)</f>
        <v/>
      </c>
      <c r="B1089" s="41"/>
      <c r="C1089" s="41"/>
      <c r="D1089" s="42"/>
      <c r="E1089" s="26"/>
      <c r="F1089" s="43"/>
      <c r="G1089" s="40"/>
      <c r="H1089" s="44"/>
      <c r="I1089" s="33"/>
      <c r="J1089" s="34"/>
      <c r="K1089" s="32"/>
      <c r="L1089" s="35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ht="19.5" customHeight="1">
      <c r="A1090" s="36" t="str">
        <f>LEFT('JANUARY 10, 2026'!$E1090,FIND("-",'JANUARY 10, 2026'!$E1090&amp;"-")-1)</f>
        <v/>
      </c>
      <c r="B1090" s="41"/>
      <c r="C1090" s="41"/>
      <c r="D1090" s="42"/>
      <c r="E1090" s="26"/>
      <c r="F1090" s="43"/>
      <c r="G1090" s="40"/>
      <c r="H1090" s="44"/>
      <c r="I1090" s="33"/>
      <c r="J1090" s="34"/>
      <c r="K1090" s="32"/>
      <c r="L1090" s="35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ht="19.5" customHeight="1">
      <c r="A1091" s="36" t="str">
        <f>LEFT('JANUARY 10, 2026'!$E1091,FIND("-",'JANUARY 10, 2026'!$E1091&amp;"-")-1)</f>
        <v/>
      </c>
      <c r="B1091" s="41"/>
      <c r="C1091" s="41"/>
      <c r="D1091" s="42"/>
      <c r="E1091" s="26"/>
      <c r="F1091" s="43"/>
      <c r="G1091" s="40"/>
      <c r="H1091" s="44"/>
      <c r="I1091" s="33"/>
      <c r="J1091" s="34"/>
      <c r="K1091" s="32"/>
      <c r="L1091" s="35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ht="19.5" customHeight="1">
      <c r="A1092" s="36" t="str">
        <f>LEFT('JANUARY 10, 2026'!$E1092,FIND("-",'JANUARY 10, 2026'!$E1092&amp;"-")-1)</f>
        <v/>
      </c>
      <c r="B1092" s="41"/>
      <c r="C1092" s="41"/>
      <c r="D1092" s="42"/>
      <c r="E1092" s="26"/>
      <c r="F1092" s="43"/>
      <c r="G1092" s="40"/>
      <c r="H1092" s="44"/>
      <c r="I1092" s="33"/>
      <c r="J1092" s="34"/>
      <c r="K1092" s="32"/>
      <c r="L1092" s="35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ht="19.5" customHeight="1">
      <c r="A1093" s="36" t="str">
        <f>LEFT('JANUARY 10, 2026'!$E1093,FIND("-",'JANUARY 10, 2026'!$E1093&amp;"-")-1)</f>
        <v/>
      </c>
      <c r="B1093" s="41"/>
      <c r="C1093" s="41"/>
      <c r="D1093" s="42"/>
      <c r="E1093" s="26"/>
      <c r="F1093" s="43"/>
      <c r="G1093" s="40"/>
      <c r="H1093" s="44"/>
      <c r="I1093" s="33"/>
      <c r="J1093" s="34"/>
      <c r="K1093" s="32"/>
      <c r="L1093" s="35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ht="19.5" customHeight="1">
      <c r="A1094" s="36" t="str">
        <f>LEFT('JANUARY 10, 2026'!$E1094,FIND("-",'JANUARY 10, 2026'!$E1094&amp;"-")-1)</f>
        <v/>
      </c>
      <c r="B1094" s="41"/>
      <c r="C1094" s="41"/>
      <c r="D1094" s="42"/>
      <c r="E1094" s="26"/>
      <c r="F1094" s="43"/>
      <c r="G1094" s="40"/>
      <c r="H1094" s="44"/>
      <c r="I1094" s="33"/>
      <c r="J1094" s="34"/>
      <c r="K1094" s="32"/>
      <c r="L1094" s="35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ht="19.5" customHeight="1">
      <c r="A1095" s="36" t="str">
        <f>LEFT('JANUARY 10, 2026'!$E1095,FIND("-",'JANUARY 10, 2026'!$E1095&amp;"-")-1)</f>
        <v/>
      </c>
      <c r="B1095" s="41"/>
      <c r="C1095" s="41"/>
      <c r="D1095" s="42"/>
      <c r="E1095" s="26"/>
      <c r="F1095" s="43"/>
      <c r="G1095" s="40"/>
      <c r="H1095" s="44"/>
      <c r="I1095" s="33"/>
      <c r="J1095" s="34"/>
      <c r="K1095" s="32"/>
      <c r="L1095" s="35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ht="19.5" customHeight="1">
      <c r="A1096" s="36" t="str">
        <f>LEFT('JANUARY 10, 2026'!$E1096,FIND("-",'JANUARY 10, 2026'!$E1096&amp;"-")-1)</f>
        <v/>
      </c>
      <c r="B1096" s="41"/>
      <c r="C1096" s="41"/>
      <c r="D1096" s="42"/>
      <c r="E1096" s="26"/>
      <c r="F1096" s="43"/>
      <c r="G1096" s="40"/>
      <c r="H1096" s="44"/>
      <c r="I1096" s="33"/>
      <c r="J1096" s="34"/>
      <c r="K1096" s="32"/>
      <c r="L1096" s="35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ht="19.5" customHeight="1">
      <c r="A1097" s="36" t="str">
        <f>LEFT('JANUARY 10, 2026'!$E1097,FIND("-",'JANUARY 10, 2026'!$E1097&amp;"-")-1)</f>
        <v/>
      </c>
      <c r="B1097" s="41"/>
      <c r="C1097" s="41"/>
      <c r="D1097" s="42"/>
      <c r="E1097" s="26"/>
      <c r="F1097" s="43"/>
      <c r="G1097" s="40"/>
      <c r="H1097" s="44"/>
      <c r="I1097" s="33"/>
      <c r="J1097" s="34"/>
      <c r="K1097" s="32"/>
      <c r="L1097" s="35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ht="19.5" customHeight="1">
      <c r="A1098" s="36" t="str">
        <f>LEFT('JANUARY 10, 2026'!$E1098,FIND("-",'JANUARY 10, 2026'!$E1098&amp;"-")-1)</f>
        <v/>
      </c>
      <c r="B1098" s="41"/>
      <c r="C1098" s="41"/>
      <c r="D1098" s="42"/>
      <c r="E1098" s="26"/>
      <c r="F1098" s="43"/>
      <c r="G1098" s="40"/>
      <c r="H1098" s="44"/>
      <c r="I1098" s="33"/>
      <c r="J1098" s="34"/>
      <c r="K1098" s="32"/>
      <c r="L1098" s="35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ht="19.5" customHeight="1">
      <c r="A1099" s="36" t="str">
        <f>LEFT('JANUARY 10, 2026'!$E1099,FIND("-",'JANUARY 10, 2026'!$E1099&amp;"-")-1)</f>
        <v/>
      </c>
      <c r="B1099" s="41"/>
      <c r="C1099" s="41"/>
      <c r="D1099" s="42"/>
      <c r="E1099" s="26"/>
      <c r="F1099" s="43"/>
      <c r="G1099" s="40"/>
      <c r="H1099" s="44"/>
      <c r="I1099" s="33"/>
      <c r="J1099" s="34"/>
      <c r="K1099" s="32"/>
      <c r="L1099" s="35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ht="19.5" customHeight="1">
      <c r="A1100" s="36" t="str">
        <f>LEFT('JANUARY 10, 2026'!$E1100,FIND("-",'JANUARY 10, 2026'!$E1100&amp;"-")-1)</f>
        <v/>
      </c>
      <c r="B1100" s="41"/>
      <c r="C1100" s="41"/>
      <c r="D1100" s="42"/>
      <c r="E1100" s="26"/>
      <c r="F1100" s="43"/>
      <c r="G1100" s="40"/>
      <c r="H1100" s="44"/>
      <c r="I1100" s="33"/>
      <c r="J1100" s="34"/>
      <c r="K1100" s="32"/>
      <c r="L1100" s="35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ht="19.5" customHeight="1">
      <c r="A1101" s="36" t="str">
        <f>LEFT('JANUARY 10, 2026'!$E1101,FIND("-",'JANUARY 10, 2026'!$E1101&amp;"-")-1)</f>
        <v/>
      </c>
      <c r="B1101" s="41"/>
      <c r="C1101" s="41"/>
      <c r="D1101" s="42"/>
      <c r="E1101" s="26"/>
      <c r="F1101" s="43"/>
      <c r="G1101" s="40"/>
      <c r="H1101" s="44"/>
      <c r="I1101" s="33"/>
      <c r="J1101" s="34"/>
      <c r="K1101" s="32"/>
      <c r="L1101" s="35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ht="19.5" customHeight="1">
      <c r="A1102" s="36" t="str">
        <f>LEFT('JANUARY 10, 2026'!$E1102,FIND("-",'JANUARY 10, 2026'!$E1102&amp;"-")-1)</f>
        <v/>
      </c>
      <c r="B1102" s="41"/>
      <c r="C1102" s="41"/>
      <c r="D1102" s="42"/>
      <c r="E1102" s="26"/>
      <c r="F1102" s="43"/>
      <c r="G1102" s="40"/>
      <c r="H1102" s="44"/>
      <c r="I1102" s="33"/>
      <c r="J1102" s="34"/>
      <c r="K1102" s="32"/>
      <c r="L1102" s="35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ht="19.5" customHeight="1">
      <c r="A1103" s="36" t="str">
        <f>LEFT('JANUARY 10, 2026'!$E1103,FIND("-",'JANUARY 10, 2026'!$E1103&amp;"-")-1)</f>
        <v/>
      </c>
      <c r="B1103" s="41"/>
      <c r="C1103" s="41"/>
      <c r="D1103" s="42"/>
      <c r="E1103" s="26"/>
      <c r="F1103" s="43"/>
      <c r="G1103" s="40"/>
      <c r="H1103" s="44"/>
      <c r="I1103" s="33"/>
      <c r="J1103" s="34"/>
      <c r="K1103" s="32"/>
      <c r="L1103" s="35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ht="19.5" customHeight="1">
      <c r="A1104" s="36" t="str">
        <f>LEFT('JANUARY 10, 2026'!$E1104,FIND("-",'JANUARY 10, 2026'!$E1104&amp;"-")-1)</f>
        <v/>
      </c>
      <c r="B1104" s="41"/>
      <c r="C1104" s="41"/>
      <c r="D1104" s="42"/>
      <c r="E1104" s="26"/>
      <c r="F1104" s="43"/>
      <c r="G1104" s="40"/>
      <c r="H1104" s="44"/>
      <c r="I1104" s="33"/>
      <c r="J1104" s="34"/>
      <c r="K1104" s="32"/>
      <c r="L1104" s="35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ht="19.5" customHeight="1">
      <c r="A1105" s="36" t="str">
        <f>LEFT('JANUARY 10, 2026'!$E1105,FIND("-",'JANUARY 10, 2026'!$E1105&amp;"-")-1)</f>
        <v/>
      </c>
      <c r="B1105" s="41"/>
      <c r="C1105" s="41"/>
      <c r="D1105" s="42"/>
      <c r="E1105" s="26"/>
      <c r="F1105" s="43"/>
      <c r="G1105" s="40"/>
      <c r="H1105" s="44"/>
      <c r="I1105" s="33"/>
      <c r="J1105" s="34"/>
      <c r="K1105" s="32"/>
      <c r="L1105" s="35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ht="19.5" customHeight="1">
      <c r="A1106" s="36" t="str">
        <f>LEFT('JANUARY 10, 2026'!$E1106,FIND("-",'JANUARY 10, 2026'!$E1106&amp;"-")-1)</f>
        <v/>
      </c>
      <c r="B1106" s="41"/>
      <c r="C1106" s="41"/>
      <c r="D1106" s="42"/>
      <c r="E1106" s="26"/>
      <c r="F1106" s="43"/>
      <c r="G1106" s="40"/>
      <c r="H1106" s="44"/>
      <c r="I1106" s="33"/>
      <c r="J1106" s="34"/>
      <c r="K1106" s="32"/>
      <c r="L1106" s="35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ht="19.5" customHeight="1">
      <c r="A1107" s="36" t="str">
        <f>LEFT('JANUARY 10, 2026'!$E1107,FIND("-",'JANUARY 10, 2026'!$E1107&amp;"-")-1)</f>
        <v/>
      </c>
      <c r="B1107" s="41"/>
      <c r="C1107" s="41"/>
      <c r="D1107" s="42"/>
      <c r="E1107" s="26"/>
      <c r="F1107" s="43"/>
      <c r="G1107" s="40"/>
      <c r="H1107" s="44"/>
      <c r="I1107" s="33"/>
      <c r="J1107" s="34"/>
      <c r="K1107" s="32"/>
      <c r="L1107" s="35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ht="19.5" customHeight="1">
      <c r="A1108" s="36" t="str">
        <f>LEFT('JANUARY 10, 2026'!$E1108,FIND("-",'JANUARY 10, 2026'!$E1108&amp;"-")-1)</f>
        <v/>
      </c>
      <c r="B1108" s="41"/>
      <c r="C1108" s="41"/>
      <c r="D1108" s="42"/>
      <c r="E1108" s="26"/>
      <c r="F1108" s="43"/>
      <c r="G1108" s="40"/>
      <c r="H1108" s="44"/>
      <c r="I1108" s="33"/>
      <c r="J1108" s="34"/>
      <c r="K1108" s="32"/>
      <c r="L1108" s="35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ht="19.5" customHeight="1">
      <c r="A1109" s="36" t="str">
        <f>LEFT('JANUARY 10, 2026'!$E1109,FIND("-",'JANUARY 10, 2026'!$E1109&amp;"-")-1)</f>
        <v/>
      </c>
      <c r="B1109" s="41"/>
      <c r="C1109" s="41"/>
      <c r="D1109" s="42"/>
      <c r="E1109" s="26"/>
      <c r="F1109" s="43"/>
      <c r="G1109" s="40"/>
      <c r="H1109" s="44"/>
      <c r="I1109" s="33"/>
      <c r="J1109" s="34"/>
      <c r="K1109" s="32"/>
      <c r="L1109" s="35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ht="19.5" customHeight="1">
      <c r="A1110" s="36" t="str">
        <f>LEFT('JANUARY 10, 2026'!$E1110,FIND("-",'JANUARY 10, 2026'!$E1110&amp;"-")-1)</f>
        <v/>
      </c>
      <c r="B1110" s="41"/>
      <c r="C1110" s="41"/>
      <c r="D1110" s="42"/>
      <c r="E1110" s="26"/>
      <c r="F1110" s="43"/>
      <c r="G1110" s="40"/>
      <c r="H1110" s="44"/>
      <c r="I1110" s="33"/>
      <c r="J1110" s="34"/>
      <c r="K1110" s="32"/>
      <c r="L1110" s="35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ht="19.5" customHeight="1">
      <c r="A1111" s="36" t="str">
        <f>LEFT('JANUARY 10, 2026'!$E1111,FIND("-",'JANUARY 10, 2026'!$E1111&amp;"-")-1)</f>
        <v/>
      </c>
      <c r="B1111" s="41"/>
      <c r="C1111" s="41"/>
      <c r="D1111" s="42"/>
      <c r="E1111" s="26"/>
      <c r="F1111" s="43"/>
      <c r="G1111" s="40"/>
      <c r="H1111" s="44"/>
      <c r="I1111" s="33"/>
      <c r="J1111" s="34"/>
      <c r="K1111" s="32"/>
      <c r="L1111" s="35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ht="19.5" customHeight="1">
      <c r="A1112" s="36" t="str">
        <f>LEFT('JANUARY 10, 2026'!$E1112,FIND("-",'JANUARY 10, 2026'!$E1112&amp;"-")-1)</f>
        <v/>
      </c>
      <c r="B1112" s="41"/>
      <c r="C1112" s="41"/>
      <c r="D1112" s="42"/>
      <c r="E1112" s="26"/>
      <c r="F1112" s="43"/>
      <c r="G1112" s="40"/>
      <c r="H1112" s="44"/>
      <c r="I1112" s="33"/>
      <c r="J1112" s="34"/>
      <c r="K1112" s="32"/>
      <c r="L1112" s="35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ht="19.5" customHeight="1">
      <c r="A1113" s="36" t="str">
        <f>LEFT('JANUARY 10, 2026'!$E1113,FIND("-",'JANUARY 10, 2026'!$E1113&amp;"-")-1)</f>
        <v/>
      </c>
      <c r="B1113" s="41"/>
      <c r="C1113" s="41"/>
      <c r="D1113" s="42"/>
      <c r="E1113" s="26"/>
      <c r="F1113" s="43"/>
      <c r="G1113" s="40"/>
      <c r="H1113" s="44"/>
      <c r="I1113" s="33"/>
      <c r="J1113" s="34"/>
      <c r="K1113" s="32"/>
      <c r="L1113" s="35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ht="19.5" customHeight="1">
      <c r="A1114" s="36" t="str">
        <f>LEFT('JANUARY 10, 2026'!$E1114,FIND("-",'JANUARY 10, 2026'!$E1114&amp;"-")-1)</f>
        <v/>
      </c>
      <c r="B1114" s="41"/>
      <c r="C1114" s="41"/>
      <c r="D1114" s="42"/>
      <c r="E1114" s="26"/>
      <c r="F1114" s="43"/>
      <c r="G1114" s="40"/>
      <c r="H1114" s="44"/>
      <c r="I1114" s="33"/>
      <c r="J1114" s="34"/>
      <c r="K1114" s="32"/>
      <c r="L1114" s="35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ht="19.5" customHeight="1">
      <c r="A1115" s="36" t="str">
        <f>LEFT('JANUARY 10, 2026'!$E1115,FIND("-",'JANUARY 10, 2026'!$E1115&amp;"-")-1)</f>
        <v/>
      </c>
      <c r="B1115" s="41"/>
      <c r="C1115" s="41"/>
      <c r="D1115" s="42"/>
      <c r="E1115" s="26"/>
      <c r="F1115" s="43"/>
      <c r="G1115" s="40"/>
      <c r="H1115" s="44"/>
      <c r="I1115" s="33"/>
      <c r="J1115" s="34"/>
      <c r="K1115" s="32"/>
      <c r="L1115" s="35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ht="19.5" customHeight="1">
      <c r="A1116" s="36" t="str">
        <f>LEFT('JANUARY 10, 2026'!$E1116,FIND("-",'JANUARY 10, 2026'!$E1116&amp;"-")-1)</f>
        <v/>
      </c>
      <c r="B1116" s="41"/>
      <c r="C1116" s="41"/>
      <c r="D1116" s="42"/>
      <c r="E1116" s="26"/>
      <c r="F1116" s="43"/>
      <c r="G1116" s="40"/>
      <c r="H1116" s="44"/>
      <c r="I1116" s="33"/>
      <c r="J1116" s="34"/>
      <c r="K1116" s="32"/>
      <c r="L1116" s="35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ht="19.5" customHeight="1">
      <c r="A1117" s="36" t="str">
        <f>LEFT('JANUARY 10, 2026'!$E1117,FIND("-",'JANUARY 10, 2026'!$E1117&amp;"-")-1)</f>
        <v/>
      </c>
      <c r="B1117" s="41"/>
      <c r="C1117" s="41"/>
      <c r="D1117" s="42"/>
      <c r="E1117" s="26"/>
      <c r="F1117" s="43"/>
      <c r="G1117" s="40"/>
      <c r="H1117" s="44"/>
      <c r="I1117" s="33"/>
      <c r="J1117" s="34"/>
      <c r="K1117" s="32"/>
      <c r="L1117" s="35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ht="19.5" customHeight="1">
      <c r="A1118" s="36" t="str">
        <f>LEFT('JANUARY 10, 2026'!$E1118,FIND("-",'JANUARY 10, 2026'!$E1118&amp;"-")-1)</f>
        <v/>
      </c>
      <c r="B1118" s="41"/>
      <c r="C1118" s="41"/>
      <c r="D1118" s="42"/>
      <c r="E1118" s="26"/>
      <c r="F1118" s="43"/>
      <c r="G1118" s="40"/>
      <c r="H1118" s="44"/>
      <c r="I1118" s="33"/>
      <c r="J1118" s="34"/>
      <c r="K1118" s="32"/>
      <c r="L1118" s="35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ht="19.5" customHeight="1">
      <c r="A1119" s="36" t="str">
        <f>LEFT('JANUARY 10, 2026'!$E1119,FIND("-",'JANUARY 10, 2026'!$E1119&amp;"-")-1)</f>
        <v/>
      </c>
      <c r="B1119" s="41"/>
      <c r="C1119" s="41"/>
      <c r="D1119" s="42"/>
      <c r="E1119" s="26"/>
      <c r="F1119" s="43"/>
      <c r="G1119" s="40"/>
      <c r="H1119" s="44"/>
      <c r="I1119" s="33"/>
      <c r="J1119" s="34"/>
      <c r="K1119" s="32"/>
      <c r="L1119" s="35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ht="19.5" customHeight="1">
      <c r="A1120" s="36" t="str">
        <f>LEFT('JANUARY 10, 2026'!$E1120,FIND("-",'JANUARY 10, 2026'!$E1120&amp;"-")-1)</f>
        <v/>
      </c>
      <c r="B1120" s="41"/>
      <c r="C1120" s="41"/>
      <c r="D1120" s="42"/>
      <c r="E1120" s="26"/>
      <c r="F1120" s="43"/>
      <c r="G1120" s="40"/>
      <c r="H1120" s="44"/>
      <c r="I1120" s="33"/>
      <c r="J1120" s="34"/>
      <c r="K1120" s="32"/>
      <c r="L1120" s="35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ht="19.5" customHeight="1">
      <c r="A1121" s="36" t="str">
        <f>LEFT('JANUARY 10, 2026'!$E1121,FIND("-",'JANUARY 10, 2026'!$E1121&amp;"-")-1)</f>
        <v/>
      </c>
      <c r="B1121" s="41"/>
      <c r="C1121" s="41"/>
      <c r="D1121" s="42"/>
      <c r="E1121" s="26"/>
      <c r="F1121" s="43"/>
      <c r="G1121" s="40"/>
      <c r="H1121" s="44"/>
      <c r="I1121" s="33"/>
      <c r="J1121" s="34"/>
      <c r="K1121" s="32"/>
      <c r="L1121" s="35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ht="19.5" customHeight="1">
      <c r="A1122" s="36" t="str">
        <f>LEFT('JANUARY 10, 2026'!$E1122,FIND("-",'JANUARY 10, 2026'!$E1122&amp;"-")-1)</f>
        <v/>
      </c>
      <c r="B1122" s="41"/>
      <c r="C1122" s="41"/>
      <c r="D1122" s="42"/>
      <c r="E1122" s="26"/>
      <c r="F1122" s="43"/>
      <c r="G1122" s="40"/>
      <c r="H1122" s="44"/>
      <c r="I1122" s="33"/>
      <c r="J1122" s="34"/>
      <c r="K1122" s="32"/>
      <c r="L1122" s="35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ht="19.5" customHeight="1">
      <c r="A1123" s="36" t="str">
        <f>LEFT('JANUARY 10, 2026'!$E1123,FIND("-",'JANUARY 10, 2026'!$E1123&amp;"-")-1)</f>
        <v/>
      </c>
      <c r="B1123" s="41"/>
      <c r="C1123" s="41"/>
      <c r="D1123" s="42"/>
      <c r="E1123" s="26"/>
      <c r="F1123" s="43"/>
      <c r="G1123" s="40"/>
      <c r="H1123" s="44"/>
      <c r="I1123" s="33"/>
      <c r="J1123" s="34"/>
      <c r="K1123" s="32"/>
      <c r="L1123" s="35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ht="19.5" customHeight="1">
      <c r="A1124" s="36" t="str">
        <f>LEFT('JANUARY 10, 2026'!$E1124,FIND("-",'JANUARY 10, 2026'!$E1124&amp;"-")-1)</f>
        <v/>
      </c>
      <c r="B1124" s="41"/>
      <c r="C1124" s="41"/>
      <c r="D1124" s="42"/>
      <c r="E1124" s="26"/>
      <c r="F1124" s="43"/>
      <c r="G1124" s="40"/>
      <c r="H1124" s="44"/>
      <c r="I1124" s="33"/>
      <c r="J1124" s="34"/>
      <c r="K1124" s="32"/>
      <c r="L1124" s="35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ht="19.5" customHeight="1">
      <c r="A1125" s="36" t="str">
        <f>LEFT('JANUARY 10, 2026'!$E1125,FIND("-",'JANUARY 10, 2026'!$E1125&amp;"-")-1)</f>
        <v/>
      </c>
      <c r="B1125" s="41"/>
      <c r="C1125" s="41"/>
      <c r="D1125" s="42"/>
      <c r="E1125" s="26"/>
      <c r="F1125" s="43"/>
      <c r="G1125" s="40"/>
      <c r="H1125" s="44"/>
      <c r="I1125" s="33"/>
      <c r="J1125" s="34"/>
      <c r="K1125" s="32"/>
      <c r="L1125" s="35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ht="19.5" customHeight="1">
      <c r="A1126" s="36" t="str">
        <f>LEFT('JANUARY 10, 2026'!$E1126,FIND("-",'JANUARY 10, 2026'!$E1126&amp;"-")-1)</f>
        <v/>
      </c>
      <c r="B1126" s="41"/>
      <c r="C1126" s="41"/>
      <c r="D1126" s="42"/>
      <c r="E1126" s="26"/>
      <c r="F1126" s="43"/>
      <c r="G1126" s="40"/>
      <c r="H1126" s="44"/>
      <c r="I1126" s="33"/>
      <c r="J1126" s="34"/>
      <c r="K1126" s="32"/>
      <c r="L1126" s="35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ht="19.5" customHeight="1">
      <c r="A1127" s="36" t="str">
        <f>LEFT('JANUARY 10, 2026'!$E1127,FIND("-",'JANUARY 10, 2026'!$E1127&amp;"-")-1)</f>
        <v/>
      </c>
      <c r="B1127" s="41"/>
      <c r="C1127" s="41"/>
      <c r="D1127" s="42"/>
      <c r="E1127" s="26"/>
      <c r="F1127" s="43"/>
      <c r="G1127" s="40"/>
      <c r="H1127" s="44"/>
      <c r="I1127" s="33"/>
      <c r="J1127" s="34"/>
      <c r="K1127" s="32"/>
      <c r="L1127" s="35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ht="19.5" customHeight="1">
      <c r="A1128" s="36" t="str">
        <f>LEFT('JANUARY 10, 2026'!$E1128,FIND("-",'JANUARY 10, 2026'!$E1128&amp;"-")-1)</f>
        <v/>
      </c>
      <c r="B1128" s="41"/>
      <c r="C1128" s="41"/>
      <c r="D1128" s="42"/>
      <c r="E1128" s="26"/>
      <c r="F1128" s="43"/>
      <c r="G1128" s="40"/>
      <c r="H1128" s="44"/>
      <c r="I1128" s="33"/>
      <c r="J1128" s="34"/>
      <c r="K1128" s="32"/>
      <c r="L1128" s="35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ht="19.5" customHeight="1">
      <c r="A1129" s="36" t="str">
        <f>LEFT('JANUARY 10, 2026'!$E1129,FIND("-",'JANUARY 10, 2026'!$E1129&amp;"-")-1)</f>
        <v/>
      </c>
      <c r="B1129" s="41"/>
      <c r="C1129" s="41"/>
      <c r="D1129" s="42"/>
      <c r="E1129" s="26"/>
      <c r="F1129" s="43"/>
      <c r="G1129" s="40"/>
      <c r="H1129" s="44"/>
      <c r="I1129" s="33"/>
      <c r="J1129" s="34"/>
      <c r="K1129" s="32"/>
      <c r="L1129" s="35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ht="19.5" customHeight="1">
      <c r="A1130" s="36" t="str">
        <f>LEFT('JANUARY 10, 2026'!$E1130,FIND("-",'JANUARY 10, 2026'!$E1130&amp;"-")-1)</f>
        <v/>
      </c>
      <c r="B1130" s="41"/>
      <c r="C1130" s="41"/>
      <c r="D1130" s="42"/>
      <c r="E1130" s="26"/>
      <c r="F1130" s="43"/>
      <c r="G1130" s="40"/>
      <c r="H1130" s="44"/>
      <c r="I1130" s="33"/>
      <c r="J1130" s="34"/>
      <c r="K1130" s="32"/>
      <c r="L1130" s="35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ht="19.5" customHeight="1">
      <c r="A1131" s="36" t="str">
        <f>LEFT('JANUARY 10, 2026'!$E1131,FIND("-",'JANUARY 10, 2026'!$E1131&amp;"-")-1)</f>
        <v/>
      </c>
      <c r="B1131" s="41"/>
      <c r="C1131" s="41"/>
      <c r="D1131" s="42"/>
      <c r="E1131" s="26"/>
      <c r="F1131" s="43"/>
      <c r="G1131" s="40"/>
      <c r="H1131" s="44"/>
      <c r="I1131" s="33"/>
      <c r="J1131" s="34"/>
      <c r="K1131" s="32"/>
      <c r="L1131" s="35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ht="19.5" customHeight="1">
      <c r="A1132" s="36" t="str">
        <f>LEFT('JANUARY 10, 2026'!$E1132,FIND("-",'JANUARY 10, 2026'!$E1132&amp;"-")-1)</f>
        <v/>
      </c>
      <c r="B1132" s="41"/>
      <c r="C1132" s="41"/>
      <c r="D1132" s="42"/>
      <c r="E1132" s="26"/>
      <c r="F1132" s="43"/>
      <c r="G1132" s="40"/>
      <c r="H1132" s="44"/>
      <c r="I1132" s="33"/>
      <c r="J1132" s="34"/>
      <c r="K1132" s="32"/>
      <c r="L1132" s="35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ht="19.5" customHeight="1">
      <c r="A1133" s="36" t="str">
        <f>LEFT('JANUARY 10, 2026'!$E1133,FIND("-",'JANUARY 10, 2026'!$E1133&amp;"-")-1)</f>
        <v/>
      </c>
      <c r="B1133" s="41"/>
      <c r="C1133" s="41"/>
      <c r="D1133" s="42"/>
      <c r="E1133" s="26"/>
      <c r="F1133" s="43"/>
      <c r="G1133" s="40"/>
      <c r="H1133" s="44"/>
      <c r="I1133" s="33"/>
      <c r="J1133" s="34"/>
      <c r="K1133" s="32"/>
      <c r="L1133" s="35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ht="19.5" customHeight="1">
      <c r="A1134" s="36" t="str">
        <f>LEFT('JANUARY 10, 2026'!$E1134,FIND("-",'JANUARY 10, 2026'!$E1134&amp;"-")-1)</f>
        <v/>
      </c>
      <c r="B1134" s="41"/>
      <c r="C1134" s="41"/>
      <c r="D1134" s="42"/>
      <c r="E1134" s="26"/>
      <c r="F1134" s="43"/>
      <c r="G1134" s="40"/>
      <c r="H1134" s="44"/>
      <c r="I1134" s="33"/>
      <c r="J1134" s="34"/>
      <c r="K1134" s="32"/>
      <c r="L1134" s="35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ht="19.5" customHeight="1">
      <c r="A1135" s="36" t="str">
        <f>LEFT('JANUARY 10, 2026'!$E1135,FIND("-",'JANUARY 10, 2026'!$E1135&amp;"-")-1)</f>
        <v/>
      </c>
      <c r="B1135" s="41"/>
      <c r="C1135" s="41"/>
      <c r="D1135" s="42"/>
      <c r="E1135" s="26"/>
      <c r="F1135" s="43"/>
      <c r="G1135" s="40"/>
      <c r="H1135" s="44"/>
      <c r="I1135" s="33"/>
      <c r="J1135" s="34"/>
      <c r="K1135" s="32"/>
      <c r="L1135" s="35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ht="19.5" customHeight="1">
      <c r="A1136" s="36" t="str">
        <f>LEFT('JANUARY 10, 2026'!$E1136,FIND("-",'JANUARY 10, 2026'!$E1136&amp;"-")-1)</f>
        <v/>
      </c>
      <c r="B1136" s="41"/>
      <c r="C1136" s="41"/>
      <c r="D1136" s="42"/>
      <c r="E1136" s="26"/>
      <c r="F1136" s="43"/>
      <c r="G1136" s="40"/>
      <c r="H1136" s="44"/>
      <c r="I1136" s="33"/>
      <c r="J1136" s="34"/>
      <c r="K1136" s="32"/>
      <c r="L1136" s="35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ht="19.5" customHeight="1">
      <c r="A1137" s="36" t="str">
        <f>LEFT('JANUARY 10, 2026'!$E1137,FIND("-",'JANUARY 10, 2026'!$E1137&amp;"-")-1)</f>
        <v/>
      </c>
      <c r="B1137" s="41"/>
      <c r="C1137" s="41"/>
      <c r="D1137" s="42"/>
      <c r="E1137" s="26"/>
      <c r="F1137" s="43"/>
      <c r="G1137" s="40"/>
      <c r="H1137" s="44"/>
      <c r="I1137" s="33"/>
      <c r="J1137" s="34"/>
      <c r="K1137" s="32"/>
      <c r="L1137" s="35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ht="19.5" customHeight="1">
      <c r="A1138" s="36" t="str">
        <f>LEFT('JANUARY 10, 2026'!$E1138,FIND("-",'JANUARY 10, 2026'!$E1138&amp;"-")-1)</f>
        <v/>
      </c>
      <c r="B1138" s="41"/>
      <c r="C1138" s="41"/>
      <c r="D1138" s="42"/>
      <c r="E1138" s="26"/>
      <c r="F1138" s="43"/>
      <c r="G1138" s="40"/>
      <c r="H1138" s="44"/>
      <c r="I1138" s="33"/>
      <c r="J1138" s="34"/>
      <c r="K1138" s="32"/>
      <c r="L1138" s="35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ht="19.5" customHeight="1">
      <c r="A1139" s="36" t="str">
        <f>LEFT('JANUARY 10, 2026'!$E1139,FIND("-",'JANUARY 10, 2026'!$E1139&amp;"-")-1)</f>
        <v/>
      </c>
      <c r="B1139" s="41"/>
      <c r="C1139" s="41"/>
      <c r="D1139" s="42"/>
      <c r="E1139" s="26"/>
      <c r="F1139" s="43"/>
      <c r="G1139" s="40"/>
      <c r="H1139" s="44"/>
      <c r="I1139" s="33"/>
      <c r="J1139" s="34"/>
      <c r="K1139" s="32"/>
      <c r="L1139" s="35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ht="19.5" customHeight="1">
      <c r="A1140" s="36" t="str">
        <f>LEFT('JANUARY 10, 2026'!$E1140,FIND("-",'JANUARY 10, 2026'!$E1140&amp;"-")-1)</f>
        <v/>
      </c>
      <c r="B1140" s="41"/>
      <c r="C1140" s="41"/>
      <c r="D1140" s="42"/>
      <c r="E1140" s="26"/>
      <c r="F1140" s="43"/>
      <c r="G1140" s="40"/>
      <c r="H1140" s="44"/>
      <c r="I1140" s="33"/>
      <c r="J1140" s="34"/>
      <c r="K1140" s="32"/>
      <c r="L1140" s="35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ht="19.5" customHeight="1">
      <c r="A1141" s="36" t="str">
        <f>LEFT('JANUARY 10, 2026'!$E1141,FIND("-",'JANUARY 10, 2026'!$E1141&amp;"-")-1)</f>
        <v/>
      </c>
      <c r="B1141" s="41"/>
      <c r="C1141" s="41"/>
      <c r="D1141" s="42"/>
      <c r="E1141" s="26"/>
      <c r="F1141" s="43"/>
      <c r="G1141" s="40"/>
      <c r="H1141" s="44"/>
      <c r="I1141" s="33"/>
      <c r="J1141" s="34"/>
      <c r="K1141" s="32"/>
      <c r="L1141" s="35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ht="19.5" customHeight="1">
      <c r="A1142" s="36" t="str">
        <f>LEFT('JANUARY 10, 2026'!$E1142,FIND("-",'JANUARY 10, 2026'!$E1142&amp;"-")-1)</f>
        <v/>
      </c>
      <c r="B1142" s="41"/>
      <c r="C1142" s="41"/>
      <c r="D1142" s="42"/>
      <c r="E1142" s="26"/>
      <c r="F1142" s="43"/>
      <c r="G1142" s="40"/>
      <c r="H1142" s="44"/>
      <c r="I1142" s="33"/>
      <c r="J1142" s="34"/>
      <c r="K1142" s="32"/>
      <c r="L1142" s="35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ht="19.5" customHeight="1">
      <c r="A1143" s="36" t="str">
        <f>LEFT('JANUARY 10, 2026'!$E1143,FIND("-",'JANUARY 10, 2026'!$E1143&amp;"-")-1)</f>
        <v/>
      </c>
      <c r="B1143" s="41"/>
      <c r="C1143" s="41"/>
      <c r="D1143" s="42"/>
      <c r="E1143" s="26"/>
      <c r="F1143" s="43"/>
      <c r="G1143" s="40"/>
      <c r="H1143" s="44"/>
      <c r="I1143" s="33"/>
      <c r="J1143" s="34"/>
      <c r="K1143" s="32"/>
      <c r="L1143" s="35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ht="19.5" customHeight="1">
      <c r="A1144" s="36" t="str">
        <f>LEFT('JANUARY 10, 2026'!$E1144,FIND("-",'JANUARY 10, 2026'!$E1144&amp;"-")-1)</f>
        <v/>
      </c>
      <c r="B1144" s="41"/>
      <c r="C1144" s="41"/>
      <c r="D1144" s="42"/>
      <c r="E1144" s="26"/>
      <c r="F1144" s="43"/>
      <c r="G1144" s="40"/>
      <c r="H1144" s="44"/>
      <c r="I1144" s="33"/>
      <c r="J1144" s="34"/>
      <c r="K1144" s="32"/>
      <c r="L1144" s="35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ht="19.5" customHeight="1">
      <c r="A1145" s="36" t="str">
        <f>LEFT('JANUARY 10, 2026'!$E1145,FIND("-",'JANUARY 10, 2026'!$E1145&amp;"-")-1)</f>
        <v/>
      </c>
      <c r="B1145" s="41"/>
      <c r="C1145" s="41"/>
      <c r="D1145" s="42"/>
      <c r="E1145" s="26"/>
      <c r="F1145" s="43"/>
      <c r="G1145" s="40"/>
      <c r="H1145" s="44"/>
      <c r="I1145" s="33"/>
      <c r="J1145" s="34"/>
      <c r="K1145" s="32"/>
      <c r="L1145" s="35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ht="19.5" customHeight="1">
      <c r="A1146" s="36" t="str">
        <f>LEFT('JANUARY 10, 2026'!$E1146,FIND("-",'JANUARY 10, 2026'!$E1146&amp;"-")-1)</f>
        <v/>
      </c>
      <c r="B1146" s="41"/>
      <c r="C1146" s="41"/>
      <c r="D1146" s="42"/>
      <c r="E1146" s="26"/>
      <c r="F1146" s="43"/>
      <c r="G1146" s="40"/>
      <c r="H1146" s="44"/>
      <c r="I1146" s="33"/>
      <c r="J1146" s="34"/>
      <c r="K1146" s="32"/>
      <c r="L1146" s="35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ht="19.5" customHeight="1">
      <c r="A1147" s="36" t="str">
        <f>LEFT('JANUARY 10, 2026'!$E1147,FIND("-",'JANUARY 10, 2026'!$E1147&amp;"-")-1)</f>
        <v/>
      </c>
      <c r="B1147" s="41"/>
      <c r="C1147" s="41"/>
      <c r="D1147" s="42"/>
      <c r="E1147" s="26"/>
      <c r="F1147" s="43"/>
      <c r="G1147" s="40"/>
      <c r="H1147" s="44"/>
      <c r="I1147" s="33"/>
      <c r="J1147" s="34"/>
      <c r="K1147" s="32"/>
      <c r="L1147" s="35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ht="19.5" customHeight="1">
      <c r="A1148" s="36" t="str">
        <f>LEFT('JANUARY 10, 2026'!$E1148,FIND("-",'JANUARY 10, 2026'!$E1148&amp;"-")-1)</f>
        <v/>
      </c>
      <c r="B1148" s="41"/>
      <c r="C1148" s="41"/>
      <c r="D1148" s="42"/>
      <c r="E1148" s="26"/>
      <c r="F1148" s="43"/>
      <c r="G1148" s="40"/>
      <c r="H1148" s="44"/>
      <c r="I1148" s="33"/>
      <c r="J1148" s="34"/>
      <c r="K1148" s="32"/>
      <c r="L1148" s="35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ht="19.5" customHeight="1">
      <c r="A1149" s="36" t="str">
        <f>LEFT('JANUARY 10, 2026'!$E1149,FIND("-",'JANUARY 10, 2026'!$E1149&amp;"-")-1)</f>
        <v/>
      </c>
      <c r="B1149" s="41"/>
      <c r="C1149" s="41"/>
      <c r="D1149" s="42"/>
      <c r="E1149" s="26"/>
      <c r="F1149" s="43"/>
      <c r="G1149" s="40"/>
      <c r="H1149" s="44"/>
      <c r="I1149" s="33"/>
      <c r="J1149" s="34"/>
      <c r="K1149" s="32"/>
      <c r="L1149" s="35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ht="19.5" customHeight="1">
      <c r="A1150" s="36" t="str">
        <f>LEFT('JANUARY 10, 2026'!$E1150,FIND("-",'JANUARY 10, 2026'!$E1150&amp;"-")-1)</f>
        <v/>
      </c>
      <c r="B1150" s="41"/>
      <c r="C1150" s="41"/>
      <c r="D1150" s="42"/>
      <c r="E1150" s="26"/>
      <c r="F1150" s="43"/>
      <c r="G1150" s="40"/>
      <c r="H1150" s="44"/>
      <c r="I1150" s="33"/>
      <c r="J1150" s="34"/>
      <c r="K1150" s="32"/>
      <c r="L1150" s="35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ht="19.5" customHeight="1">
      <c r="A1151" s="36" t="str">
        <f>LEFT('JANUARY 10, 2026'!$E1151,FIND("-",'JANUARY 10, 2026'!$E1151&amp;"-")-1)</f>
        <v/>
      </c>
      <c r="B1151" s="41"/>
      <c r="C1151" s="41"/>
      <c r="D1151" s="42"/>
      <c r="E1151" s="26"/>
      <c r="F1151" s="43"/>
      <c r="G1151" s="40"/>
      <c r="H1151" s="44"/>
      <c r="I1151" s="33"/>
      <c r="J1151" s="34"/>
      <c r="K1151" s="32"/>
      <c r="L1151" s="35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ht="19.5" customHeight="1">
      <c r="A1152" s="36" t="str">
        <f>LEFT('JANUARY 10, 2026'!$E1152,FIND("-",'JANUARY 10, 2026'!$E1152&amp;"-")-1)</f>
        <v/>
      </c>
      <c r="B1152" s="41"/>
      <c r="C1152" s="41"/>
      <c r="D1152" s="42"/>
      <c r="E1152" s="26"/>
      <c r="F1152" s="43"/>
      <c r="G1152" s="40"/>
      <c r="H1152" s="44"/>
      <c r="I1152" s="33"/>
      <c r="J1152" s="34"/>
      <c r="K1152" s="32"/>
      <c r="L1152" s="35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ht="19.5" customHeight="1">
      <c r="A1153" s="36" t="str">
        <f>LEFT('JANUARY 10, 2026'!$E1153,FIND("-",'JANUARY 10, 2026'!$E1153&amp;"-")-1)</f>
        <v/>
      </c>
      <c r="B1153" s="41"/>
      <c r="C1153" s="41"/>
      <c r="D1153" s="42"/>
      <c r="E1153" s="26"/>
      <c r="F1153" s="43"/>
      <c r="G1153" s="40"/>
      <c r="H1153" s="44"/>
      <c r="I1153" s="33"/>
      <c r="J1153" s="34"/>
      <c r="K1153" s="32"/>
      <c r="L1153" s="35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ht="19.5" customHeight="1">
      <c r="A1154" s="36" t="str">
        <f>LEFT('JANUARY 10, 2026'!$E1154,FIND("-",'JANUARY 10, 2026'!$E1154&amp;"-")-1)</f>
        <v/>
      </c>
      <c r="B1154" s="41"/>
      <c r="C1154" s="41"/>
      <c r="D1154" s="42"/>
      <c r="E1154" s="26"/>
      <c r="F1154" s="43"/>
      <c r="G1154" s="40"/>
      <c r="H1154" s="44"/>
      <c r="I1154" s="33"/>
      <c r="J1154" s="34"/>
      <c r="K1154" s="32"/>
      <c r="L1154" s="35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ht="19.5" customHeight="1">
      <c r="A1155" s="36" t="str">
        <f>LEFT('JANUARY 10, 2026'!$E1155,FIND("-",'JANUARY 10, 2026'!$E1155&amp;"-")-1)</f>
        <v/>
      </c>
      <c r="B1155" s="41"/>
      <c r="C1155" s="41"/>
      <c r="D1155" s="42"/>
      <c r="E1155" s="26"/>
      <c r="F1155" s="43"/>
      <c r="G1155" s="40"/>
      <c r="H1155" s="44"/>
      <c r="I1155" s="33"/>
      <c r="J1155" s="34"/>
      <c r="K1155" s="32"/>
      <c r="L1155" s="35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ht="19.5" customHeight="1">
      <c r="A1156" s="36" t="str">
        <f>LEFT('JANUARY 10, 2026'!$E1156,FIND("-",'JANUARY 10, 2026'!$E1156&amp;"-")-1)</f>
        <v/>
      </c>
      <c r="B1156" s="41"/>
      <c r="C1156" s="41"/>
      <c r="D1156" s="42"/>
      <c r="E1156" s="26"/>
      <c r="F1156" s="43"/>
      <c r="G1156" s="40"/>
      <c r="H1156" s="44"/>
      <c r="I1156" s="33"/>
      <c r="J1156" s="34"/>
      <c r="K1156" s="32"/>
      <c r="L1156" s="35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ht="19.5" customHeight="1">
      <c r="A1157" s="36" t="str">
        <f>LEFT('JANUARY 10, 2026'!$E1157,FIND("-",'JANUARY 10, 2026'!$E1157&amp;"-")-1)</f>
        <v/>
      </c>
      <c r="B1157" s="41"/>
      <c r="C1157" s="41"/>
      <c r="D1157" s="42"/>
      <c r="E1157" s="26"/>
      <c r="F1157" s="43"/>
      <c r="G1157" s="40"/>
      <c r="H1157" s="44"/>
      <c r="I1157" s="33"/>
      <c r="J1157" s="34"/>
      <c r="K1157" s="32"/>
      <c r="L1157" s="35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ht="19.5" customHeight="1">
      <c r="A1158" s="36" t="str">
        <f>LEFT('JANUARY 10, 2026'!$E1158,FIND("-",'JANUARY 10, 2026'!$E1158&amp;"-")-1)</f>
        <v/>
      </c>
      <c r="B1158" s="41"/>
      <c r="C1158" s="41"/>
      <c r="D1158" s="42"/>
      <c r="E1158" s="26"/>
      <c r="F1158" s="43"/>
      <c r="G1158" s="40"/>
      <c r="H1158" s="44"/>
      <c r="I1158" s="33"/>
      <c r="J1158" s="34"/>
      <c r="K1158" s="32"/>
      <c r="L1158" s="35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ht="19.5" customHeight="1">
      <c r="A1159" s="36" t="str">
        <f>LEFT('JANUARY 10, 2026'!$E1159,FIND("-",'JANUARY 10, 2026'!$E1159&amp;"-")-1)</f>
        <v/>
      </c>
      <c r="B1159" s="41"/>
      <c r="C1159" s="41"/>
      <c r="D1159" s="42"/>
      <c r="E1159" s="26"/>
      <c r="F1159" s="43"/>
      <c r="G1159" s="40"/>
      <c r="H1159" s="44"/>
      <c r="I1159" s="33"/>
      <c r="J1159" s="34"/>
      <c r="K1159" s="32"/>
      <c r="L1159" s="35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ht="19.5" customHeight="1">
      <c r="A1160" s="36" t="str">
        <f>LEFT('JANUARY 10, 2026'!$E1160,FIND("-",'JANUARY 10, 2026'!$E1160&amp;"-")-1)</f>
        <v/>
      </c>
      <c r="B1160" s="41"/>
      <c r="C1160" s="41"/>
      <c r="D1160" s="42"/>
      <c r="E1160" s="26"/>
      <c r="F1160" s="43"/>
      <c r="G1160" s="40"/>
      <c r="H1160" s="44"/>
      <c r="I1160" s="33"/>
      <c r="J1160" s="34"/>
      <c r="K1160" s="32"/>
      <c r="L1160" s="35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ht="19.5" customHeight="1">
      <c r="A1161" s="36" t="str">
        <f>LEFT('JANUARY 10, 2026'!$E1161,FIND("-",'JANUARY 10, 2026'!$E1161&amp;"-")-1)</f>
        <v/>
      </c>
      <c r="B1161" s="41"/>
      <c r="C1161" s="41"/>
      <c r="D1161" s="42"/>
      <c r="E1161" s="26"/>
      <c r="F1161" s="43"/>
      <c r="G1161" s="40"/>
      <c r="H1161" s="44"/>
      <c r="I1161" s="33"/>
      <c r="J1161" s="34"/>
      <c r="K1161" s="32"/>
      <c r="L1161" s="35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ht="19.5" customHeight="1">
      <c r="A1162" s="36" t="str">
        <f>LEFT('JANUARY 10, 2026'!$E1162,FIND("-",'JANUARY 10, 2026'!$E1162&amp;"-")-1)</f>
        <v/>
      </c>
      <c r="B1162" s="41"/>
      <c r="C1162" s="41"/>
      <c r="D1162" s="42"/>
      <c r="E1162" s="26"/>
      <c r="F1162" s="43"/>
      <c r="G1162" s="40"/>
      <c r="H1162" s="44"/>
      <c r="I1162" s="33"/>
      <c r="J1162" s="34"/>
      <c r="K1162" s="32"/>
      <c r="L1162" s="35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ht="19.5" customHeight="1">
      <c r="A1163" s="36" t="str">
        <f>LEFT('JANUARY 10, 2026'!$E1163,FIND("-",'JANUARY 10, 2026'!$E1163&amp;"-")-1)</f>
        <v/>
      </c>
      <c r="B1163" s="41"/>
      <c r="C1163" s="41"/>
      <c r="D1163" s="42"/>
      <c r="E1163" s="26"/>
      <c r="F1163" s="43"/>
      <c r="G1163" s="40"/>
      <c r="H1163" s="44"/>
      <c r="I1163" s="33"/>
      <c r="J1163" s="34"/>
      <c r="K1163" s="32"/>
      <c r="L1163" s="35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ht="19.5" customHeight="1">
      <c r="A1164" s="36" t="str">
        <f>LEFT('JANUARY 10, 2026'!$E1164,FIND("-",'JANUARY 10, 2026'!$E1164&amp;"-")-1)</f>
        <v/>
      </c>
      <c r="B1164" s="41"/>
      <c r="C1164" s="41"/>
      <c r="D1164" s="42"/>
      <c r="E1164" s="26"/>
      <c r="F1164" s="43"/>
      <c r="G1164" s="40"/>
      <c r="H1164" s="44"/>
      <c r="I1164" s="33"/>
      <c r="J1164" s="34"/>
      <c r="K1164" s="32"/>
      <c r="L1164" s="35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ht="19.5" customHeight="1">
      <c r="A1165" s="36" t="str">
        <f>LEFT('JANUARY 10, 2026'!$E1165,FIND("-",'JANUARY 10, 2026'!$E1165&amp;"-")-1)</f>
        <v/>
      </c>
      <c r="B1165" s="41"/>
      <c r="C1165" s="41"/>
      <c r="D1165" s="42"/>
      <c r="E1165" s="26"/>
      <c r="F1165" s="43"/>
      <c r="G1165" s="40"/>
      <c r="H1165" s="44"/>
      <c r="I1165" s="33"/>
      <c r="J1165" s="34"/>
      <c r="K1165" s="32"/>
      <c r="L1165" s="35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ht="19.5" customHeight="1">
      <c r="A1166" s="36" t="str">
        <f>LEFT('JANUARY 10, 2026'!$E1166,FIND("-",'JANUARY 10, 2026'!$E1166&amp;"-")-1)</f>
        <v/>
      </c>
      <c r="B1166" s="41"/>
      <c r="C1166" s="41"/>
      <c r="D1166" s="42"/>
      <c r="E1166" s="26"/>
      <c r="F1166" s="43"/>
      <c r="G1166" s="40"/>
      <c r="H1166" s="44"/>
      <c r="I1166" s="33"/>
      <c r="J1166" s="34"/>
      <c r="K1166" s="32"/>
      <c r="L1166" s="35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ht="19.5" customHeight="1">
      <c r="A1167" s="36" t="str">
        <f>LEFT('JANUARY 10, 2026'!$E1167,FIND("-",'JANUARY 10, 2026'!$E1167&amp;"-")-1)</f>
        <v/>
      </c>
      <c r="B1167" s="41"/>
      <c r="C1167" s="41"/>
      <c r="D1167" s="42"/>
      <c r="E1167" s="26"/>
      <c r="F1167" s="43"/>
      <c r="G1167" s="40"/>
      <c r="H1167" s="44"/>
      <c r="I1167" s="33"/>
      <c r="J1167" s="34"/>
      <c r="K1167" s="32"/>
      <c r="L1167" s="35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ht="19.5" customHeight="1">
      <c r="A1168" s="36" t="str">
        <f>LEFT('JANUARY 10, 2026'!$E1168,FIND("-",'JANUARY 10, 2026'!$E1168&amp;"-")-1)</f>
        <v/>
      </c>
      <c r="B1168" s="41"/>
      <c r="C1168" s="41"/>
      <c r="D1168" s="42"/>
      <c r="E1168" s="26"/>
      <c r="F1168" s="43"/>
      <c r="G1168" s="40"/>
      <c r="H1168" s="44"/>
      <c r="I1168" s="33"/>
      <c r="J1168" s="34"/>
      <c r="K1168" s="32"/>
      <c r="L1168" s="35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ht="19.5" customHeight="1">
      <c r="A1169" s="36" t="str">
        <f>LEFT('JANUARY 10, 2026'!$E1169,FIND("-",'JANUARY 10, 2026'!$E1169&amp;"-")-1)</f>
        <v/>
      </c>
      <c r="B1169" s="41"/>
      <c r="C1169" s="41"/>
      <c r="D1169" s="42"/>
      <c r="E1169" s="26"/>
      <c r="F1169" s="43"/>
      <c r="G1169" s="40"/>
      <c r="H1169" s="44"/>
      <c r="I1169" s="33"/>
      <c r="J1169" s="34"/>
      <c r="K1169" s="32"/>
      <c r="L1169" s="35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ht="19.5" customHeight="1">
      <c r="A1170" s="36" t="str">
        <f>LEFT('JANUARY 10, 2026'!$E1170,FIND("-",'JANUARY 10, 2026'!$E1170&amp;"-")-1)</f>
        <v/>
      </c>
      <c r="B1170" s="41"/>
      <c r="C1170" s="41"/>
      <c r="D1170" s="42"/>
      <c r="E1170" s="26"/>
      <c r="F1170" s="43"/>
      <c r="G1170" s="40"/>
      <c r="H1170" s="44"/>
      <c r="I1170" s="33"/>
      <c r="J1170" s="34"/>
      <c r="K1170" s="32"/>
      <c r="L1170" s="35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ht="19.5" customHeight="1">
      <c r="A1171" s="36" t="str">
        <f>LEFT('JANUARY 10, 2026'!$E1171,FIND("-",'JANUARY 10, 2026'!$E1171&amp;"-")-1)</f>
        <v/>
      </c>
      <c r="B1171" s="41"/>
      <c r="C1171" s="41"/>
      <c r="D1171" s="42"/>
      <c r="E1171" s="26"/>
      <c r="F1171" s="43"/>
      <c r="G1171" s="40"/>
      <c r="H1171" s="44"/>
      <c r="I1171" s="33"/>
      <c r="J1171" s="34"/>
      <c r="K1171" s="32"/>
      <c r="L1171" s="35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ht="19.5" customHeight="1">
      <c r="A1172" s="36" t="str">
        <f>LEFT('JANUARY 10, 2026'!$E1172,FIND("-",'JANUARY 10, 2026'!$E1172&amp;"-")-1)</f>
        <v/>
      </c>
      <c r="B1172" s="41"/>
      <c r="C1172" s="41"/>
      <c r="D1172" s="42"/>
      <c r="E1172" s="26"/>
      <c r="F1172" s="43"/>
      <c r="G1172" s="40"/>
      <c r="H1172" s="44"/>
      <c r="I1172" s="33"/>
      <c r="J1172" s="34"/>
      <c r="K1172" s="32"/>
      <c r="L1172" s="35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ht="19.5" customHeight="1">
      <c r="A1173" s="36" t="str">
        <f>LEFT('JANUARY 10, 2026'!$E1173,FIND("-",'JANUARY 10, 2026'!$E1173&amp;"-")-1)</f>
        <v/>
      </c>
      <c r="B1173" s="41"/>
      <c r="C1173" s="41"/>
      <c r="D1173" s="42"/>
      <c r="E1173" s="26"/>
      <c r="F1173" s="43"/>
      <c r="G1173" s="40"/>
      <c r="H1173" s="44"/>
      <c r="I1173" s="33"/>
      <c r="J1173" s="34"/>
      <c r="K1173" s="32"/>
      <c r="L1173" s="35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ht="19.5" customHeight="1">
      <c r="A1174" s="36" t="str">
        <f>LEFT('JANUARY 10, 2026'!$E1174,FIND("-",'JANUARY 10, 2026'!$E1174&amp;"-")-1)</f>
        <v/>
      </c>
      <c r="B1174" s="41"/>
      <c r="C1174" s="41"/>
      <c r="D1174" s="42"/>
      <c r="E1174" s="26"/>
      <c r="F1174" s="43"/>
      <c r="G1174" s="40"/>
      <c r="H1174" s="44"/>
      <c r="I1174" s="33"/>
      <c r="J1174" s="34"/>
      <c r="K1174" s="32"/>
      <c r="L1174" s="35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ht="19.5" customHeight="1">
      <c r="A1175" s="36" t="str">
        <f>LEFT('JANUARY 10, 2026'!$E1175,FIND("-",'JANUARY 10, 2026'!$E1175&amp;"-")-1)</f>
        <v/>
      </c>
      <c r="B1175" s="41"/>
      <c r="C1175" s="41"/>
      <c r="D1175" s="42"/>
      <c r="E1175" s="26"/>
      <c r="F1175" s="43"/>
      <c r="G1175" s="40"/>
      <c r="H1175" s="44"/>
      <c r="I1175" s="33"/>
      <c r="J1175" s="34"/>
      <c r="K1175" s="32"/>
      <c r="L1175" s="35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ht="19.5" customHeight="1">
      <c r="A1176" s="36" t="str">
        <f>LEFT('JANUARY 10, 2026'!$E1176,FIND("-",'JANUARY 10, 2026'!$E1176&amp;"-")-1)</f>
        <v/>
      </c>
      <c r="B1176" s="41"/>
      <c r="C1176" s="41"/>
      <c r="D1176" s="42"/>
      <c r="E1176" s="26"/>
      <c r="F1176" s="43"/>
      <c r="G1176" s="40"/>
      <c r="H1176" s="44"/>
      <c r="I1176" s="33"/>
      <c r="J1176" s="34"/>
      <c r="K1176" s="32"/>
      <c r="L1176" s="35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ht="19.5" customHeight="1">
      <c r="A1177" s="36" t="str">
        <f>LEFT('JANUARY 10, 2026'!$E1177,FIND("-",'JANUARY 10, 2026'!$E1177&amp;"-")-1)</f>
        <v/>
      </c>
      <c r="B1177" s="41"/>
      <c r="C1177" s="41"/>
      <c r="D1177" s="42"/>
      <c r="E1177" s="26"/>
      <c r="F1177" s="43"/>
      <c r="G1177" s="40"/>
      <c r="H1177" s="44"/>
      <c r="I1177" s="33"/>
      <c r="J1177" s="34"/>
      <c r="K1177" s="32"/>
      <c r="L1177" s="35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ht="19.5" customHeight="1">
      <c r="A1178" s="36" t="str">
        <f>LEFT('JANUARY 10, 2026'!$E1178,FIND("-",'JANUARY 10, 2026'!$E1178&amp;"-")-1)</f>
        <v/>
      </c>
      <c r="B1178" s="41"/>
      <c r="C1178" s="41"/>
      <c r="D1178" s="42"/>
      <c r="E1178" s="26"/>
      <c r="F1178" s="43"/>
      <c r="G1178" s="40"/>
      <c r="H1178" s="44"/>
      <c r="I1178" s="33"/>
      <c r="J1178" s="34"/>
      <c r="K1178" s="32"/>
      <c r="L1178" s="35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ht="19.5" customHeight="1">
      <c r="A1179" s="36" t="str">
        <f>LEFT('JANUARY 10, 2026'!$E1179,FIND("-",'JANUARY 10, 2026'!$E1179&amp;"-")-1)</f>
        <v/>
      </c>
      <c r="B1179" s="41"/>
      <c r="C1179" s="41"/>
      <c r="D1179" s="42"/>
      <c r="E1179" s="26"/>
      <c r="F1179" s="43"/>
      <c r="G1179" s="40"/>
      <c r="H1179" s="44"/>
      <c r="I1179" s="33"/>
      <c r="J1179" s="34"/>
      <c r="K1179" s="32"/>
      <c r="L1179" s="35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ht="19.5" customHeight="1">
      <c r="A1180" s="36" t="str">
        <f>LEFT('JANUARY 10, 2026'!$E1180,FIND("-",'JANUARY 10, 2026'!$E1180&amp;"-")-1)</f>
        <v/>
      </c>
      <c r="B1180" s="41"/>
      <c r="C1180" s="41"/>
      <c r="D1180" s="42"/>
      <c r="E1180" s="26"/>
      <c r="F1180" s="43"/>
      <c r="G1180" s="40"/>
      <c r="H1180" s="44"/>
      <c r="I1180" s="33"/>
      <c r="J1180" s="34"/>
      <c r="K1180" s="32"/>
      <c r="L1180" s="35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ht="19.5" customHeight="1">
      <c r="A1181" s="36" t="str">
        <f>LEFT('JANUARY 10, 2026'!$E1181,FIND("-",'JANUARY 10, 2026'!$E1181&amp;"-")-1)</f>
        <v/>
      </c>
      <c r="B1181" s="41"/>
      <c r="C1181" s="41"/>
      <c r="D1181" s="42"/>
      <c r="E1181" s="26"/>
      <c r="F1181" s="43"/>
      <c r="G1181" s="40"/>
      <c r="H1181" s="44"/>
      <c r="I1181" s="33"/>
      <c r="J1181" s="34"/>
      <c r="K1181" s="32"/>
      <c r="L1181" s="35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ht="19.5" customHeight="1">
      <c r="A1182" s="36" t="str">
        <f>LEFT('JANUARY 10, 2026'!$E1182,FIND("-",'JANUARY 10, 2026'!$E1182&amp;"-")-1)</f>
        <v/>
      </c>
      <c r="B1182" s="41"/>
      <c r="C1182" s="41"/>
      <c r="D1182" s="42"/>
      <c r="E1182" s="36"/>
      <c r="F1182" s="43"/>
      <c r="G1182" s="40"/>
      <c r="H1182" s="44"/>
      <c r="I1182" s="33"/>
      <c r="J1182" s="34"/>
      <c r="K1182" s="32"/>
      <c r="L1182" s="35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ht="19.5" customHeight="1">
      <c r="A1183" s="36" t="str">
        <f>LEFT('JANUARY 10, 2026'!$E1183,FIND("-",'JANUARY 10, 2026'!$E1183&amp;"-")-1)</f>
        <v/>
      </c>
      <c r="B1183" s="41"/>
      <c r="C1183" s="41"/>
      <c r="D1183" s="42"/>
      <c r="E1183" s="26"/>
      <c r="F1183" s="43"/>
      <c r="G1183" s="40"/>
      <c r="H1183" s="44"/>
      <c r="I1183" s="33"/>
      <c r="J1183" s="34"/>
      <c r="K1183" s="32"/>
      <c r="L1183" s="35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ht="19.5" customHeight="1">
      <c r="A1184" s="36" t="str">
        <f>LEFT('JANUARY 10, 2026'!$E1184,FIND("-",'JANUARY 10, 2026'!$E1184&amp;"-")-1)</f>
        <v/>
      </c>
      <c r="B1184" s="41"/>
      <c r="C1184" s="41"/>
      <c r="D1184" s="42"/>
      <c r="E1184" s="26"/>
      <c r="F1184" s="43"/>
      <c r="G1184" s="40"/>
      <c r="H1184" s="44"/>
      <c r="I1184" s="33"/>
      <c r="J1184" s="34"/>
      <c r="K1184" s="32"/>
      <c r="L1184" s="35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ht="19.5" customHeight="1">
      <c r="A1185" s="36" t="str">
        <f>LEFT('JANUARY 10, 2026'!$E1185,FIND("-",'JANUARY 10, 2026'!$E1185&amp;"-")-1)</f>
        <v/>
      </c>
      <c r="B1185" s="41"/>
      <c r="C1185" s="41"/>
      <c r="D1185" s="42"/>
      <c r="E1185" s="26"/>
      <c r="F1185" s="43"/>
      <c r="G1185" s="40"/>
      <c r="H1185" s="44"/>
      <c r="I1185" s="33"/>
      <c r="J1185" s="34"/>
      <c r="K1185" s="32"/>
      <c r="L1185" s="35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ht="19.5" customHeight="1">
      <c r="A1186" s="26" t="str">
        <f>LEFT('JANUARY 10, 2026'!$E1186,FIND("-",'JANUARY 10, 2026'!$E1186&amp;"-")-1)</f>
        <v/>
      </c>
      <c r="B1186" s="41"/>
      <c r="C1186" s="41"/>
      <c r="D1186" s="42"/>
      <c r="E1186" s="26"/>
      <c r="F1186" s="43"/>
      <c r="G1186" s="40"/>
      <c r="H1186" s="44"/>
      <c r="I1186" s="33"/>
      <c r="J1186" s="34"/>
      <c r="K1186" s="44"/>
      <c r="L1186" s="26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ht="19.5" customHeight="1">
      <c r="A1187" s="26" t="str">
        <f>LEFT('JANUARY 10, 2026'!$E1187,FIND("-",'JANUARY 10, 2026'!$E1187&amp;"-")-1)</f>
        <v/>
      </c>
      <c r="B1187" s="41"/>
      <c r="C1187" s="41"/>
      <c r="D1187" s="42"/>
      <c r="E1187" s="26"/>
      <c r="F1187" s="43"/>
      <c r="G1187" s="40"/>
      <c r="H1187" s="44"/>
      <c r="I1187" s="33"/>
      <c r="J1187" s="34"/>
      <c r="K1187" s="44"/>
      <c r="L1187" s="26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ht="19.5" customHeight="1">
      <c r="A1188" s="26" t="str">
        <f>LEFT('JANUARY 10, 2026'!$E1188,FIND("-",'JANUARY 10, 2026'!$E1188&amp;"-")-1)</f>
        <v/>
      </c>
      <c r="B1188" s="41"/>
      <c r="C1188" s="41"/>
      <c r="D1188" s="42"/>
      <c r="E1188" s="26"/>
      <c r="F1188" s="43"/>
      <c r="G1188" s="40"/>
      <c r="H1188" s="44"/>
      <c r="I1188" s="33"/>
      <c r="J1188" s="34"/>
      <c r="K1188" s="44"/>
      <c r="L1188" s="26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ht="19.5" customHeight="1">
      <c r="A1189" s="26" t="str">
        <f>LEFT('JANUARY 10, 2026'!$E1189,FIND("-",'JANUARY 10, 2026'!$E1189&amp;"-")-1)</f>
        <v/>
      </c>
      <c r="B1189" s="41"/>
      <c r="C1189" s="41"/>
      <c r="D1189" s="48"/>
      <c r="E1189" s="26"/>
      <c r="F1189" s="49"/>
      <c r="G1189" s="40"/>
      <c r="H1189" s="44"/>
      <c r="I1189" s="50"/>
      <c r="J1189" s="51"/>
      <c r="K1189" s="44"/>
      <c r="L1189" s="26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</sheetData>
  <mergeCells count="10">
    <mergeCell ref="I1:I2"/>
    <mergeCell ref="J1:J2"/>
    <mergeCell ref="L1:L2"/>
    <mergeCell ref="A1:A2"/>
    <mergeCell ref="B1:B2"/>
    <mergeCell ref="C1:C2"/>
    <mergeCell ref="E1:E2"/>
    <mergeCell ref="F1:F2"/>
    <mergeCell ref="G1:G2"/>
    <mergeCell ref="H1:H2"/>
  </mergeCells>
  <printOptions/>
  <pageMargins bottom="0.590551181102362" footer="0.0" header="0.0" left="0.0" right="0.0" top="0.590551181102362"/>
  <pageSetup orientation="landscape"/>
  <headerFooter>
    <oddHeader>&amp;LREGISTERED BIDDERS&amp;CDASMARIÑAS BRANCH&amp;R&amp;F</oddHeader>
    <oddFooter>&amp;RPAGE &amp;P OF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>
      <pane xSplit="11.0" ySplit="2.0" topLeftCell="L3" activePane="bottomRight" state="frozen"/>
      <selection activeCell="L1" sqref="L1" pane="topRight"/>
      <selection activeCell="A3" sqref="A3" pane="bottomLeft"/>
      <selection activeCell="L3" sqref="L3" pane="bottomRight"/>
    </sheetView>
  </sheetViews>
  <sheetFormatPr customHeight="1" defaultColWidth="14.43" defaultRowHeight="15.0"/>
  <cols>
    <col customWidth="1" min="1" max="3" width="11.57"/>
    <col customWidth="1" min="4" max="4" width="41.0"/>
    <col customWidth="1" min="5" max="5" width="30.71"/>
    <col customWidth="1" min="6" max="6" width="18.57"/>
    <col customWidth="1" min="7" max="7" width="20.57"/>
    <col customWidth="1" min="8" max="8" width="15.57"/>
    <col customWidth="1" min="9" max="10" width="20.71"/>
    <col customWidth="1" min="11" max="13" width="13.71"/>
    <col customWidth="1" min="14" max="14" width="20.71"/>
    <col customWidth="1" min="15" max="26" width="9.29"/>
  </cols>
  <sheetData>
    <row r="1" ht="30.0" customHeight="1">
      <c r="A1" s="52" t="s">
        <v>16</v>
      </c>
      <c r="B1" s="53"/>
      <c r="C1" s="54"/>
      <c r="D1" s="55" t="s">
        <v>17</v>
      </c>
      <c r="E1" s="53"/>
      <c r="F1" s="53"/>
      <c r="G1" s="53"/>
      <c r="H1" s="54"/>
      <c r="I1" s="56">
        <v>0.05</v>
      </c>
      <c r="J1" s="57" t="s">
        <v>18</v>
      </c>
      <c r="K1" s="58"/>
      <c r="L1" s="58"/>
      <c r="M1" s="58"/>
      <c r="N1" s="58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30.0" customHeight="1">
      <c r="A2" s="60" t="s">
        <v>19</v>
      </c>
      <c r="B2" s="60" t="s">
        <v>20</v>
      </c>
      <c r="C2" s="60" t="s">
        <v>21</v>
      </c>
      <c r="D2" s="61" t="s">
        <v>22</v>
      </c>
      <c r="E2" s="61" t="s">
        <v>23</v>
      </c>
      <c r="F2" s="61" t="s">
        <v>24</v>
      </c>
      <c r="G2" s="61" t="s">
        <v>25</v>
      </c>
      <c r="H2" s="62" t="s">
        <v>26</v>
      </c>
      <c r="I2" s="63" t="s">
        <v>27</v>
      </c>
      <c r="J2" s="64" t="s">
        <v>28</v>
      </c>
      <c r="K2" s="65" t="s">
        <v>29</v>
      </c>
      <c r="L2" s="65" t="s">
        <v>30</v>
      </c>
      <c r="M2" s="65" t="s">
        <v>31</v>
      </c>
      <c r="N2" s="66" t="s">
        <v>12</v>
      </c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30.0" customHeight="1">
      <c r="A3" s="67"/>
      <c r="B3" s="68">
        <v>0.0</v>
      </c>
      <c r="C3" s="60"/>
      <c r="D3" s="69" t="str">
        <f>CONCATENATE(PROPER('BIÑAN INFO'!$G3),", ",PROPER('BIÑAN INFO'!$E3)," ",PROPER('BIÑAN INFO'!$F3),"."," (",UPPER('BIÑAN INFO'!$H3),")")</f>
        <v>Biñan, Ren-A-Mark . ()</v>
      </c>
      <c r="E3" s="70" t="s">
        <v>32</v>
      </c>
      <c r="F3" s="70"/>
      <c r="G3" s="70" t="s">
        <v>33</v>
      </c>
      <c r="H3" s="62"/>
      <c r="I3" s="71">
        <v>0.0</v>
      </c>
      <c r="J3" s="72"/>
      <c r="K3" s="65"/>
      <c r="L3" s="65"/>
      <c r="M3" s="65"/>
      <c r="N3" s="66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30.0" customHeight="1">
      <c r="A4" s="68"/>
      <c r="B4" s="68">
        <v>1.0</v>
      </c>
      <c r="C4" s="68"/>
      <c r="D4" s="69" t="str">
        <f>CONCATENATE(PROPER('BIÑAN INFO'!$G4),", ",PROPER('BIÑAN INFO'!$E4)," ",PROPER('BIÑAN INFO'!$F4),"."," (",UPPER('BIÑAN INFO'!$H4),")")</f>
        <v>,  . ()</v>
      </c>
      <c r="E4" s="70"/>
      <c r="F4" s="70"/>
      <c r="G4" s="70"/>
      <c r="H4" s="69"/>
      <c r="I4" s="71">
        <v>0.12</v>
      </c>
      <c r="J4" s="72">
        <v>1000.0</v>
      </c>
      <c r="K4" s="73"/>
      <c r="L4" s="73"/>
      <c r="M4" s="73"/>
      <c r="N4" s="74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30.0" customHeight="1">
      <c r="A5" s="68"/>
      <c r="B5" s="68">
        <v>2.0</v>
      </c>
      <c r="C5" s="68"/>
      <c r="D5" s="69" t="str">
        <f>CONCATENATE(PROPER('BIÑAN INFO'!$G5),", ",PROPER('BIÑAN INFO'!$E5)," ",PROPER('BIÑAN INFO'!$F5),"."," (",UPPER('BIÑAN INFO'!$H5),")")</f>
        <v>,  . ()</v>
      </c>
      <c r="E5" s="70"/>
      <c r="F5" s="70"/>
      <c r="G5" s="70"/>
      <c r="H5" s="69"/>
      <c r="I5" s="71">
        <v>0.05</v>
      </c>
      <c r="J5" s="72">
        <v>1000.0</v>
      </c>
      <c r="K5" s="73"/>
      <c r="L5" s="73"/>
      <c r="M5" s="73"/>
      <c r="N5" s="74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30.0" customHeight="1">
      <c r="A6" s="68"/>
      <c r="B6" s="68">
        <v>3.0</v>
      </c>
      <c r="C6" s="68"/>
      <c r="D6" s="69" t="str">
        <f>CONCATENATE(PROPER('BIÑAN INFO'!$G6),", ",PROPER('BIÑAN INFO'!$E6)," ",PROPER('BIÑAN INFO'!$F6),"."," (",UPPER('BIÑAN INFO'!$H6),")")</f>
        <v>,  . ()</v>
      </c>
      <c r="E6" s="70"/>
      <c r="F6" s="70"/>
      <c r="G6" s="69"/>
      <c r="H6" s="69"/>
      <c r="I6" s="71">
        <v>0.12</v>
      </c>
      <c r="J6" s="72">
        <v>1000.0</v>
      </c>
      <c r="K6" s="73"/>
      <c r="L6" s="73"/>
      <c r="M6" s="73"/>
      <c r="N6" s="74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30.0" customHeight="1">
      <c r="A7" s="68"/>
      <c r="B7" s="68">
        <v>7.0</v>
      </c>
      <c r="C7" s="68"/>
      <c r="D7" s="69" t="str">
        <f>CONCATENATE(PROPER('BIÑAN INFO'!$G7),", ",PROPER('BIÑAN INFO'!$E7)," ",PROPER('BIÑAN INFO'!$F7),"."," (",UPPER('BIÑAN INFO'!$H7),")")</f>
        <v>,  . ()</v>
      </c>
      <c r="E7" s="70"/>
      <c r="F7" s="70"/>
      <c r="G7" s="70"/>
      <c r="H7" s="70"/>
      <c r="I7" s="71">
        <v>0.05</v>
      </c>
      <c r="J7" s="72">
        <v>1000.0</v>
      </c>
      <c r="K7" s="73"/>
      <c r="L7" s="73"/>
      <c r="M7" s="73">
        <v>2021.0</v>
      </c>
      <c r="N7" s="74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30.0" customHeight="1">
      <c r="A8" s="68"/>
      <c r="B8" s="68">
        <v>8.0</v>
      </c>
      <c r="C8" s="68"/>
      <c r="D8" s="69" t="str">
        <f>CONCATENATE(PROPER('BIÑAN INFO'!$G8),", ",PROPER('BIÑAN INFO'!$E8)," ",PROPER('BIÑAN INFO'!$F8),"."," (",UPPER('BIÑAN INFO'!$H8),")")</f>
        <v>Mabeza, Joana . ()</v>
      </c>
      <c r="E8" s="70" t="s">
        <v>34</v>
      </c>
      <c r="F8" s="70"/>
      <c r="G8" s="70" t="s">
        <v>35</v>
      </c>
      <c r="H8" s="69"/>
      <c r="I8" s="71">
        <v>0.05</v>
      </c>
      <c r="J8" s="72">
        <v>1000.0</v>
      </c>
      <c r="K8" s="73"/>
      <c r="L8" s="73"/>
      <c r="M8" s="73"/>
      <c r="N8" s="74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30.0" customHeight="1">
      <c r="A9" s="68"/>
      <c r="B9" s="68">
        <v>9.0</v>
      </c>
      <c r="C9" s="68"/>
      <c r="D9" s="69" t="str">
        <f>CONCATENATE(PROPER('BIÑAN INFO'!$G9),", ",PROPER('BIÑAN INFO'!$E9)," ",PROPER('BIÑAN INFO'!$F9),"."," (",UPPER('BIÑAN INFO'!$H9),")")</f>
        <v>,  . ()</v>
      </c>
      <c r="E9" s="70"/>
      <c r="F9" s="70"/>
      <c r="G9" s="70"/>
      <c r="H9" s="69"/>
      <c r="I9" s="71">
        <v>0.12</v>
      </c>
      <c r="J9" s="72">
        <v>1000.0</v>
      </c>
      <c r="K9" s="73"/>
      <c r="L9" s="73"/>
      <c r="M9" s="73"/>
      <c r="N9" s="74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30.0" customHeight="1">
      <c r="A10" s="68"/>
      <c r="B10" s="68">
        <v>10.0</v>
      </c>
      <c r="C10" s="68"/>
      <c r="D10" s="69" t="str">
        <f>CONCATENATE(PROPER('BIÑAN INFO'!$G10),", ",PROPER('BIÑAN INFO'!$E10)," ",PROPER('BIÑAN INFO'!$F10),"."," (",UPPER('BIÑAN INFO'!$H10),")")</f>
        <v>Bedia, Edward . ()</v>
      </c>
      <c r="E10" s="70" t="s">
        <v>36</v>
      </c>
      <c r="F10" s="70"/>
      <c r="G10" s="70" t="s">
        <v>37</v>
      </c>
      <c r="H10" s="69"/>
      <c r="I10" s="71">
        <v>0.12</v>
      </c>
      <c r="J10" s="72">
        <v>1000.0</v>
      </c>
      <c r="K10" s="73"/>
      <c r="L10" s="73"/>
      <c r="M10" s="73"/>
      <c r="N10" s="74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30.0" customHeight="1">
      <c r="A11" s="68"/>
      <c r="B11" s="68">
        <v>11.0</v>
      </c>
      <c r="C11" s="68"/>
      <c r="D11" s="69" t="str">
        <f>CONCATENATE(PROPER('BIÑAN INFO'!$G11),", ",PROPER('BIÑAN INFO'!$E11)," ",PROPER('BIÑAN INFO'!$F11),"."," (",UPPER('BIÑAN INFO'!$H11),")")</f>
        <v>,  . ()</v>
      </c>
      <c r="E11" s="70"/>
      <c r="F11" s="70"/>
      <c r="G11" s="70"/>
      <c r="H11" s="69"/>
      <c r="I11" s="71">
        <v>0.12</v>
      </c>
      <c r="J11" s="72">
        <v>1000.0</v>
      </c>
      <c r="K11" s="73"/>
      <c r="L11" s="73"/>
      <c r="M11" s="73"/>
      <c r="N11" s="74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30.0" customHeight="1">
      <c r="A12" s="68"/>
      <c r="B12" s="68">
        <v>12.0</v>
      </c>
      <c r="C12" s="68"/>
      <c r="D12" s="69" t="str">
        <f>CONCATENATE(PROPER('BIÑAN INFO'!$G12),", ",PROPER('BIÑAN INFO'!$E12)," ",PROPER('BIÑAN INFO'!$F12),"."," (",UPPER('BIÑAN INFO'!$H12),")")</f>
        <v>,  . ()</v>
      </c>
      <c r="E12" s="70"/>
      <c r="F12" s="70"/>
      <c r="G12" s="70"/>
      <c r="H12" s="69"/>
      <c r="I12" s="71">
        <v>0.12</v>
      </c>
      <c r="J12" s="72">
        <v>1000.0</v>
      </c>
      <c r="K12" s="73"/>
      <c r="L12" s="73"/>
      <c r="M12" s="73"/>
      <c r="N12" s="74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30.0" customHeight="1">
      <c r="A13" s="68"/>
      <c r="B13" s="68">
        <v>13.0</v>
      </c>
      <c r="C13" s="68"/>
      <c r="D13" s="69" t="str">
        <f>CONCATENATE(PROPER('BIÑAN INFO'!$G13),", ",PROPER('BIÑAN INFO'!$E13)," ",PROPER('BIÑAN INFO'!$F13),"."," (",UPPER('BIÑAN INFO'!$H13),")")</f>
        <v>Bascon, Michael . ()</v>
      </c>
      <c r="E13" s="70" t="s">
        <v>38</v>
      </c>
      <c r="F13" s="70"/>
      <c r="G13" s="70" t="s">
        <v>39</v>
      </c>
      <c r="H13" s="69"/>
      <c r="I13" s="71">
        <v>0.12</v>
      </c>
      <c r="J13" s="72">
        <v>1000.0</v>
      </c>
      <c r="K13" s="73"/>
      <c r="L13" s="73"/>
      <c r="M13" s="73"/>
      <c r="N13" s="74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30.0" customHeight="1">
      <c r="A14" s="68"/>
      <c r="B14" s="68">
        <v>14.0</v>
      </c>
      <c r="C14" s="68"/>
      <c r="D14" s="69" t="str">
        <f>CONCATENATE(PROPER('BIÑAN INFO'!$G14),", ",PROPER('BIÑAN INFO'!$E14)," ",PROPER('BIÑAN INFO'!$F14),"."," (",UPPER('BIÑAN INFO'!$H14),")")</f>
        <v>Yatco, Neptaly . ()</v>
      </c>
      <c r="E14" s="70" t="s">
        <v>40</v>
      </c>
      <c r="F14" s="70"/>
      <c r="G14" s="70" t="s">
        <v>41</v>
      </c>
      <c r="H14" s="69"/>
      <c r="I14" s="71">
        <v>0.05</v>
      </c>
      <c r="J14" s="72">
        <v>1000.0</v>
      </c>
      <c r="K14" s="73"/>
      <c r="L14" s="73"/>
      <c r="M14" s="73"/>
      <c r="N14" s="74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30.0" customHeight="1">
      <c r="A15" s="68"/>
      <c r="B15" s="68">
        <v>15.0</v>
      </c>
      <c r="C15" s="68"/>
      <c r="D15" s="69" t="str">
        <f>CONCATENATE(PROPER('BIÑAN INFO'!$G15),", ",PROPER('BIÑAN INFO'!$E15)," ",PROPER('BIÑAN INFO'!$F15),"."," (",UPPER('BIÑAN INFO'!$H15),")")</f>
        <v>,  . ()</v>
      </c>
      <c r="E15" s="70"/>
      <c r="F15" s="70"/>
      <c r="G15" s="70"/>
      <c r="H15" s="69"/>
      <c r="I15" s="71">
        <v>0.12</v>
      </c>
      <c r="J15" s="72">
        <v>1000.0</v>
      </c>
      <c r="K15" s="73"/>
      <c r="L15" s="73"/>
      <c r="M15" s="73"/>
      <c r="N15" s="74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30.0" customHeight="1">
      <c r="A16" s="68"/>
      <c r="B16" s="68">
        <v>16.0</v>
      </c>
      <c r="C16" s="68"/>
      <c r="D16" s="69" t="str">
        <f>CONCATENATE(PROPER('BIÑAN INFO'!$G16),", ",PROPER('BIÑAN INFO'!$E16)," ",PROPER('BIÑAN INFO'!$F16),"."," (",UPPER('BIÑAN INFO'!$H16),")")</f>
        <v>,  . ()</v>
      </c>
      <c r="E16" s="70"/>
      <c r="F16" s="70"/>
      <c r="G16" s="70"/>
      <c r="H16" s="69"/>
      <c r="I16" s="71">
        <v>0.12</v>
      </c>
      <c r="J16" s="72">
        <v>1000.0</v>
      </c>
      <c r="K16" s="73"/>
      <c r="L16" s="73"/>
      <c r="M16" s="73"/>
      <c r="N16" s="74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30.0" customHeight="1">
      <c r="A17" s="68"/>
      <c r="B17" s="68">
        <v>17.0</v>
      </c>
      <c r="C17" s="68"/>
      <c r="D17" s="69" t="str">
        <f>CONCATENATE(PROPER('BIÑAN INFO'!$G17),", ",PROPER('BIÑAN INFO'!$E17)," ",PROPER('BIÑAN INFO'!$F17),"."," (",UPPER('BIÑAN INFO'!$H17),")")</f>
        <v>,  . ()</v>
      </c>
      <c r="E17" s="70"/>
      <c r="F17" s="70"/>
      <c r="G17" s="70"/>
      <c r="H17" s="69"/>
      <c r="I17" s="71">
        <v>0.12</v>
      </c>
      <c r="J17" s="72">
        <v>1000.0</v>
      </c>
      <c r="K17" s="73"/>
      <c r="L17" s="73"/>
      <c r="M17" s="73"/>
      <c r="N17" s="74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30.0" customHeight="1">
      <c r="A18" s="68"/>
      <c r="B18" s="68">
        <v>18.0</v>
      </c>
      <c r="C18" s="68"/>
      <c r="D18" s="69" t="str">
        <f>CONCATENATE(PROPER('BIÑAN INFO'!$G18),", ",PROPER('BIÑAN INFO'!$E18)," ",PROPER('BIÑAN INFO'!$F18),"."," (",UPPER('BIÑAN INFO'!$H18),")")</f>
        <v>,  . ()</v>
      </c>
      <c r="E18" s="70"/>
      <c r="F18" s="70"/>
      <c r="G18" s="70"/>
      <c r="H18" s="69"/>
      <c r="I18" s="71">
        <v>0.12</v>
      </c>
      <c r="J18" s="72">
        <v>1000.0</v>
      </c>
      <c r="K18" s="73"/>
      <c r="L18" s="73"/>
      <c r="M18" s="73"/>
      <c r="N18" s="74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30.0" customHeight="1">
      <c r="A19" s="68"/>
      <c r="B19" s="68">
        <v>19.0</v>
      </c>
      <c r="C19" s="68"/>
      <c r="D19" s="69" t="str">
        <f>CONCATENATE(PROPER('BIÑAN INFO'!$G19),", ",PROPER('BIÑAN INFO'!$E19)," ",PROPER('BIÑAN INFO'!$F19),"."," (",UPPER('BIÑAN INFO'!$H19),")")</f>
        <v>Cano, Rosemarie . ()</v>
      </c>
      <c r="E19" s="70" t="s">
        <v>42</v>
      </c>
      <c r="F19" s="70"/>
      <c r="G19" s="70" t="s">
        <v>43</v>
      </c>
      <c r="H19" s="69"/>
      <c r="I19" s="71">
        <v>0.05</v>
      </c>
      <c r="J19" s="72">
        <v>1000.0</v>
      </c>
      <c r="K19" s="73"/>
      <c r="L19" s="73"/>
      <c r="M19" s="73"/>
      <c r="N19" s="74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30.0" customHeight="1">
      <c r="A20" s="68"/>
      <c r="B20" s="68">
        <v>20.0</v>
      </c>
      <c r="C20" s="68"/>
      <c r="D20" s="69" t="str">
        <f>CONCATENATE(PROPER('BIÑAN INFO'!$G20),", ",PROPER('BIÑAN INFO'!$E20)," ",PROPER('BIÑAN INFO'!$F20),"."," (",UPPER('BIÑAN INFO'!$H20),")")</f>
        <v>Malayan, Sonny . ()</v>
      </c>
      <c r="E20" s="70" t="s">
        <v>44</v>
      </c>
      <c r="F20" s="70"/>
      <c r="G20" s="70" t="s">
        <v>45</v>
      </c>
      <c r="H20" s="69"/>
      <c r="I20" s="71">
        <v>0.12</v>
      </c>
      <c r="J20" s="72">
        <v>1000.0</v>
      </c>
      <c r="K20" s="73"/>
      <c r="L20" s="73"/>
      <c r="M20" s="73"/>
      <c r="N20" s="74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30.0" customHeight="1">
      <c r="A21" s="68"/>
      <c r="B21" s="68">
        <v>21.0</v>
      </c>
      <c r="C21" s="68"/>
      <c r="D21" s="69" t="str">
        <f>CONCATENATE(PROPER('BIÑAN INFO'!$G21),", ",PROPER('BIÑAN INFO'!$E21)," ",PROPER('BIÑAN INFO'!$F21),"."," (",UPPER('BIÑAN INFO'!$H21),")")</f>
        <v>,  . ()</v>
      </c>
      <c r="E21" s="70"/>
      <c r="F21" s="70"/>
      <c r="G21" s="69"/>
      <c r="H21" s="69"/>
      <c r="I21" s="71">
        <v>0.12</v>
      </c>
      <c r="J21" s="72">
        <v>1000.0</v>
      </c>
      <c r="K21" s="73"/>
      <c r="L21" s="73"/>
      <c r="M21" s="73"/>
      <c r="N21" s="74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30.0" customHeight="1">
      <c r="A22" s="68"/>
      <c r="B22" s="68">
        <v>22.0</v>
      </c>
      <c r="C22" s="68"/>
      <c r="D22" s="69" t="str">
        <f>CONCATENATE(PROPER('BIÑAN INFO'!$G22),", ",PROPER('BIÑAN INFO'!$E22)," ",PROPER('BIÑAN INFO'!$F22),"."," (",UPPER('BIÑAN INFO'!$H22),")")</f>
        <v>,  . ()</v>
      </c>
      <c r="E22" s="70"/>
      <c r="F22" s="70"/>
      <c r="G22" s="69"/>
      <c r="H22" s="69"/>
      <c r="I22" s="71">
        <v>0.12</v>
      </c>
      <c r="J22" s="72">
        <v>1000.0</v>
      </c>
      <c r="K22" s="73"/>
      <c r="L22" s="73"/>
      <c r="M22" s="73"/>
      <c r="N22" s="74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30.0" customHeight="1">
      <c r="A23" s="68"/>
      <c r="B23" s="68">
        <v>23.0</v>
      </c>
      <c r="C23" s="68"/>
      <c r="D23" s="69" t="str">
        <f>CONCATENATE(PROPER('BIÑAN INFO'!$G23),", ",PROPER('BIÑAN INFO'!$E23)," ",PROPER('BIÑAN INFO'!$F23),"."," (",UPPER('BIÑAN INFO'!$H23),")")</f>
        <v>,  . ()</v>
      </c>
      <c r="E23" s="70"/>
      <c r="F23" s="70"/>
      <c r="G23" s="69"/>
      <c r="H23" s="69"/>
      <c r="I23" s="71">
        <v>0.12</v>
      </c>
      <c r="J23" s="72">
        <v>1000.0</v>
      </c>
      <c r="K23" s="73"/>
      <c r="L23" s="73"/>
      <c r="M23" s="73"/>
      <c r="N23" s="74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30.0" customHeight="1">
      <c r="A24" s="68"/>
      <c r="B24" s="68">
        <v>24.0</v>
      </c>
      <c r="C24" s="68"/>
      <c r="D24" s="69" t="str">
        <f>CONCATENATE(PROPER('BIÑAN INFO'!$G24),", ",PROPER('BIÑAN INFO'!$E24)," ",PROPER('BIÑAN INFO'!$F24),"."," (",UPPER('BIÑAN INFO'!$H24),")")</f>
        <v>,  . ()</v>
      </c>
      <c r="E24" s="70"/>
      <c r="F24" s="70"/>
      <c r="G24" s="69"/>
      <c r="H24" s="69"/>
      <c r="I24" s="71">
        <v>0.12</v>
      </c>
      <c r="J24" s="72">
        <v>1000.0</v>
      </c>
      <c r="K24" s="73"/>
      <c r="L24" s="73"/>
      <c r="M24" s="73"/>
      <c r="N24" s="74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30.0" customHeight="1">
      <c r="A25" s="68"/>
      <c r="B25" s="68">
        <v>25.0</v>
      </c>
      <c r="C25" s="68"/>
      <c r="D25" s="69" t="str">
        <f>CONCATENATE(PROPER('BIÑAN INFO'!$G25),", ",PROPER('BIÑAN INFO'!$E25)," ",PROPER('BIÑAN INFO'!$F25),"."," (",UPPER('BIÑAN INFO'!$H25),")")</f>
        <v>,  . ()</v>
      </c>
      <c r="E25" s="70"/>
      <c r="F25" s="70"/>
      <c r="G25" s="69"/>
      <c r="H25" s="69"/>
      <c r="I25" s="71">
        <v>0.12</v>
      </c>
      <c r="J25" s="72">
        <v>1000.0</v>
      </c>
      <c r="K25" s="73"/>
      <c r="L25" s="73"/>
      <c r="M25" s="73"/>
      <c r="N25" s="74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30.0" customHeight="1">
      <c r="A26" s="68"/>
      <c r="B26" s="68">
        <v>26.0</v>
      </c>
      <c r="C26" s="68"/>
      <c r="D26" s="69" t="str">
        <f>CONCATENATE(PROPER('BIÑAN INFO'!$G26),", ",PROPER('BIÑAN INFO'!$E26)," ",PROPER('BIÑAN INFO'!$F26),"."," (",UPPER('BIÑAN INFO'!$H26),")")</f>
        <v>Banes, Irene . ()</v>
      </c>
      <c r="E26" s="70" t="s">
        <v>46</v>
      </c>
      <c r="F26" s="70"/>
      <c r="G26" s="69" t="s">
        <v>47</v>
      </c>
      <c r="H26" s="69"/>
      <c r="I26" s="71">
        <v>0.12</v>
      </c>
      <c r="J26" s="72">
        <v>1000.0</v>
      </c>
      <c r="K26" s="73"/>
      <c r="L26" s="73"/>
      <c r="M26" s="73"/>
      <c r="N26" s="74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30.0" customHeight="1">
      <c r="A27" s="68"/>
      <c r="B27" s="68">
        <v>27.0</v>
      </c>
      <c r="C27" s="68"/>
      <c r="D27" s="69" t="str">
        <f>CONCATENATE(PROPER('BIÑAN INFO'!$G27),", ",PROPER('BIÑAN INFO'!$E27)," ",PROPER('BIÑAN INFO'!$F27),"."," (",UPPER('BIÑAN INFO'!$H27),")")</f>
        <v>,  . ()</v>
      </c>
      <c r="E27" s="70"/>
      <c r="F27" s="70"/>
      <c r="G27" s="69"/>
      <c r="H27" s="69"/>
      <c r="I27" s="71">
        <v>0.12</v>
      </c>
      <c r="J27" s="72">
        <v>1000.0</v>
      </c>
      <c r="K27" s="73"/>
      <c r="L27" s="73"/>
      <c r="M27" s="73"/>
      <c r="N27" s="74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30.0" customHeight="1">
      <c r="A28" s="68"/>
      <c r="B28" s="68">
        <v>28.0</v>
      </c>
      <c r="C28" s="68"/>
      <c r="D28" s="69" t="str">
        <f>CONCATENATE(PROPER('BIÑAN INFO'!$G28),", ",PROPER('BIÑAN INFO'!$E28)," ",PROPER('BIÑAN INFO'!$F28),"."," (",UPPER('BIÑAN INFO'!$H28),")")</f>
        <v>,  . ()</v>
      </c>
      <c r="E28" s="70"/>
      <c r="F28" s="70"/>
      <c r="G28" s="69"/>
      <c r="H28" s="69"/>
      <c r="I28" s="71">
        <v>0.12</v>
      </c>
      <c r="J28" s="72">
        <v>1000.0</v>
      </c>
      <c r="K28" s="73"/>
      <c r="L28" s="73"/>
      <c r="M28" s="73"/>
      <c r="N28" s="74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30.0" customHeight="1">
      <c r="A29" s="68"/>
      <c r="B29" s="68">
        <v>29.0</v>
      </c>
      <c r="C29" s="68"/>
      <c r="D29" s="69" t="str">
        <f>CONCATENATE(PROPER('BIÑAN INFO'!$G29),", ",PROPER('BIÑAN INFO'!$E29)," ",PROPER('BIÑAN INFO'!$F29),"."," (",UPPER('BIÑAN INFO'!$H29),")")</f>
        <v>,  . ()</v>
      </c>
      <c r="E29" s="70"/>
      <c r="F29" s="70"/>
      <c r="G29" s="70"/>
      <c r="H29" s="69"/>
      <c r="I29" s="71">
        <v>0.12</v>
      </c>
      <c r="J29" s="72">
        <v>1000.0</v>
      </c>
      <c r="K29" s="73"/>
      <c r="L29" s="73"/>
      <c r="M29" s="73"/>
      <c r="N29" s="74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30.0" customHeight="1">
      <c r="A30" s="68"/>
      <c r="B30" s="68">
        <v>30.0</v>
      </c>
      <c r="C30" s="68"/>
      <c r="D30" s="69" t="str">
        <f>CONCATENATE(PROPER('BIÑAN INFO'!$G30),", ",PROPER('BIÑAN INFO'!$E30)," ",PROPER('BIÑAN INFO'!$F30),"."," (",UPPER('BIÑAN INFO'!$H30),")")</f>
        <v>,  . ()</v>
      </c>
      <c r="E30" s="70"/>
      <c r="F30" s="70"/>
      <c r="G30" s="70"/>
      <c r="H30" s="69"/>
      <c r="I30" s="71">
        <v>0.12</v>
      </c>
      <c r="J30" s="72">
        <v>1000.0</v>
      </c>
      <c r="K30" s="73"/>
      <c r="L30" s="73"/>
      <c r="M30" s="73"/>
      <c r="N30" s="74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30.0" customHeight="1">
      <c r="A31" s="68"/>
      <c r="B31" s="68">
        <v>31.0</v>
      </c>
      <c r="C31" s="68"/>
      <c r="D31" s="69" t="str">
        <f>CONCATENATE(PROPER('BIÑAN INFO'!$G31),", ",PROPER('BIÑAN INFO'!$E31)," ",PROPER('BIÑAN INFO'!$F31),"."," (",UPPER('BIÑAN INFO'!$H31),")")</f>
        <v>,  . ()</v>
      </c>
      <c r="E31" s="70"/>
      <c r="F31" s="70"/>
      <c r="G31" s="70"/>
      <c r="H31" s="69"/>
      <c r="I31" s="71">
        <v>0.12</v>
      </c>
      <c r="J31" s="72">
        <v>1000.0</v>
      </c>
      <c r="K31" s="73"/>
      <c r="L31" s="73"/>
      <c r="M31" s="73"/>
      <c r="N31" s="74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30.0" customHeight="1">
      <c r="A32" s="68"/>
      <c r="B32" s="68">
        <v>32.0</v>
      </c>
      <c r="C32" s="68"/>
      <c r="D32" s="69" t="str">
        <f>CONCATENATE(PROPER('BIÑAN INFO'!$G32),", ",PROPER('BIÑAN INFO'!$E32)," ",PROPER('BIÑAN INFO'!$F32),"."," (",UPPER('BIÑAN INFO'!$H32),")")</f>
        <v>Villadiego, Ma. Lourdes . ()</v>
      </c>
      <c r="E32" s="70" t="s">
        <v>48</v>
      </c>
      <c r="F32" s="70"/>
      <c r="G32" s="70" t="s">
        <v>49</v>
      </c>
      <c r="H32" s="69"/>
      <c r="I32" s="71">
        <v>0.05</v>
      </c>
      <c r="J32" s="72">
        <v>1000.0</v>
      </c>
      <c r="K32" s="73" t="s">
        <v>50</v>
      </c>
      <c r="L32" s="73"/>
      <c r="M32" s="73"/>
      <c r="N32" s="74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30.0" customHeight="1">
      <c r="A33" s="68"/>
      <c r="B33" s="68">
        <v>33.0</v>
      </c>
      <c r="C33" s="68"/>
      <c r="D33" s="69" t="str">
        <f>CONCATENATE(PROPER('BIÑAN INFO'!$G33),", ",PROPER('BIÑAN INFO'!$E33)," ",PROPER('BIÑAN INFO'!$F33),"."," (",UPPER('BIÑAN INFO'!$H33),")")</f>
        <v>,  . ()</v>
      </c>
      <c r="E33" s="70"/>
      <c r="F33" s="70"/>
      <c r="G33" s="70"/>
      <c r="H33" s="69"/>
      <c r="I33" s="71">
        <v>0.12</v>
      </c>
      <c r="J33" s="72">
        <v>1000.0</v>
      </c>
      <c r="K33" s="73"/>
      <c r="L33" s="73"/>
      <c r="M33" s="73"/>
      <c r="N33" s="74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30.0" customHeight="1">
      <c r="A34" s="68"/>
      <c r="B34" s="68">
        <v>34.0</v>
      </c>
      <c r="C34" s="68"/>
      <c r="D34" s="69" t="str">
        <f>CONCATENATE(PROPER('BIÑAN INFO'!$G34),", ",PROPER('BIÑAN INFO'!$E34)," ",PROPER('BIÑAN INFO'!$F34),"."," (",UPPER('BIÑAN INFO'!$H34),")")</f>
        <v>,  . ()</v>
      </c>
      <c r="E34" s="70"/>
      <c r="F34" s="70"/>
      <c r="G34" s="70"/>
      <c r="H34" s="69"/>
      <c r="I34" s="71">
        <v>0.12</v>
      </c>
      <c r="J34" s="72">
        <v>1000.0</v>
      </c>
      <c r="K34" s="73"/>
      <c r="L34" s="73"/>
      <c r="M34" s="73"/>
      <c r="N34" s="74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30.0" customHeight="1">
      <c r="A35" s="68"/>
      <c r="B35" s="68">
        <v>35.0</v>
      </c>
      <c r="C35" s="68"/>
      <c r="D35" s="69" t="str">
        <f>CONCATENATE(PROPER('BIÑAN INFO'!$G35),", ",PROPER('BIÑAN INFO'!$E35)," ",PROPER('BIÑAN INFO'!$F35),"."," (",UPPER('BIÑAN INFO'!$H35),")")</f>
        <v>,  . ()</v>
      </c>
      <c r="E35" s="70"/>
      <c r="F35" s="70"/>
      <c r="G35" s="70"/>
      <c r="H35" s="69"/>
      <c r="I35" s="71">
        <v>0.12</v>
      </c>
      <c r="J35" s="72">
        <v>1000.0</v>
      </c>
      <c r="K35" s="73"/>
      <c r="L35" s="73"/>
      <c r="M35" s="73"/>
      <c r="N35" s="74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30.0" customHeight="1">
      <c r="A36" s="68"/>
      <c r="B36" s="68">
        <v>36.0</v>
      </c>
      <c r="C36" s="68"/>
      <c r="D36" s="69" t="str">
        <f>CONCATENATE(PROPER('BIÑAN INFO'!$G36),", ",PROPER('BIÑAN INFO'!$E36)," ",PROPER('BIÑAN INFO'!$F36),"."," (",UPPER('BIÑAN INFO'!$H36),")")</f>
        <v>,  . ()</v>
      </c>
      <c r="E36" s="70"/>
      <c r="F36" s="70"/>
      <c r="G36" s="70"/>
      <c r="H36" s="69"/>
      <c r="I36" s="71">
        <v>0.12</v>
      </c>
      <c r="J36" s="72">
        <v>1000.0</v>
      </c>
      <c r="K36" s="73"/>
      <c r="L36" s="73"/>
      <c r="M36" s="73"/>
      <c r="N36" s="74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30.0" customHeight="1">
      <c r="A37" s="68"/>
      <c r="B37" s="68">
        <v>37.0</v>
      </c>
      <c r="C37" s="68"/>
      <c r="D37" s="69" t="str">
        <f>CONCATENATE(PROPER('BIÑAN INFO'!$G37),", ",PROPER('BIÑAN INFO'!$E37)," ",PROPER('BIÑAN INFO'!$F37),"."," (",UPPER('BIÑAN INFO'!$H37),")")</f>
        <v>,  . ()</v>
      </c>
      <c r="E37" s="70"/>
      <c r="F37" s="70"/>
      <c r="G37" s="70"/>
      <c r="H37" s="69"/>
      <c r="I37" s="71">
        <v>0.12</v>
      </c>
      <c r="J37" s="72">
        <v>1000.0</v>
      </c>
      <c r="K37" s="73"/>
      <c r="L37" s="73"/>
      <c r="M37" s="73"/>
      <c r="N37" s="74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30.0" customHeight="1">
      <c r="A38" s="68"/>
      <c r="B38" s="68">
        <v>38.0</v>
      </c>
      <c r="C38" s="68"/>
      <c r="D38" s="69" t="str">
        <f>CONCATENATE(PROPER('BIÑAN INFO'!$G38),", ",PROPER('BIÑAN INFO'!$E38)," ",PROPER('BIÑAN INFO'!$F38),"."," (",UPPER('BIÑAN INFO'!$H38),")")</f>
        <v>Lorenzana, Naneth . ()</v>
      </c>
      <c r="E38" s="70" t="s">
        <v>51</v>
      </c>
      <c r="F38" s="70"/>
      <c r="G38" s="70" t="s">
        <v>52</v>
      </c>
      <c r="H38" s="69"/>
      <c r="I38" s="71">
        <v>0.05</v>
      </c>
      <c r="J38" s="72">
        <v>1000.0</v>
      </c>
      <c r="K38" s="73"/>
      <c r="L38" s="73"/>
      <c r="M38" s="73"/>
      <c r="N38" s="74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30.0" customHeight="1">
      <c r="A39" s="68"/>
      <c r="B39" s="68">
        <v>39.0</v>
      </c>
      <c r="C39" s="68"/>
      <c r="D39" s="69" t="str">
        <f>CONCATENATE(PROPER('BIÑAN INFO'!$G39),", ",PROPER('BIÑAN INFO'!$E39)," ",PROPER('BIÑAN INFO'!$F39),"."," (",UPPER('BIÑAN INFO'!$H39),")")</f>
        <v>,  . ()</v>
      </c>
      <c r="E39" s="70"/>
      <c r="F39" s="70"/>
      <c r="G39" s="70"/>
      <c r="H39" s="69"/>
      <c r="I39" s="71">
        <v>0.12</v>
      </c>
      <c r="J39" s="72">
        <v>1000.0</v>
      </c>
      <c r="K39" s="73"/>
      <c r="L39" s="73"/>
      <c r="M39" s="73"/>
      <c r="N39" s="74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30.0" customHeight="1">
      <c r="A40" s="68"/>
      <c r="B40" s="68">
        <v>40.0</v>
      </c>
      <c r="C40" s="68"/>
      <c r="D40" s="69" t="str">
        <f>CONCATENATE(PROPER('BIÑAN INFO'!$G40),", ",PROPER('BIÑAN INFO'!$E40)," ",PROPER('BIÑAN INFO'!$F40),"."," (",UPPER('BIÑAN INFO'!$H40),")")</f>
        <v>,  . ()</v>
      </c>
      <c r="E40" s="70"/>
      <c r="F40" s="70"/>
      <c r="G40" s="70"/>
      <c r="H40" s="69"/>
      <c r="I40" s="71">
        <v>0.12</v>
      </c>
      <c r="J40" s="72">
        <v>1000.0</v>
      </c>
      <c r="K40" s="73"/>
      <c r="L40" s="73"/>
      <c r="M40" s="73"/>
      <c r="N40" s="74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30.0" customHeight="1">
      <c r="A41" s="68"/>
      <c r="B41" s="68">
        <v>41.0</v>
      </c>
      <c r="C41" s="68"/>
      <c r="D41" s="69" t="str">
        <f>CONCATENATE(PROPER('BIÑAN INFO'!$G41),", ",PROPER('BIÑAN INFO'!$E41)," ",PROPER('BIÑAN INFO'!$F41),"."," (",UPPER('BIÑAN INFO'!$H41),")")</f>
        <v>Almenanza, Rodolfo . ()</v>
      </c>
      <c r="E41" s="70" t="s">
        <v>53</v>
      </c>
      <c r="F41" s="70"/>
      <c r="G41" s="70" t="s">
        <v>54</v>
      </c>
      <c r="H41" s="69"/>
      <c r="I41" s="71">
        <v>0.12</v>
      </c>
      <c r="J41" s="72">
        <v>1000.0</v>
      </c>
      <c r="K41" s="73"/>
      <c r="L41" s="73"/>
      <c r="M41" s="73"/>
      <c r="N41" s="74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30.0" customHeight="1">
      <c r="A42" s="68"/>
      <c r="B42" s="68">
        <v>42.0</v>
      </c>
      <c r="C42" s="68"/>
      <c r="D42" s="69" t="str">
        <f>CONCATENATE(PROPER('BIÑAN INFO'!$G42),", ",PROPER('BIÑAN INFO'!$E42)," ",PROPER('BIÑAN INFO'!$F42),"."," (",UPPER('BIÑAN INFO'!$H42),")")</f>
        <v>Bermudo, Lenny . ()</v>
      </c>
      <c r="E42" s="70" t="s">
        <v>55</v>
      </c>
      <c r="F42" s="70"/>
      <c r="G42" s="70" t="s">
        <v>56</v>
      </c>
      <c r="H42" s="69"/>
      <c r="I42" s="71">
        <v>0.05</v>
      </c>
      <c r="J42" s="72">
        <v>1000.0</v>
      </c>
      <c r="K42" s="73" t="s">
        <v>50</v>
      </c>
      <c r="L42" s="73"/>
      <c r="M42" s="73"/>
      <c r="N42" s="74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30.0" customHeight="1">
      <c r="A43" s="68"/>
      <c r="B43" s="68">
        <v>43.0</v>
      </c>
      <c r="C43" s="68"/>
      <c r="D43" s="69" t="str">
        <f>CONCATENATE(PROPER('BIÑAN INFO'!$G43),", ",PROPER('BIÑAN INFO'!$E43)," ",PROPER('BIÑAN INFO'!$F43),"."," (",UPPER('BIÑAN INFO'!$H43),")")</f>
        <v>,  . ()</v>
      </c>
      <c r="E43" s="70"/>
      <c r="F43" s="70"/>
      <c r="G43" s="70"/>
      <c r="H43" s="70"/>
      <c r="I43" s="71">
        <v>0.12</v>
      </c>
      <c r="J43" s="72">
        <v>1000.0</v>
      </c>
      <c r="K43" s="73"/>
      <c r="L43" s="73"/>
      <c r="M43" s="73"/>
      <c r="N43" s="74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30.0" customHeight="1">
      <c r="A44" s="68"/>
      <c r="B44" s="68">
        <v>44.0</v>
      </c>
      <c r="C44" s="68"/>
      <c r="D44" s="69" t="str">
        <f>CONCATENATE(PROPER('BIÑAN INFO'!$G44),", ",PROPER('BIÑAN INFO'!$E44)," ",PROPER('BIÑAN INFO'!$F44),"."," (",UPPER('BIÑAN INFO'!$H44),")")</f>
        <v>Bermudo, Jivan . ()</v>
      </c>
      <c r="E44" s="70" t="s">
        <v>57</v>
      </c>
      <c r="F44" s="70"/>
      <c r="G44" s="70" t="s">
        <v>56</v>
      </c>
      <c r="H44" s="70"/>
      <c r="I44" s="71">
        <v>0.05</v>
      </c>
      <c r="J44" s="72">
        <v>1000.0</v>
      </c>
      <c r="K44" s="73"/>
      <c r="L44" s="73"/>
      <c r="M44" s="73"/>
      <c r="N44" s="74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30.0" customHeight="1">
      <c r="A45" s="68"/>
      <c r="B45" s="68">
        <v>45.0</v>
      </c>
      <c r="C45" s="68"/>
      <c r="D45" s="69" t="str">
        <f>CONCATENATE(PROPER('BIÑAN INFO'!$G45),", ",PROPER('BIÑAN INFO'!$E45)," ",PROPER('BIÑAN INFO'!$F45),"."," (",UPPER('BIÑAN INFO'!$H45),")")</f>
        <v>,  . ()</v>
      </c>
      <c r="E45" s="70"/>
      <c r="F45" s="70"/>
      <c r="G45" s="70"/>
      <c r="H45" s="70"/>
      <c r="I45" s="71">
        <v>0.12</v>
      </c>
      <c r="J45" s="72">
        <v>1000.0</v>
      </c>
      <c r="K45" s="73"/>
      <c r="L45" s="73"/>
      <c r="M45" s="73"/>
      <c r="N45" s="74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30.0" customHeight="1">
      <c r="A46" s="68"/>
      <c r="B46" s="68">
        <v>46.0</v>
      </c>
      <c r="C46" s="68"/>
      <c r="D46" s="69" t="str">
        <f>CONCATENATE(PROPER('BIÑAN INFO'!$G46),", ",PROPER('BIÑAN INFO'!$E46)," ",PROPER('BIÑAN INFO'!$F46),"."," (",UPPER('BIÑAN INFO'!$H46),")")</f>
        <v>,  . ()</v>
      </c>
      <c r="E46" s="70"/>
      <c r="F46" s="70"/>
      <c r="G46" s="70"/>
      <c r="H46" s="70"/>
      <c r="I46" s="71">
        <v>0.12</v>
      </c>
      <c r="J46" s="72">
        <v>1000.0</v>
      </c>
      <c r="K46" s="73"/>
      <c r="L46" s="73"/>
      <c r="M46" s="73"/>
      <c r="N46" s="74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30.0" customHeight="1">
      <c r="A47" s="68"/>
      <c r="B47" s="68">
        <v>47.0</v>
      </c>
      <c r="C47" s="68"/>
      <c r="D47" s="69" t="str">
        <f>CONCATENATE(PROPER('BIÑAN INFO'!$G47),", ",PROPER('BIÑAN INFO'!$E47)," ",PROPER('BIÑAN INFO'!$F47),"."," (",UPPER('BIÑAN INFO'!$H47),")")</f>
        <v>Relingado, Mary Anne . ()</v>
      </c>
      <c r="E47" s="70" t="s">
        <v>58</v>
      </c>
      <c r="F47" s="70"/>
      <c r="G47" s="70" t="s">
        <v>59</v>
      </c>
      <c r="H47" s="70"/>
      <c r="I47" s="71">
        <v>0.05</v>
      </c>
      <c r="J47" s="72">
        <v>1000.0</v>
      </c>
      <c r="K47" s="73"/>
      <c r="L47" s="73"/>
      <c r="M47" s="73"/>
      <c r="N47" s="74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30.0" customHeight="1">
      <c r="A48" s="68"/>
      <c r="B48" s="68">
        <v>48.0</v>
      </c>
      <c r="C48" s="68"/>
      <c r="D48" s="69" t="str">
        <f>CONCATENATE(PROPER('BIÑAN INFO'!$G48),", ",PROPER('BIÑAN INFO'!$E48)," ",PROPER('BIÑAN INFO'!$F48),"."," (",UPPER('BIÑAN INFO'!$H48),")")</f>
        <v>Rosario, Jasmin . ()</v>
      </c>
      <c r="E48" s="70" t="s">
        <v>60</v>
      </c>
      <c r="F48" s="70"/>
      <c r="G48" s="70" t="s">
        <v>61</v>
      </c>
      <c r="H48" s="70"/>
      <c r="I48" s="71">
        <v>0.05</v>
      </c>
      <c r="J48" s="72">
        <v>1000.0</v>
      </c>
      <c r="K48" s="73"/>
      <c r="L48" s="73"/>
      <c r="M48" s="73"/>
      <c r="N48" s="74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30.0" customHeight="1">
      <c r="A49" s="68"/>
      <c r="B49" s="68">
        <v>49.0</v>
      </c>
      <c r="C49" s="68"/>
      <c r="D49" s="69" t="str">
        <f>CONCATENATE(PROPER('BIÑAN INFO'!$G49),", ",PROPER('BIÑAN INFO'!$E49)," ",PROPER('BIÑAN INFO'!$F49),"."," (",UPPER('BIÑAN INFO'!$H49),")")</f>
        <v>,  . ()</v>
      </c>
      <c r="E49" s="70"/>
      <c r="F49" s="70"/>
      <c r="G49" s="70"/>
      <c r="H49" s="70"/>
      <c r="I49" s="71">
        <v>0.12</v>
      </c>
      <c r="J49" s="72">
        <v>1000.0</v>
      </c>
      <c r="K49" s="73"/>
      <c r="L49" s="73"/>
      <c r="M49" s="73"/>
      <c r="N49" s="74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30.0" customHeight="1">
      <c r="A50" s="68"/>
      <c r="B50" s="68">
        <v>50.0</v>
      </c>
      <c r="C50" s="68"/>
      <c r="D50" s="69" t="str">
        <f>CONCATENATE(PROPER('BIÑAN INFO'!$G50),", ",PROPER('BIÑAN INFO'!$E50)," ",PROPER('BIÑAN INFO'!$F50),"."," (",UPPER('BIÑAN INFO'!$H50),")")</f>
        <v>,  . ()</v>
      </c>
      <c r="E50" s="70"/>
      <c r="F50" s="70"/>
      <c r="G50" s="70"/>
      <c r="H50" s="69"/>
      <c r="I50" s="71">
        <v>0.12</v>
      </c>
      <c r="J50" s="72">
        <v>1000.0</v>
      </c>
      <c r="K50" s="73"/>
      <c r="L50" s="73"/>
      <c r="M50" s="73"/>
      <c r="N50" s="74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30.0" customHeight="1">
      <c r="A51" s="68"/>
      <c r="B51" s="68">
        <v>51.0</v>
      </c>
      <c r="C51" s="68"/>
      <c r="D51" s="69" t="str">
        <f>CONCATENATE(PROPER('BIÑAN INFO'!$G51),", ",PROPER('BIÑAN INFO'!$E51)," ",PROPER('BIÑAN INFO'!$F51),"."," (",UPPER('BIÑAN INFO'!$H51),")")</f>
        <v>Alburo, Aldin . ()</v>
      </c>
      <c r="E51" s="70" t="s">
        <v>62</v>
      </c>
      <c r="F51" s="70"/>
      <c r="G51" s="70" t="s">
        <v>63</v>
      </c>
      <c r="H51" s="69"/>
      <c r="I51" s="71">
        <v>0.12</v>
      </c>
      <c r="J51" s="72">
        <v>1000.0</v>
      </c>
      <c r="K51" s="73"/>
      <c r="L51" s="73"/>
      <c r="M51" s="73"/>
      <c r="N51" s="74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30.0" customHeight="1">
      <c r="A52" s="68"/>
      <c r="B52" s="68">
        <v>52.0</v>
      </c>
      <c r="C52" s="68"/>
      <c r="D52" s="69" t="str">
        <f>CONCATENATE(PROPER('BIÑAN INFO'!$G52),", ",PROPER('BIÑAN INFO'!$E52)," ",PROPER('BIÑAN INFO'!$F52),"."," (",UPPER('BIÑAN INFO'!$H52),")")</f>
        <v>,  . ()</v>
      </c>
      <c r="E52" s="70"/>
      <c r="F52" s="70"/>
      <c r="G52" s="70"/>
      <c r="H52" s="69"/>
      <c r="I52" s="71">
        <v>0.12</v>
      </c>
      <c r="J52" s="72">
        <v>1000.0</v>
      </c>
      <c r="K52" s="73"/>
      <c r="L52" s="73"/>
      <c r="M52" s="73"/>
      <c r="N52" s="74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30.0" customHeight="1">
      <c r="A53" s="68"/>
      <c r="B53" s="68">
        <v>53.0</v>
      </c>
      <c r="C53" s="68"/>
      <c r="D53" s="69" t="str">
        <f>CONCATENATE(PROPER('BIÑAN INFO'!$G53),", ",PROPER('BIÑAN INFO'!$E53)," ",PROPER('BIÑAN INFO'!$F53),"."," (",UPPER('BIÑAN INFO'!$H53),")")</f>
        <v>,  . ()</v>
      </c>
      <c r="E53" s="70"/>
      <c r="F53" s="70"/>
      <c r="G53" s="70"/>
      <c r="H53" s="69"/>
      <c r="I53" s="71">
        <v>0.12</v>
      </c>
      <c r="J53" s="72">
        <v>1000.0</v>
      </c>
      <c r="K53" s="73"/>
      <c r="L53" s="73"/>
      <c r="M53" s="73"/>
      <c r="N53" s="74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30.0" customHeight="1">
      <c r="A54" s="68"/>
      <c r="B54" s="68">
        <v>54.0</v>
      </c>
      <c r="C54" s="68"/>
      <c r="D54" s="69" t="str">
        <f>CONCATENATE(PROPER('BIÑAN INFO'!$G54),", ",PROPER('BIÑAN INFO'!$E54)," ",PROPER('BIÑAN INFO'!$F54),"."," (",UPPER('BIÑAN INFO'!$H54),")")</f>
        <v>,  . ()</v>
      </c>
      <c r="E54" s="70"/>
      <c r="F54" s="70"/>
      <c r="G54" s="70"/>
      <c r="H54" s="69"/>
      <c r="I54" s="71">
        <v>0.12</v>
      </c>
      <c r="J54" s="72">
        <v>1000.0</v>
      </c>
      <c r="K54" s="73"/>
      <c r="L54" s="73"/>
      <c r="M54" s="73"/>
      <c r="N54" s="74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30.0" customHeight="1">
      <c r="A55" s="68"/>
      <c r="B55" s="68">
        <v>55.0</v>
      </c>
      <c r="C55" s="68"/>
      <c r="D55" s="69" t="str">
        <f>CONCATENATE(PROPER('BIÑAN INFO'!$G55),", ",PROPER('BIÑAN INFO'!$E55)," ",PROPER('BIÑAN INFO'!$F55),"."," (",UPPER('BIÑAN INFO'!$H55),")")</f>
        <v>,  . ()</v>
      </c>
      <c r="E55" s="70"/>
      <c r="F55" s="70"/>
      <c r="G55" s="70"/>
      <c r="H55" s="69"/>
      <c r="I55" s="71">
        <v>0.12</v>
      </c>
      <c r="J55" s="72">
        <v>1000.0</v>
      </c>
      <c r="K55" s="73"/>
      <c r="L55" s="73"/>
      <c r="M55" s="73"/>
      <c r="N55" s="74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30.0" customHeight="1">
      <c r="A56" s="68"/>
      <c r="B56" s="68">
        <v>56.0</v>
      </c>
      <c r="C56" s="68"/>
      <c r="D56" s="69" t="str">
        <f>CONCATENATE(PROPER('BIÑAN INFO'!$G56),", ",PROPER('BIÑAN INFO'!$E56)," ",PROPER('BIÑAN INFO'!$F56),"."," (",UPPER('BIÑAN INFO'!$H56),")")</f>
        <v>,  . ()</v>
      </c>
      <c r="E56" s="70"/>
      <c r="F56" s="70"/>
      <c r="G56" s="70"/>
      <c r="H56" s="69"/>
      <c r="I56" s="71">
        <v>0.12</v>
      </c>
      <c r="J56" s="72">
        <v>1000.0</v>
      </c>
      <c r="K56" s="73"/>
      <c r="L56" s="73"/>
      <c r="M56" s="73"/>
      <c r="N56" s="74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30.0" customHeight="1">
      <c r="A57" s="68"/>
      <c r="B57" s="68">
        <v>57.0</v>
      </c>
      <c r="C57" s="68"/>
      <c r="D57" s="69" t="str">
        <f>CONCATENATE(PROPER('BIÑAN INFO'!$G57),", ",PROPER('BIÑAN INFO'!$E57)," ",PROPER('BIÑAN INFO'!$F57),"."," (",UPPER('BIÑAN INFO'!$H57),")")</f>
        <v>,  . ()</v>
      </c>
      <c r="E57" s="70"/>
      <c r="F57" s="70"/>
      <c r="G57" s="70"/>
      <c r="H57" s="69"/>
      <c r="I57" s="71">
        <v>0.12</v>
      </c>
      <c r="J57" s="72">
        <v>1000.0</v>
      </c>
      <c r="K57" s="73"/>
      <c r="L57" s="73"/>
      <c r="M57" s="73"/>
      <c r="N57" s="74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30.0" customHeight="1">
      <c r="A58" s="68"/>
      <c r="B58" s="68">
        <v>58.0</v>
      </c>
      <c r="C58" s="68"/>
      <c r="D58" s="69" t="str">
        <f>CONCATENATE(PROPER('BIÑAN INFO'!$G58),", ",PROPER('BIÑAN INFO'!$E58)," ",PROPER('BIÑAN INFO'!$F58),"."," (",UPPER('BIÑAN INFO'!$H58),")")</f>
        <v>Abrasado, Ian . ()</v>
      </c>
      <c r="E58" s="70" t="s">
        <v>64</v>
      </c>
      <c r="F58" s="70"/>
      <c r="G58" s="70" t="s">
        <v>65</v>
      </c>
      <c r="H58" s="69"/>
      <c r="I58" s="71">
        <v>0.12</v>
      </c>
      <c r="J58" s="72">
        <v>1000.0</v>
      </c>
      <c r="K58" s="73"/>
      <c r="L58" s="73"/>
      <c r="M58" s="73"/>
      <c r="N58" s="74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30.0" customHeight="1">
      <c r="A59" s="68"/>
      <c r="B59" s="68">
        <v>59.0</v>
      </c>
      <c r="C59" s="68"/>
      <c r="D59" s="69" t="str">
        <f>CONCATENATE(PROPER('BIÑAN INFO'!$G59),", ",PROPER('BIÑAN INFO'!$E59)," ",PROPER('BIÑAN INFO'!$F59),"."," (",UPPER('BIÑAN INFO'!$H59),")")</f>
        <v>,  . ()</v>
      </c>
      <c r="E59" s="70"/>
      <c r="F59" s="70"/>
      <c r="G59" s="70"/>
      <c r="H59" s="69"/>
      <c r="I59" s="71">
        <v>0.12</v>
      </c>
      <c r="J59" s="72">
        <v>1000.0</v>
      </c>
      <c r="K59" s="73"/>
      <c r="L59" s="73"/>
      <c r="M59" s="73"/>
      <c r="N59" s="74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30.0" customHeight="1">
      <c r="A60" s="68"/>
      <c r="B60" s="68">
        <v>60.0</v>
      </c>
      <c r="C60" s="68"/>
      <c r="D60" s="69" t="str">
        <f>CONCATENATE(PROPER('BIÑAN INFO'!$G60),", ",PROPER('BIÑAN INFO'!$E60)," ",PROPER('BIÑAN INFO'!$F60),"."," (",UPPER('BIÑAN INFO'!$H60),")")</f>
        <v>Burgos, Diosdado . ()</v>
      </c>
      <c r="E60" s="70" t="s">
        <v>66</v>
      </c>
      <c r="F60" s="70"/>
      <c r="G60" s="70" t="s">
        <v>67</v>
      </c>
      <c r="H60" s="69"/>
      <c r="I60" s="71">
        <v>0.12</v>
      </c>
      <c r="J60" s="72">
        <v>1000.0</v>
      </c>
      <c r="K60" s="73"/>
      <c r="L60" s="73"/>
      <c r="M60" s="73"/>
      <c r="N60" s="74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30.0" customHeight="1">
      <c r="A61" s="68"/>
      <c r="B61" s="68">
        <v>61.0</v>
      </c>
      <c r="C61" s="68"/>
      <c r="D61" s="69" t="str">
        <f>CONCATENATE(PROPER('BIÑAN INFO'!$G61),", ",PROPER('BIÑAN INFO'!$E61)," ",PROPER('BIÑAN INFO'!$F61),"."," (",UPPER('BIÑAN INFO'!$H61),")")</f>
        <v>,  . ()</v>
      </c>
      <c r="E61" s="70"/>
      <c r="F61" s="70"/>
      <c r="G61" s="70"/>
      <c r="H61" s="69"/>
      <c r="I61" s="71">
        <v>0.12</v>
      </c>
      <c r="J61" s="72">
        <v>1000.0</v>
      </c>
      <c r="K61" s="73"/>
      <c r="L61" s="73"/>
      <c r="M61" s="73"/>
      <c r="N61" s="74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30.0" customHeight="1">
      <c r="A62" s="68"/>
      <c r="B62" s="68">
        <v>62.0</v>
      </c>
      <c r="C62" s="68"/>
      <c r="D62" s="69" t="str">
        <f>CONCATENATE(PROPER('BIÑAN INFO'!$G62),", ",PROPER('BIÑAN INFO'!$E62)," ",PROPER('BIÑAN INFO'!$F62),"."," (",UPPER('BIÑAN INFO'!$H62),")")</f>
        <v>Bernabe, Orlando . ()</v>
      </c>
      <c r="E62" s="70" t="s">
        <v>68</v>
      </c>
      <c r="F62" s="70"/>
      <c r="G62" s="70" t="s">
        <v>69</v>
      </c>
      <c r="H62" s="69"/>
      <c r="I62" s="71">
        <v>0.12</v>
      </c>
      <c r="J62" s="72">
        <v>1000.0</v>
      </c>
      <c r="K62" s="73"/>
      <c r="L62" s="73"/>
      <c r="M62" s="73"/>
      <c r="N62" s="74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30.0" customHeight="1">
      <c r="A63" s="68"/>
      <c r="B63" s="68">
        <v>63.0</v>
      </c>
      <c r="C63" s="68"/>
      <c r="D63" s="69" t="str">
        <f>CONCATENATE(PROPER('BIÑAN INFO'!$G63),", ",PROPER('BIÑAN INFO'!$E63)," ",PROPER('BIÑAN INFO'!$F63),"."," (",UPPER('BIÑAN INFO'!$H63),")")</f>
        <v>Rosal, Ana . ()</v>
      </c>
      <c r="E63" s="70" t="s">
        <v>70</v>
      </c>
      <c r="F63" s="70"/>
      <c r="G63" s="70" t="s">
        <v>71</v>
      </c>
      <c r="H63" s="69"/>
      <c r="I63" s="71">
        <v>0.05</v>
      </c>
      <c r="J63" s="72">
        <v>1000.0</v>
      </c>
      <c r="K63" s="73"/>
      <c r="L63" s="73"/>
      <c r="M63" s="73"/>
      <c r="N63" s="74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30.0" customHeight="1">
      <c r="A64" s="68"/>
      <c r="B64" s="68">
        <v>64.0</v>
      </c>
      <c r="C64" s="68"/>
      <c r="D64" s="69" t="str">
        <f>CONCATENATE(PROPER('BIÑAN INFO'!$G64),", ",PROPER('BIÑAN INFO'!$E64)," ",PROPER('BIÑAN INFO'!$F64),"."," (",UPPER('BIÑAN INFO'!$H64),")")</f>
        <v>Rosal, Anamaria . ()</v>
      </c>
      <c r="E64" s="70" t="s">
        <v>72</v>
      </c>
      <c r="F64" s="70"/>
      <c r="G64" s="69" t="s">
        <v>71</v>
      </c>
      <c r="H64" s="69"/>
      <c r="I64" s="71">
        <v>0.05</v>
      </c>
      <c r="J64" s="72">
        <v>1000.0</v>
      </c>
      <c r="K64" s="73"/>
      <c r="L64" s="73"/>
      <c r="M64" s="73"/>
      <c r="N64" s="74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30.0" customHeight="1">
      <c r="A65" s="68"/>
      <c r="B65" s="68">
        <v>65.0</v>
      </c>
      <c r="C65" s="68"/>
      <c r="D65" s="69" t="str">
        <f>CONCATENATE(PROPER('BIÑAN INFO'!$G65),", ",PROPER('BIÑAN INFO'!$E65)," ",PROPER('BIÑAN INFO'!$F65),"."," (",UPPER('BIÑAN INFO'!$H65),")")</f>
        <v>Ramos, Socorro . ()</v>
      </c>
      <c r="E65" s="70" t="s">
        <v>73</v>
      </c>
      <c r="F65" s="70"/>
      <c r="G65" s="70" t="s">
        <v>74</v>
      </c>
      <c r="H65" s="70"/>
      <c r="I65" s="71">
        <v>0.05</v>
      </c>
      <c r="J65" s="72">
        <v>1000.0</v>
      </c>
      <c r="K65" s="73"/>
      <c r="L65" s="73"/>
      <c r="M65" s="73"/>
      <c r="N65" s="74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30.0" customHeight="1">
      <c r="A66" s="68"/>
      <c r="B66" s="68">
        <v>66.0</v>
      </c>
      <c r="C66" s="68"/>
      <c r="D66" s="69" t="str">
        <f>CONCATENATE(PROPER('BIÑAN INFO'!$G66),", ",PROPER('BIÑAN INFO'!$E66)," ",PROPER('BIÑAN INFO'!$F66),"."," (",UPPER('BIÑAN INFO'!$H66),")")</f>
        <v>Antonio, Nelia . ()</v>
      </c>
      <c r="E66" s="70" t="s">
        <v>75</v>
      </c>
      <c r="F66" s="70"/>
      <c r="G66" s="70" t="s">
        <v>76</v>
      </c>
      <c r="H66" s="70"/>
      <c r="I66" s="71">
        <v>0.12</v>
      </c>
      <c r="J66" s="72">
        <v>1000.0</v>
      </c>
      <c r="K66" s="73"/>
      <c r="L66" s="73"/>
      <c r="M66" s="73"/>
      <c r="N66" s="74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30.0" customHeight="1">
      <c r="A67" s="68"/>
      <c r="B67" s="68">
        <v>67.0</v>
      </c>
      <c r="C67" s="68"/>
      <c r="D67" s="69" t="str">
        <f>CONCATENATE(PROPER('BIÑAN INFO'!$G67),", ",PROPER('BIÑAN INFO'!$E67)," ",PROPER('BIÑAN INFO'!$F67),"."," (",UPPER('BIÑAN INFO'!$H67),")")</f>
        <v>,  . ()</v>
      </c>
      <c r="E67" s="70"/>
      <c r="F67" s="70"/>
      <c r="G67" s="70"/>
      <c r="H67" s="70"/>
      <c r="I67" s="71">
        <v>0.12</v>
      </c>
      <c r="J67" s="72">
        <v>1000.0</v>
      </c>
      <c r="K67" s="73"/>
      <c r="L67" s="73"/>
      <c r="M67" s="73"/>
      <c r="N67" s="74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30.0" customHeight="1">
      <c r="A68" s="68"/>
      <c r="B68" s="68">
        <v>68.0</v>
      </c>
      <c r="C68" s="68"/>
      <c r="D68" s="69" t="str">
        <f>CONCATENATE(PROPER('BIÑAN INFO'!$G68),", ",PROPER('BIÑAN INFO'!$E68)," ",PROPER('BIÑAN INFO'!$F68),"."," (",UPPER('BIÑAN INFO'!$H68),")")</f>
        <v>,  . ()</v>
      </c>
      <c r="E68" s="70"/>
      <c r="F68" s="70"/>
      <c r="G68" s="70"/>
      <c r="H68" s="70"/>
      <c r="I68" s="71">
        <v>0.12</v>
      </c>
      <c r="J68" s="72">
        <v>1000.0</v>
      </c>
      <c r="K68" s="73"/>
      <c r="L68" s="73"/>
      <c r="M68" s="73"/>
      <c r="N68" s="74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30.0" customHeight="1">
      <c r="A69" s="68"/>
      <c r="B69" s="68">
        <v>69.0</v>
      </c>
      <c r="C69" s="68"/>
      <c r="D69" s="69" t="str">
        <f>CONCATENATE(PROPER('BIÑAN INFO'!$G69),", ",PROPER('BIÑAN INFO'!$E69)," ",PROPER('BIÑAN INFO'!$F69),"."," (",UPPER('BIÑAN INFO'!$H69),")")</f>
        <v>Alejo, Mark Anthony . ()</v>
      </c>
      <c r="E69" s="70" t="s">
        <v>77</v>
      </c>
      <c r="F69" s="70"/>
      <c r="G69" s="70" t="s">
        <v>78</v>
      </c>
      <c r="H69" s="69"/>
      <c r="I69" s="71">
        <v>0.12</v>
      </c>
      <c r="J69" s="72">
        <v>1000.0</v>
      </c>
      <c r="K69" s="73"/>
      <c r="L69" s="73"/>
      <c r="M69" s="73"/>
      <c r="N69" s="74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30.0" customHeight="1">
      <c r="A70" s="68"/>
      <c r="B70" s="68">
        <v>70.0</v>
      </c>
      <c r="C70" s="68"/>
      <c r="D70" s="69" t="str">
        <f>CONCATENATE(PROPER('BIÑAN INFO'!$G70),", ",PROPER('BIÑAN INFO'!$E70)," ",PROPER('BIÑAN INFO'!$F70),"."," (",UPPER('BIÑAN INFO'!$H70),")")</f>
        <v>,  . ()</v>
      </c>
      <c r="E70" s="70"/>
      <c r="F70" s="70"/>
      <c r="G70" s="70"/>
      <c r="H70" s="69"/>
      <c r="I70" s="71">
        <v>0.12</v>
      </c>
      <c r="J70" s="72">
        <v>1000.0</v>
      </c>
      <c r="K70" s="73"/>
      <c r="L70" s="73"/>
      <c r="M70" s="73"/>
      <c r="N70" s="74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30.0" customHeight="1">
      <c r="A71" s="68"/>
      <c r="B71" s="68">
        <v>71.0</v>
      </c>
      <c r="C71" s="68"/>
      <c r="D71" s="69" t="str">
        <f>CONCATENATE(PROPER('BIÑAN INFO'!$G71),", ",PROPER('BIÑAN INFO'!$E71)," ",PROPER('BIÑAN INFO'!$F71),"."," (",UPPER('BIÑAN INFO'!$H71),")")</f>
        <v>,  . ()</v>
      </c>
      <c r="E71" s="70"/>
      <c r="F71" s="70"/>
      <c r="G71" s="70"/>
      <c r="H71" s="69"/>
      <c r="I71" s="71">
        <v>0.12</v>
      </c>
      <c r="J71" s="72">
        <v>1000.0</v>
      </c>
      <c r="K71" s="73"/>
      <c r="L71" s="73"/>
      <c r="M71" s="73"/>
      <c r="N71" s="74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30.0" customHeight="1">
      <c r="A72" s="68"/>
      <c r="B72" s="68">
        <v>72.0</v>
      </c>
      <c r="C72" s="68"/>
      <c r="D72" s="69" t="str">
        <f>CONCATENATE(PROPER('BIÑAN INFO'!$G72),", ",PROPER('BIÑAN INFO'!$E72)," ",PROPER('BIÑAN INFO'!$F72),"."," (",UPPER('BIÑAN INFO'!$H72),")")</f>
        <v>,  . ()</v>
      </c>
      <c r="E72" s="70"/>
      <c r="F72" s="70"/>
      <c r="G72" s="70"/>
      <c r="H72" s="69"/>
      <c r="I72" s="71">
        <v>0.12</v>
      </c>
      <c r="J72" s="72">
        <v>1000.0</v>
      </c>
      <c r="K72" s="73"/>
      <c r="L72" s="73"/>
      <c r="M72" s="73"/>
      <c r="N72" s="74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30.0" customHeight="1">
      <c r="A73" s="68"/>
      <c r="B73" s="68">
        <v>73.0</v>
      </c>
      <c r="C73" s="68"/>
      <c r="D73" s="69" t="str">
        <f>CONCATENATE(PROPER('BIÑAN INFO'!$G73),", ",PROPER('BIÑAN INFO'!$E73)," ",PROPER('BIÑAN INFO'!$F73),"."," (",UPPER('BIÑAN INFO'!$H73),")")</f>
        <v>,  . ()</v>
      </c>
      <c r="E73" s="70"/>
      <c r="F73" s="70"/>
      <c r="G73" s="70"/>
      <c r="H73" s="69"/>
      <c r="I73" s="71">
        <v>0.12</v>
      </c>
      <c r="J73" s="72">
        <v>1000.0</v>
      </c>
      <c r="K73" s="73"/>
      <c r="L73" s="73"/>
      <c r="M73" s="73"/>
      <c r="N73" s="74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30.0" customHeight="1">
      <c r="A74" s="68"/>
      <c r="B74" s="68">
        <v>74.0</v>
      </c>
      <c r="C74" s="68"/>
      <c r="D74" s="69" t="str">
        <f>CONCATENATE(PROPER('BIÑAN INFO'!$G74),", ",PROPER('BIÑAN INFO'!$E74)," ",PROPER('BIÑAN INFO'!$F74),"."," (",UPPER('BIÑAN INFO'!$H74),")")</f>
        <v>Calderon, Maureen . ()</v>
      </c>
      <c r="E74" s="70" t="s">
        <v>79</v>
      </c>
      <c r="F74" s="70"/>
      <c r="G74" s="70" t="s">
        <v>80</v>
      </c>
      <c r="H74" s="69"/>
      <c r="I74" s="71">
        <v>0.05</v>
      </c>
      <c r="J74" s="72">
        <v>1000.0</v>
      </c>
      <c r="K74" s="73" t="s">
        <v>50</v>
      </c>
      <c r="L74" s="73" t="s">
        <v>81</v>
      </c>
      <c r="M74" s="73">
        <v>2022.0</v>
      </c>
      <c r="N74" s="74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30.0" customHeight="1">
      <c r="A75" s="68"/>
      <c r="B75" s="68">
        <v>75.0</v>
      </c>
      <c r="C75" s="68"/>
      <c r="D75" s="69" t="str">
        <f>CONCATENATE(PROPER('BIÑAN INFO'!$G75),", ",PROPER('BIÑAN INFO'!$E75)," ",PROPER('BIÑAN INFO'!$F75),"."," (",UPPER('BIÑAN INFO'!$H75),")")</f>
        <v>,  . ()</v>
      </c>
      <c r="E75" s="70"/>
      <c r="F75" s="70"/>
      <c r="G75" s="70"/>
      <c r="H75" s="69"/>
      <c r="I75" s="71">
        <v>0.12</v>
      </c>
      <c r="J75" s="72">
        <v>1000.0</v>
      </c>
      <c r="K75" s="73"/>
      <c r="L75" s="73"/>
      <c r="M75" s="73"/>
      <c r="N75" s="74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30.0" customHeight="1">
      <c r="A76" s="68"/>
      <c r="B76" s="68">
        <v>76.0</v>
      </c>
      <c r="C76" s="68"/>
      <c r="D76" s="69" t="str">
        <f>CONCATENATE(PROPER('BIÑAN INFO'!$G76),", ",PROPER('BIÑAN INFO'!$E76)," ",PROPER('BIÑAN INFO'!$F76),"."," (",UPPER('BIÑAN INFO'!$H76),")")</f>
        <v>,  . ()</v>
      </c>
      <c r="E76" s="70"/>
      <c r="F76" s="70"/>
      <c r="G76" s="70"/>
      <c r="H76" s="69"/>
      <c r="I76" s="71">
        <v>0.12</v>
      </c>
      <c r="J76" s="72">
        <v>1000.0</v>
      </c>
      <c r="K76" s="73"/>
      <c r="L76" s="73"/>
      <c r="M76" s="73"/>
      <c r="N76" s="74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30.0" customHeight="1">
      <c r="A77" s="68"/>
      <c r="B77" s="68">
        <v>77.0</v>
      </c>
      <c r="C77" s="68"/>
      <c r="D77" s="69" t="str">
        <f>CONCATENATE(PROPER('BIÑAN INFO'!$G77),", ",PROPER('BIÑAN INFO'!$E77)," ",PROPER('BIÑAN INFO'!$F77),"."," (",UPPER('BIÑAN INFO'!$H77),")")</f>
        <v>Balagtas, Alex . ()</v>
      </c>
      <c r="E77" s="70" t="s">
        <v>82</v>
      </c>
      <c r="F77" s="70"/>
      <c r="G77" s="69" t="s">
        <v>83</v>
      </c>
      <c r="H77" s="69"/>
      <c r="I77" s="71">
        <v>0.12</v>
      </c>
      <c r="J77" s="72">
        <v>1000.0</v>
      </c>
      <c r="K77" s="73"/>
      <c r="L77" s="73"/>
      <c r="M77" s="73"/>
      <c r="N77" s="74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30.0" customHeight="1">
      <c r="A78" s="68"/>
      <c r="B78" s="68">
        <v>78.0</v>
      </c>
      <c r="C78" s="68"/>
      <c r="D78" s="69" t="str">
        <f>CONCATENATE(PROPER('BIÑAN INFO'!$G78),", ",PROPER('BIÑAN INFO'!$E78)," ",PROPER('BIÑAN INFO'!$F78),"."," (",UPPER('BIÑAN INFO'!$H78),")")</f>
        <v>,  . ()</v>
      </c>
      <c r="E78" s="70"/>
      <c r="F78" s="70"/>
      <c r="G78" s="69"/>
      <c r="H78" s="69"/>
      <c r="I78" s="71">
        <v>0.12</v>
      </c>
      <c r="J78" s="72">
        <v>1000.0</v>
      </c>
      <c r="K78" s="73"/>
      <c r="L78" s="73"/>
      <c r="M78" s="73"/>
      <c r="N78" s="74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30.0" customHeight="1">
      <c r="A79" s="68"/>
      <c r="B79" s="68">
        <v>79.0</v>
      </c>
      <c r="C79" s="68"/>
      <c r="D79" s="69" t="str">
        <f>CONCATENATE(PROPER('BIÑAN INFO'!$G79),", ",PROPER('BIÑAN INFO'!$E79)," ",PROPER('BIÑAN INFO'!$F79),"."," (",UPPER('BIÑAN INFO'!$H79),")")</f>
        <v>,  . ()</v>
      </c>
      <c r="E79" s="75"/>
      <c r="F79" s="75"/>
      <c r="G79" s="75"/>
      <c r="H79" s="76"/>
      <c r="I79" s="71">
        <v>0.12</v>
      </c>
      <c r="J79" s="72">
        <v>1000.0</v>
      </c>
      <c r="K79" s="77"/>
      <c r="L79" s="77"/>
      <c r="M79" s="77"/>
      <c r="N79" s="74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30.0" customHeight="1">
      <c r="A80" s="68"/>
      <c r="B80" s="68">
        <v>80.0</v>
      </c>
      <c r="C80" s="78"/>
      <c r="D80" s="79" t="str">
        <f>CONCATENATE(PROPER('BIÑAN INFO'!$G80),", ",PROPER('BIÑAN INFO'!$E80)," ",PROPER('BIÑAN INFO'!$F80),"."," (",UPPER('BIÑAN INFO'!$H80),")")</f>
        <v>,  . ()</v>
      </c>
      <c r="E80" s="80"/>
      <c r="F80" s="80"/>
      <c r="G80" s="80"/>
      <c r="H80" s="81"/>
      <c r="I80" s="71">
        <v>0.12</v>
      </c>
      <c r="J80" s="72">
        <v>1000.0</v>
      </c>
      <c r="K80" s="82"/>
      <c r="L80" s="82"/>
      <c r="M80" s="82"/>
      <c r="N80" s="74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30.0" customHeight="1">
      <c r="A81" s="68"/>
      <c r="B81" s="68">
        <v>81.0</v>
      </c>
      <c r="C81" s="78"/>
      <c r="D81" s="79" t="str">
        <f>CONCATENATE(PROPER('BIÑAN INFO'!$G81),", ",PROPER('BIÑAN INFO'!$E81)," ",PROPER('BIÑAN INFO'!$F81),"."," (",UPPER('BIÑAN INFO'!$H81),")")</f>
        <v>,  . ()</v>
      </c>
      <c r="E81" s="80"/>
      <c r="F81" s="80"/>
      <c r="G81" s="80"/>
      <c r="H81" s="81"/>
      <c r="I81" s="71">
        <v>0.12</v>
      </c>
      <c r="J81" s="72">
        <v>1000.0</v>
      </c>
      <c r="K81" s="82"/>
      <c r="L81" s="82"/>
      <c r="M81" s="82"/>
      <c r="N81" s="74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30.0" customHeight="1">
      <c r="A82" s="68"/>
      <c r="B82" s="68">
        <v>82.0</v>
      </c>
      <c r="C82" s="78"/>
      <c r="D82" s="79" t="str">
        <f>CONCATENATE(PROPER('BIÑAN INFO'!$G82),", ",PROPER('BIÑAN INFO'!$E82)," ",PROPER('BIÑAN INFO'!$F82),"."," (",UPPER('BIÑAN INFO'!$H82),")")</f>
        <v>,  . ()</v>
      </c>
      <c r="E82" s="80"/>
      <c r="F82" s="80"/>
      <c r="G82" s="80"/>
      <c r="H82" s="81"/>
      <c r="I82" s="71">
        <v>0.12</v>
      </c>
      <c r="J82" s="72">
        <v>1000.0</v>
      </c>
      <c r="K82" s="82"/>
      <c r="L82" s="82"/>
      <c r="M82" s="82"/>
      <c r="N82" s="74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30.0" customHeight="1">
      <c r="A83" s="68"/>
      <c r="B83" s="68">
        <v>83.0</v>
      </c>
      <c r="C83" s="78"/>
      <c r="D83" s="79" t="str">
        <f>CONCATENATE(PROPER('BIÑAN INFO'!$G83),", ",PROPER('BIÑAN INFO'!$E83)," ",PROPER('BIÑAN INFO'!$F83),"."," (",UPPER('BIÑAN INFO'!$H83),")")</f>
        <v>,  . ()</v>
      </c>
      <c r="E83" s="80"/>
      <c r="F83" s="80"/>
      <c r="G83" s="80"/>
      <c r="H83" s="81"/>
      <c r="I83" s="71">
        <v>0.12</v>
      </c>
      <c r="J83" s="72">
        <v>1000.0</v>
      </c>
      <c r="K83" s="82"/>
      <c r="L83" s="82"/>
      <c r="M83" s="82"/>
      <c r="N83" s="74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30.0" customHeight="1">
      <c r="A84" s="68"/>
      <c r="B84" s="68">
        <v>84.0</v>
      </c>
      <c r="C84" s="78"/>
      <c r="D84" s="79" t="str">
        <f>CONCATENATE(PROPER('BIÑAN INFO'!$G84),", ",PROPER('BIÑAN INFO'!$E84)," ",PROPER('BIÑAN INFO'!$F84),"."," (",UPPER('BIÑAN INFO'!$H84),")")</f>
        <v>Amorin, Marivic . ()</v>
      </c>
      <c r="E84" s="80" t="s">
        <v>84</v>
      </c>
      <c r="F84" s="80"/>
      <c r="G84" s="80" t="s">
        <v>85</v>
      </c>
      <c r="H84" s="81"/>
      <c r="I84" s="71">
        <v>0.12</v>
      </c>
      <c r="J84" s="72">
        <v>1000.0</v>
      </c>
      <c r="K84" s="82"/>
      <c r="L84" s="82"/>
      <c r="M84" s="82"/>
      <c r="N84" s="74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30.0" customHeight="1">
      <c r="A85" s="68"/>
      <c r="B85" s="68">
        <v>85.0</v>
      </c>
      <c r="C85" s="78"/>
      <c r="D85" s="79" t="str">
        <f>CONCATENATE(PROPER('BIÑAN INFO'!$G85),", ",PROPER('BIÑAN INFO'!$E85)," ",PROPER('BIÑAN INFO'!$F85),"."," (",UPPER('BIÑAN INFO'!$H85),")")</f>
        <v>Borne, Ma. Leonora . ()</v>
      </c>
      <c r="E85" s="80" t="s">
        <v>86</v>
      </c>
      <c r="F85" s="80"/>
      <c r="G85" s="80" t="s">
        <v>87</v>
      </c>
      <c r="H85" s="81"/>
      <c r="I85" s="71">
        <v>0.12</v>
      </c>
      <c r="J85" s="72">
        <v>1000.0</v>
      </c>
      <c r="K85" s="82"/>
      <c r="L85" s="82"/>
      <c r="M85" s="82"/>
      <c r="N85" s="74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30.0" customHeight="1">
      <c r="A86" s="68"/>
      <c r="B86" s="68">
        <v>86.0</v>
      </c>
      <c r="C86" s="78"/>
      <c r="D86" s="79" t="str">
        <f>CONCATENATE(PROPER('BIÑAN INFO'!$G86),", ",PROPER('BIÑAN INFO'!$E86)," ",PROPER('BIÑAN INFO'!$F86),"."," (",UPPER('BIÑAN INFO'!$H86),")")</f>
        <v>Amorin, Porciana . ()</v>
      </c>
      <c r="E86" s="80" t="s">
        <v>88</v>
      </c>
      <c r="F86" s="80"/>
      <c r="G86" s="80" t="s">
        <v>85</v>
      </c>
      <c r="H86" s="81"/>
      <c r="I86" s="71">
        <v>0.12</v>
      </c>
      <c r="J86" s="72">
        <v>1000.0</v>
      </c>
      <c r="K86" s="82"/>
      <c r="L86" s="82"/>
      <c r="M86" s="82"/>
      <c r="N86" s="74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30.0" customHeight="1">
      <c r="A87" s="68"/>
      <c r="B87" s="68">
        <v>87.0</v>
      </c>
      <c r="C87" s="78"/>
      <c r="D87" s="79" t="str">
        <f>CONCATENATE(PROPER('BIÑAN INFO'!$G87),", ",PROPER('BIÑAN INFO'!$E87)," ",PROPER('BIÑAN INFO'!$F87),"."," (",UPPER('BIÑAN INFO'!$H87),")")</f>
        <v>,  . ()</v>
      </c>
      <c r="E87" s="80"/>
      <c r="F87" s="80"/>
      <c r="G87" s="80"/>
      <c r="H87" s="81"/>
      <c r="I87" s="71">
        <v>0.12</v>
      </c>
      <c r="J87" s="72">
        <v>1000.0</v>
      </c>
      <c r="K87" s="82"/>
      <c r="L87" s="82"/>
      <c r="M87" s="82"/>
      <c r="N87" s="74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30.0" customHeight="1">
      <c r="A88" s="68"/>
      <c r="B88" s="68">
        <v>88.0</v>
      </c>
      <c r="C88" s="68"/>
      <c r="D88" s="69" t="str">
        <f>CONCATENATE(PROPER('BIÑAN INFO'!$G88),", ",PROPER('BIÑAN INFO'!$E88)," ",PROPER('BIÑAN INFO'!$F88),"."," (",UPPER('BIÑAN INFO'!$H88),")")</f>
        <v>Ambata, Nita . ()</v>
      </c>
      <c r="E88" s="70" t="s">
        <v>89</v>
      </c>
      <c r="F88" s="70"/>
      <c r="G88" s="70" t="s">
        <v>90</v>
      </c>
      <c r="H88" s="69"/>
      <c r="I88" s="71">
        <v>0.05</v>
      </c>
      <c r="J88" s="72">
        <v>1000.0</v>
      </c>
      <c r="K88" s="73"/>
      <c r="L88" s="73"/>
      <c r="M88" s="73"/>
      <c r="N88" s="74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30.0" customHeight="1">
      <c r="A89" s="68"/>
      <c r="B89" s="68">
        <v>89.0</v>
      </c>
      <c r="C89" s="68"/>
      <c r="D89" s="69" t="str">
        <f>CONCATENATE(PROPER('BIÑAN INFO'!$G89),", ",PROPER('BIÑAN INFO'!$E89)," ",PROPER('BIÑAN INFO'!$F89),"."," (",UPPER('BIÑAN INFO'!$H89),")")</f>
        <v>,  . ()</v>
      </c>
      <c r="E89" s="70"/>
      <c r="F89" s="70"/>
      <c r="G89" s="70"/>
      <c r="H89" s="69"/>
      <c r="I89" s="71">
        <v>0.12</v>
      </c>
      <c r="J89" s="72">
        <v>1000.0</v>
      </c>
      <c r="K89" s="73"/>
      <c r="L89" s="73"/>
      <c r="M89" s="73"/>
      <c r="N89" s="74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30.0" customHeight="1">
      <c r="A90" s="68"/>
      <c r="B90" s="68">
        <v>90.0</v>
      </c>
      <c r="C90" s="68"/>
      <c r="D90" s="69" t="str">
        <f>CONCATENATE(PROPER('BIÑAN INFO'!$G90),", ",PROPER('BIÑAN INFO'!$E90)," ",PROPER('BIÑAN INFO'!$F90),"."," (",UPPER('BIÑAN INFO'!$H90),")")</f>
        <v>,  . ()</v>
      </c>
      <c r="E90" s="70"/>
      <c r="F90" s="70"/>
      <c r="G90" s="70"/>
      <c r="H90" s="69"/>
      <c r="I90" s="71">
        <v>0.12</v>
      </c>
      <c r="J90" s="72">
        <v>1000.0</v>
      </c>
      <c r="K90" s="73"/>
      <c r="L90" s="73"/>
      <c r="M90" s="73"/>
      <c r="N90" s="74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30.0" customHeight="1">
      <c r="A91" s="68"/>
      <c r="B91" s="68">
        <v>91.0</v>
      </c>
      <c r="C91" s="68"/>
      <c r="D91" s="69" t="str">
        <f>CONCATENATE(PROPER('BIÑAN INFO'!$G91),", ",PROPER('BIÑAN INFO'!$E91)," ",PROPER('BIÑAN INFO'!$F91),"."," (",UPPER('BIÑAN INFO'!$H91),")")</f>
        <v>,  . ()</v>
      </c>
      <c r="E91" s="70"/>
      <c r="F91" s="70"/>
      <c r="G91" s="70"/>
      <c r="H91" s="69"/>
      <c r="I91" s="71">
        <v>0.12</v>
      </c>
      <c r="J91" s="72">
        <v>1000.0</v>
      </c>
      <c r="K91" s="73"/>
      <c r="L91" s="73"/>
      <c r="M91" s="73"/>
      <c r="N91" s="74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30.0" customHeight="1">
      <c r="A92" s="68"/>
      <c r="B92" s="68">
        <v>92.0</v>
      </c>
      <c r="C92" s="68"/>
      <c r="D92" s="69" t="str">
        <f>CONCATENATE(PROPER('BIÑAN INFO'!$G92),", ",PROPER('BIÑAN INFO'!$E92)," ",PROPER('BIÑAN INFO'!$F92),"."," (",UPPER('BIÑAN INFO'!$H92),")")</f>
        <v>San Pedro, Gary . ()</v>
      </c>
      <c r="E92" s="70" t="s">
        <v>91</v>
      </c>
      <c r="F92" s="70"/>
      <c r="G92" s="70" t="s">
        <v>92</v>
      </c>
      <c r="H92" s="69"/>
      <c r="I92" s="71">
        <v>0.05</v>
      </c>
      <c r="J92" s="72">
        <v>1000.0</v>
      </c>
      <c r="K92" s="73" t="s">
        <v>93</v>
      </c>
      <c r="L92" s="73" t="s">
        <v>94</v>
      </c>
      <c r="M92" s="73">
        <v>2017.0</v>
      </c>
      <c r="N92" s="74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30.0" customHeight="1">
      <c r="A93" s="68"/>
      <c r="B93" s="68">
        <v>93.0</v>
      </c>
      <c r="C93" s="68"/>
      <c r="D93" s="69" t="str">
        <f>CONCATENATE(PROPER('BIÑAN INFO'!$G93),", ",PROPER('BIÑAN INFO'!$E93)," ",PROPER('BIÑAN INFO'!$F93),"."," (",UPPER('BIÑAN INFO'!$H93),")")</f>
        <v>,  . ()</v>
      </c>
      <c r="E93" s="70"/>
      <c r="F93" s="70"/>
      <c r="G93" s="70"/>
      <c r="H93" s="69"/>
      <c r="I93" s="71">
        <v>0.12</v>
      </c>
      <c r="J93" s="72">
        <v>1000.0</v>
      </c>
      <c r="K93" s="73"/>
      <c r="L93" s="73"/>
      <c r="M93" s="73"/>
      <c r="N93" s="74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30.0" customHeight="1">
      <c r="A94" s="68"/>
      <c r="B94" s="68">
        <v>94.0</v>
      </c>
      <c r="C94" s="68"/>
      <c r="D94" s="69" t="str">
        <f>CONCATENATE(PROPER('BIÑAN INFO'!$G94),", ",PROPER('BIÑAN INFO'!$E94)," ",PROPER('BIÑAN INFO'!$F94),"."," (",UPPER('BIÑAN INFO'!$H94),")")</f>
        <v>Aldana, Edsel . ()</v>
      </c>
      <c r="E94" s="70" t="s">
        <v>95</v>
      </c>
      <c r="F94" s="70"/>
      <c r="G94" s="70" t="s">
        <v>96</v>
      </c>
      <c r="H94" s="69"/>
      <c r="I94" s="71">
        <v>0.12</v>
      </c>
      <c r="J94" s="72">
        <v>1000.0</v>
      </c>
      <c r="K94" s="73"/>
      <c r="L94" s="73"/>
      <c r="M94" s="73"/>
      <c r="N94" s="74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30.0" customHeight="1">
      <c r="A95" s="68"/>
      <c r="B95" s="68">
        <v>95.0</v>
      </c>
      <c r="C95" s="68"/>
      <c r="D95" s="69" t="str">
        <f>CONCATENATE(PROPER('BIÑAN INFO'!$G95),", ",PROPER('BIÑAN INFO'!$E95)," ",PROPER('BIÑAN INFO'!$F95),"."," (",UPPER('BIÑAN INFO'!$H95),")")</f>
        <v>,  . ()</v>
      </c>
      <c r="E95" s="70"/>
      <c r="F95" s="70"/>
      <c r="G95" s="70"/>
      <c r="H95" s="69"/>
      <c r="I95" s="71">
        <v>0.12</v>
      </c>
      <c r="J95" s="72">
        <v>1000.0</v>
      </c>
      <c r="K95" s="73"/>
      <c r="L95" s="73"/>
      <c r="M95" s="73"/>
      <c r="N95" s="74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30.0" customHeight="1">
      <c r="A96" s="68"/>
      <c r="B96" s="68">
        <v>96.0</v>
      </c>
      <c r="C96" s="68"/>
      <c r="D96" s="69" t="str">
        <f>CONCATENATE(PROPER('BIÑAN INFO'!$G96),", ",PROPER('BIÑAN INFO'!$E96)," ",PROPER('BIÑAN INFO'!$F96),"."," (",UPPER('BIÑAN INFO'!$H96),")")</f>
        <v>Palomares, Jirah . ()</v>
      </c>
      <c r="E96" s="70" t="s">
        <v>97</v>
      </c>
      <c r="F96" s="70"/>
      <c r="G96" s="70" t="s">
        <v>98</v>
      </c>
      <c r="H96" s="69"/>
      <c r="I96" s="71">
        <v>0.12</v>
      </c>
      <c r="J96" s="72">
        <v>1000.0</v>
      </c>
      <c r="K96" s="73"/>
      <c r="L96" s="73"/>
      <c r="M96" s="73"/>
      <c r="N96" s="74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30.0" customHeight="1">
      <c r="A97" s="68"/>
      <c r="B97" s="68">
        <v>97.0</v>
      </c>
      <c r="C97" s="68"/>
      <c r="D97" s="69" t="str">
        <f>CONCATENATE(PROPER('BIÑAN INFO'!$G97),", ",PROPER('BIÑAN INFO'!$E97)," ",PROPER('BIÑAN INFO'!$F97),"."," (",UPPER('BIÑAN INFO'!$H97),")")</f>
        <v>,  . ()</v>
      </c>
      <c r="E97" s="70"/>
      <c r="F97" s="70"/>
      <c r="G97" s="70"/>
      <c r="H97" s="69"/>
      <c r="I97" s="71">
        <v>0.12</v>
      </c>
      <c r="J97" s="72">
        <v>1000.0</v>
      </c>
      <c r="K97" s="73"/>
      <c r="L97" s="73"/>
      <c r="M97" s="73"/>
      <c r="N97" s="74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30.0" customHeight="1">
      <c r="A98" s="68"/>
      <c r="B98" s="68">
        <v>98.0</v>
      </c>
      <c r="C98" s="68"/>
      <c r="D98" s="69" t="str">
        <f>CONCATENATE(PROPER('BIÑAN INFO'!$G98),", ",PROPER('BIÑAN INFO'!$E98)," ",PROPER('BIÑAN INFO'!$F98),"."," (",UPPER('BIÑAN INFO'!$H98),")")</f>
        <v>,  . ()</v>
      </c>
      <c r="E98" s="70"/>
      <c r="F98" s="70"/>
      <c r="G98" s="70"/>
      <c r="H98" s="69"/>
      <c r="I98" s="71">
        <v>0.12</v>
      </c>
      <c r="J98" s="72">
        <v>1000.0</v>
      </c>
      <c r="K98" s="73"/>
      <c r="L98" s="73"/>
      <c r="M98" s="73"/>
      <c r="N98" s="74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30.0" customHeight="1">
      <c r="A99" s="68"/>
      <c r="B99" s="68">
        <v>99.0</v>
      </c>
      <c r="C99" s="68"/>
      <c r="D99" s="69" t="str">
        <f>CONCATENATE(PROPER('BIÑAN INFO'!$G99),", ",PROPER('BIÑAN INFO'!$E99)," ",PROPER('BIÑAN INFO'!$F99),"."," (",UPPER('BIÑAN INFO'!$H99),")")</f>
        <v>, Mark . ()</v>
      </c>
      <c r="E99" s="70" t="s">
        <v>99</v>
      </c>
      <c r="F99" s="70"/>
      <c r="G99" s="70"/>
      <c r="H99" s="69"/>
      <c r="I99" s="71">
        <v>0.05</v>
      </c>
      <c r="J99" s="72">
        <v>1000.0</v>
      </c>
      <c r="K99" s="73" t="s">
        <v>50</v>
      </c>
      <c r="L99" s="73"/>
      <c r="M99" s="73"/>
      <c r="N99" s="74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30.0" customHeight="1">
      <c r="A100" s="68"/>
      <c r="B100" s="68">
        <v>100.0</v>
      </c>
      <c r="C100" s="68"/>
      <c r="D100" s="69" t="str">
        <f>CONCATENATE(PROPER('BIÑAN INFO'!$G100),", ",PROPER('BIÑAN INFO'!$E100)," ",PROPER('BIÑAN INFO'!$F100),"."," (",UPPER('BIÑAN INFO'!$H100),")")</f>
        <v>Nagutom, Valerio . ()</v>
      </c>
      <c r="E100" s="70" t="s">
        <v>100</v>
      </c>
      <c r="F100" s="70"/>
      <c r="G100" s="70" t="s">
        <v>101</v>
      </c>
      <c r="H100" s="69"/>
      <c r="I100" s="71">
        <v>0.05</v>
      </c>
      <c r="J100" s="72">
        <v>1000.0</v>
      </c>
      <c r="K100" s="73" t="s">
        <v>50</v>
      </c>
      <c r="L100" s="73"/>
      <c r="M100" s="73"/>
      <c r="N100" s="74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30.0" customHeight="1">
      <c r="A101" s="68"/>
      <c r="B101" s="68">
        <v>101.0</v>
      </c>
      <c r="C101" s="68"/>
      <c r="D101" s="69" t="str">
        <f>CONCATENATE(PROPER('BIÑAN INFO'!$G101),", ",PROPER('BIÑAN INFO'!$E101)," ",PROPER('BIÑAN INFO'!$F101),"."," (",UPPER('BIÑAN INFO'!$H101),")")</f>
        <v>,  . ()</v>
      </c>
      <c r="E101" s="70"/>
      <c r="F101" s="70"/>
      <c r="G101" s="70"/>
      <c r="H101" s="69"/>
      <c r="I101" s="71">
        <v>0.12</v>
      </c>
      <c r="J101" s="72">
        <v>1000.0</v>
      </c>
      <c r="K101" s="73"/>
      <c r="L101" s="73"/>
      <c r="M101" s="73"/>
      <c r="N101" s="74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30.0" customHeight="1">
      <c r="A102" s="68"/>
      <c r="B102" s="68">
        <v>102.0</v>
      </c>
      <c r="C102" s="68"/>
      <c r="D102" s="69" t="str">
        <f>CONCATENATE(PROPER('BIÑAN INFO'!$G102),", ",PROPER('BIÑAN INFO'!$E102)," ",PROPER('BIÑAN INFO'!$F102),"."," (",UPPER('BIÑAN INFO'!$H102),")")</f>
        <v>,  . ()</v>
      </c>
      <c r="E102" s="70"/>
      <c r="F102" s="70"/>
      <c r="G102" s="70"/>
      <c r="H102" s="69"/>
      <c r="I102" s="71">
        <v>0.12</v>
      </c>
      <c r="J102" s="72">
        <v>1000.0</v>
      </c>
      <c r="K102" s="73"/>
      <c r="L102" s="73"/>
      <c r="M102" s="73"/>
      <c r="N102" s="74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30.0" customHeight="1">
      <c r="A103" s="68"/>
      <c r="B103" s="68">
        <v>103.0</v>
      </c>
      <c r="C103" s="68"/>
      <c r="D103" s="69" t="str">
        <f>CONCATENATE(PROPER('BIÑAN INFO'!$G103),", ",PROPER('BIÑAN INFO'!$E103)," ",PROPER('BIÑAN INFO'!$F103),"."," (",UPPER('BIÑAN INFO'!$H103),")")</f>
        <v>,  . ()</v>
      </c>
      <c r="E103" s="70"/>
      <c r="F103" s="70"/>
      <c r="G103" s="69"/>
      <c r="H103" s="69"/>
      <c r="I103" s="71">
        <v>0.12</v>
      </c>
      <c r="J103" s="72">
        <v>1000.0</v>
      </c>
      <c r="K103" s="73"/>
      <c r="L103" s="73"/>
      <c r="M103" s="73"/>
      <c r="N103" s="74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30.0" customHeight="1">
      <c r="A104" s="68"/>
      <c r="B104" s="68">
        <v>104.0</v>
      </c>
      <c r="C104" s="68"/>
      <c r="D104" s="69" t="str">
        <f>CONCATENATE(PROPER('BIÑAN INFO'!$G104),", ",PROPER('BIÑAN INFO'!$E104)," ",PROPER('BIÑAN INFO'!$F104),"."," (",UPPER('BIÑAN INFO'!$H104),")")</f>
        <v>,  . ()</v>
      </c>
      <c r="E104" s="70"/>
      <c r="F104" s="70"/>
      <c r="G104" s="69"/>
      <c r="H104" s="69"/>
      <c r="I104" s="71">
        <v>0.12</v>
      </c>
      <c r="J104" s="72">
        <v>1000.0</v>
      </c>
      <c r="K104" s="73"/>
      <c r="L104" s="73"/>
      <c r="M104" s="73"/>
      <c r="N104" s="74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30.0" customHeight="1">
      <c r="A105" s="68"/>
      <c r="B105" s="68">
        <v>105.0</v>
      </c>
      <c r="C105" s="68"/>
      <c r="D105" s="69" t="str">
        <f>CONCATENATE(PROPER('BIÑAN INFO'!$G105),", ",PROPER('BIÑAN INFO'!$E105)," ",PROPER('BIÑAN INFO'!$F105),"."," (",UPPER('BIÑAN INFO'!$H105),")")</f>
        <v>,  . ()</v>
      </c>
      <c r="E105" s="70"/>
      <c r="F105" s="70"/>
      <c r="G105" s="69"/>
      <c r="H105" s="69"/>
      <c r="I105" s="71">
        <v>0.12</v>
      </c>
      <c r="J105" s="72">
        <v>1000.0</v>
      </c>
      <c r="K105" s="73"/>
      <c r="L105" s="73"/>
      <c r="M105" s="73"/>
      <c r="N105" s="74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30.0" customHeight="1">
      <c r="A106" s="68"/>
      <c r="B106" s="68">
        <v>106.0</v>
      </c>
      <c r="C106" s="68"/>
      <c r="D106" s="69" t="str">
        <f>CONCATENATE(PROPER('BIÑAN INFO'!$G106),", ",PROPER('BIÑAN INFO'!$E106)," ",PROPER('BIÑAN INFO'!$F106),"."," (",UPPER('BIÑAN INFO'!$H106),")")</f>
        <v>,  . ()</v>
      </c>
      <c r="E106" s="70"/>
      <c r="F106" s="70"/>
      <c r="G106" s="69"/>
      <c r="H106" s="69"/>
      <c r="I106" s="71">
        <v>0.12</v>
      </c>
      <c r="J106" s="72">
        <v>1000.0</v>
      </c>
      <c r="K106" s="73"/>
      <c r="L106" s="73"/>
      <c r="M106" s="73"/>
      <c r="N106" s="74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30.0" customHeight="1">
      <c r="A107" s="68"/>
      <c r="B107" s="68">
        <v>107.0</v>
      </c>
      <c r="C107" s="68"/>
      <c r="D107" s="69" t="str">
        <f>CONCATENATE(PROPER('BIÑAN INFO'!$G107),", ",PROPER('BIÑAN INFO'!$E107)," ",PROPER('BIÑAN INFO'!$F107),"."," (",UPPER('BIÑAN INFO'!$H107),")")</f>
        <v>Batangantang, Eufronia . ()</v>
      </c>
      <c r="E107" s="70" t="s">
        <v>102</v>
      </c>
      <c r="F107" s="70"/>
      <c r="G107" s="70" t="s">
        <v>103</v>
      </c>
      <c r="H107" s="69"/>
      <c r="I107" s="71">
        <v>0.05</v>
      </c>
      <c r="J107" s="72">
        <v>3000.0</v>
      </c>
      <c r="K107" s="73"/>
      <c r="L107" s="73"/>
      <c r="M107" s="73"/>
      <c r="N107" s="74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30.0" customHeight="1">
      <c r="A108" s="68"/>
      <c r="B108" s="68">
        <v>108.0</v>
      </c>
      <c r="C108" s="68"/>
      <c r="D108" s="69" t="str">
        <f>CONCATENATE(PROPER('BIÑAN INFO'!$G108),", ",PROPER('BIÑAN INFO'!$E108)," ",PROPER('BIÑAN INFO'!$F108),"."," (",UPPER('BIÑAN INFO'!$H108),")")</f>
        <v>Golayan, Ma. Ethel . ()</v>
      </c>
      <c r="E108" s="69" t="s">
        <v>104</v>
      </c>
      <c r="F108" s="69"/>
      <c r="G108" s="69" t="s">
        <v>105</v>
      </c>
      <c r="H108" s="70"/>
      <c r="I108" s="71">
        <v>0.05</v>
      </c>
      <c r="J108" s="72">
        <v>2000.0</v>
      </c>
      <c r="K108" s="73" t="s">
        <v>50</v>
      </c>
      <c r="L108" s="73" t="s">
        <v>106</v>
      </c>
      <c r="M108" s="73"/>
      <c r="N108" s="74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30.0" customHeight="1">
      <c r="A109" s="68"/>
      <c r="B109" s="68">
        <v>109.0</v>
      </c>
      <c r="C109" s="68"/>
      <c r="D109" s="69" t="str">
        <f>CONCATENATE(PROPER('BIÑAN INFO'!$G109),", ",PROPER('BIÑAN INFO'!$E109)," ",PROPER('BIÑAN INFO'!$F109),"."," (",UPPER('BIÑAN INFO'!$H109),")")</f>
        <v>,  . ()</v>
      </c>
      <c r="E109" s="70"/>
      <c r="F109" s="70"/>
      <c r="G109" s="70"/>
      <c r="H109" s="69"/>
      <c r="I109" s="71">
        <v>0.12</v>
      </c>
      <c r="J109" s="72">
        <v>1000.0</v>
      </c>
      <c r="K109" s="73"/>
      <c r="L109" s="73"/>
      <c r="M109" s="73"/>
      <c r="N109" s="74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30.0" customHeight="1">
      <c r="A110" s="68"/>
      <c r="B110" s="68">
        <v>110.0</v>
      </c>
      <c r="C110" s="68"/>
      <c r="D110" s="69" t="str">
        <f>CONCATENATE(PROPER('BIÑAN INFO'!$G110),", ",PROPER('BIÑAN INFO'!$E110)," ",PROPER('BIÑAN INFO'!$F110),"."," (",UPPER('BIÑAN INFO'!$H110),")")</f>
        <v>Mesina, Emmanuel . ()</v>
      </c>
      <c r="E110" s="70" t="s">
        <v>107</v>
      </c>
      <c r="F110" s="70"/>
      <c r="G110" s="70" t="s">
        <v>108</v>
      </c>
      <c r="H110" s="69"/>
      <c r="I110" s="71">
        <v>0.05</v>
      </c>
      <c r="J110" s="72">
        <v>1000.0</v>
      </c>
      <c r="K110" s="73"/>
      <c r="L110" s="73"/>
      <c r="M110" s="73"/>
      <c r="N110" s="74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30.0" customHeight="1">
      <c r="A111" s="68"/>
      <c r="B111" s="68">
        <v>111.0</v>
      </c>
      <c r="C111" s="68"/>
      <c r="D111" s="69" t="str">
        <f>CONCATENATE(PROPER('BIÑAN INFO'!$G111),", ",PROPER('BIÑAN INFO'!$E111)," ",PROPER('BIÑAN INFO'!$F111),"."," (",UPPER('BIÑAN INFO'!$H111),")")</f>
        <v>Roxas, Aurora . ()</v>
      </c>
      <c r="E111" s="70" t="s">
        <v>109</v>
      </c>
      <c r="F111" s="70"/>
      <c r="G111" s="70" t="s">
        <v>110</v>
      </c>
      <c r="H111" s="69"/>
      <c r="I111" s="71">
        <v>0.05</v>
      </c>
      <c r="J111" s="72">
        <v>1000.0</v>
      </c>
      <c r="K111" s="73"/>
      <c r="L111" s="73"/>
      <c r="M111" s="73"/>
      <c r="N111" s="74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30.0" customHeight="1">
      <c r="A112" s="68"/>
      <c r="B112" s="68">
        <v>112.0</v>
      </c>
      <c r="C112" s="68"/>
      <c r="D112" s="69" t="str">
        <f>CONCATENATE(PROPER('BIÑAN INFO'!$G112),", ",PROPER('BIÑAN INFO'!$E112)," ",PROPER('BIÑAN INFO'!$F112),"."," (",UPPER('BIÑAN INFO'!$H112),")")</f>
        <v>,  . ()</v>
      </c>
      <c r="E112" s="70"/>
      <c r="F112" s="70"/>
      <c r="G112" s="70"/>
      <c r="H112" s="69"/>
      <c r="I112" s="71">
        <v>0.12</v>
      </c>
      <c r="J112" s="72">
        <v>1000.0</v>
      </c>
      <c r="K112" s="73"/>
      <c r="L112" s="73"/>
      <c r="M112" s="73"/>
      <c r="N112" s="74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30.0" customHeight="1">
      <c r="A113" s="68"/>
      <c r="B113" s="68">
        <v>113.0</v>
      </c>
      <c r="C113" s="68"/>
      <c r="D113" s="69" t="str">
        <f>CONCATENATE(PROPER('BIÑAN INFO'!$G113),", ",PROPER('BIÑAN INFO'!$E113)," ",PROPER('BIÑAN INFO'!$F113),"."," (",UPPER('BIÑAN INFO'!$H113),")")</f>
        <v>Amaba, Flordeliza . ()</v>
      </c>
      <c r="E113" s="70" t="s">
        <v>111</v>
      </c>
      <c r="F113" s="70"/>
      <c r="G113" s="70" t="s">
        <v>112</v>
      </c>
      <c r="H113" s="69"/>
      <c r="I113" s="71">
        <v>0.12</v>
      </c>
      <c r="J113" s="72">
        <v>1000.0</v>
      </c>
      <c r="K113" s="73"/>
      <c r="L113" s="73"/>
      <c r="M113" s="73"/>
      <c r="N113" s="74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30.0" customHeight="1">
      <c r="A114" s="68"/>
      <c r="B114" s="68">
        <v>114.0</v>
      </c>
      <c r="C114" s="68"/>
      <c r="D114" s="69" t="str">
        <f>CONCATENATE(PROPER('BIÑAN INFO'!$G114),", ",PROPER('BIÑAN INFO'!$E114)," ",PROPER('BIÑAN INFO'!$F114),"."," (",UPPER('BIÑAN INFO'!$H114),")")</f>
        <v>Alano, Eunice . ()</v>
      </c>
      <c r="E114" s="70" t="s">
        <v>113</v>
      </c>
      <c r="F114" s="70"/>
      <c r="G114" s="70" t="s">
        <v>114</v>
      </c>
      <c r="H114" s="69"/>
      <c r="I114" s="71">
        <v>0.12</v>
      </c>
      <c r="J114" s="72">
        <v>1000.0</v>
      </c>
      <c r="K114" s="73"/>
      <c r="L114" s="73"/>
      <c r="M114" s="73"/>
      <c r="N114" s="74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30.0" customHeight="1">
      <c r="A115" s="68"/>
      <c r="B115" s="68">
        <v>115.0</v>
      </c>
      <c r="C115" s="68"/>
      <c r="D115" s="69" t="str">
        <f>CONCATENATE(PROPER('BIÑAN INFO'!$G115),", ",PROPER('BIÑAN INFO'!$E115)," ",PROPER('BIÑAN INFO'!$F115),"."," (",UPPER('BIÑAN INFO'!$H115),")")</f>
        <v>,  . ()</v>
      </c>
      <c r="E115" s="70"/>
      <c r="F115" s="70"/>
      <c r="G115" s="70"/>
      <c r="H115" s="69"/>
      <c r="I115" s="71">
        <v>0.12</v>
      </c>
      <c r="J115" s="72">
        <v>1000.0</v>
      </c>
      <c r="K115" s="73"/>
      <c r="L115" s="73"/>
      <c r="M115" s="73"/>
      <c r="N115" s="74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30.0" customHeight="1">
      <c r="A116" s="68"/>
      <c r="B116" s="68">
        <v>116.0</v>
      </c>
      <c r="C116" s="68"/>
      <c r="D116" s="69" t="str">
        <f>CONCATENATE(PROPER('BIÑAN INFO'!$G116),", ",PROPER('BIÑAN INFO'!$E116)," ",PROPER('BIÑAN INFO'!$F116),"."," (",UPPER('BIÑAN INFO'!$H116),")")</f>
        <v>Amaba, Flora . ()</v>
      </c>
      <c r="E116" s="70" t="s">
        <v>115</v>
      </c>
      <c r="F116" s="70"/>
      <c r="G116" s="70" t="s">
        <v>112</v>
      </c>
      <c r="H116" s="69"/>
      <c r="I116" s="71">
        <v>0.12</v>
      </c>
      <c r="J116" s="72">
        <v>1000.0</v>
      </c>
      <c r="K116" s="73"/>
      <c r="L116" s="73"/>
      <c r="M116" s="73"/>
      <c r="N116" s="74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30.0" customHeight="1">
      <c r="A117" s="68"/>
      <c r="B117" s="68">
        <v>117.0</v>
      </c>
      <c r="C117" s="68"/>
      <c r="D117" s="69" t="str">
        <f>CONCATENATE(PROPER('BIÑAN INFO'!$G117),", ",PROPER('BIÑAN INFO'!$E117)," ",PROPER('BIÑAN INFO'!$F117),"."," (",UPPER('BIÑAN INFO'!$H117),")")</f>
        <v>,  . ()</v>
      </c>
      <c r="E117" s="70"/>
      <c r="F117" s="70"/>
      <c r="G117" s="70"/>
      <c r="H117" s="69"/>
      <c r="I117" s="71">
        <v>0.12</v>
      </c>
      <c r="J117" s="72">
        <v>1000.0</v>
      </c>
      <c r="K117" s="73"/>
      <c r="L117" s="73"/>
      <c r="M117" s="73"/>
      <c r="N117" s="74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30.0" customHeight="1">
      <c r="A118" s="68"/>
      <c r="B118" s="68">
        <v>118.0</v>
      </c>
      <c r="C118" s="68"/>
      <c r="D118" s="69" t="str">
        <f>CONCATENATE(PROPER('BIÑAN INFO'!$G118),", ",PROPER('BIÑAN INFO'!$E118)," ",PROPER('BIÑAN INFO'!$F118),"."," (",UPPER('BIÑAN INFO'!$H118),")")</f>
        <v>Camao, Jessie . ()</v>
      </c>
      <c r="E118" s="70" t="s">
        <v>116</v>
      </c>
      <c r="F118" s="70"/>
      <c r="G118" s="70" t="s">
        <v>117</v>
      </c>
      <c r="H118" s="69"/>
      <c r="I118" s="71">
        <v>0.12</v>
      </c>
      <c r="J118" s="72">
        <v>1000.0</v>
      </c>
      <c r="K118" s="73"/>
      <c r="L118" s="73"/>
      <c r="M118" s="73"/>
      <c r="N118" s="74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30.0" customHeight="1">
      <c r="A119" s="68"/>
      <c r="B119" s="68">
        <v>119.0</v>
      </c>
      <c r="C119" s="68"/>
      <c r="D119" s="69" t="str">
        <f>CONCATENATE(PROPER('BIÑAN INFO'!$G119),", ",PROPER('BIÑAN INFO'!$E119)," ",PROPER('BIÑAN INFO'!$F119),"."," (",UPPER('BIÑAN INFO'!$H119),")")</f>
        <v>,  . ()</v>
      </c>
      <c r="E119" s="70"/>
      <c r="F119" s="70"/>
      <c r="G119" s="70"/>
      <c r="H119" s="69"/>
      <c r="I119" s="71">
        <v>0.12</v>
      </c>
      <c r="J119" s="72">
        <v>1000.0</v>
      </c>
      <c r="K119" s="73"/>
      <c r="L119" s="73"/>
      <c r="M119" s="73"/>
      <c r="N119" s="74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30.0" customHeight="1">
      <c r="A120" s="68"/>
      <c r="B120" s="68">
        <v>120.0</v>
      </c>
      <c r="C120" s="68"/>
      <c r="D120" s="69" t="str">
        <f>CONCATENATE(PROPER('BIÑAN INFO'!$G120),", ",PROPER('BIÑAN INFO'!$E120)," ",PROPER('BIÑAN INFO'!$F120),"."," (",UPPER('BIÑAN INFO'!$H120),")")</f>
        <v>,  . ()</v>
      </c>
      <c r="E120" s="70"/>
      <c r="F120" s="70"/>
      <c r="G120" s="70"/>
      <c r="H120" s="69"/>
      <c r="I120" s="71">
        <v>0.12</v>
      </c>
      <c r="J120" s="72">
        <v>1000.0</v>
      </c>
      <c r="K120" s="73"/>
      <c r="L120" s="73"/>
      <c r="M120" s="73"/>
      <c r="N120" s="74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30.0" customHeight="1">
      <c r="A121" s="68"/>
      <c r="B121" s="68">
        <v>121.0</v>
      </c>
      <c r="C121" s="68"/>
      <c r="D121" s="69" t="str">
        <f>CONCATENATE(PROPER('BIÑAN INFO'!$G121),", ",PROPER('BIÑAN INFO'!$E121)," ",PROPER('BIÑAN INFO'!$F121),"."," (",UPPER('BIÑAN INFO'!$H121),")")</f>
        <v>,  . ()</v>
      </c>
      <c r="E121" s="70"/>
      <c r="F121" s="70"/>
      <c r="G121" s="70"/>
      <c r="H121" s="69"/>
      <c r="I121" s="71">
        <v>0.12</v>
      </c>
      <c r="J121" s="72">
        <v>1000.0</v>
      </c>
      <c r="K121" s="73"/>
      <c r="L121" s="73"/>
      <c r="M121" s="73"/>
      <c r="N121" s="74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30.0" customHeight="1">
      <c r="A122" s="68"/>
      <c r="B122" s="68">
        <v>122.0</v>
      </c>
      <c r="C122" s="68"/>
      <c r="D122" s="69" t="str">
        <f>CONCATENATE(PROPER('BIÑAN INFO'!$G122),", ",PROPER('BIÑAN INFO'!$E122)," ",PROPER('BIÑAN INFO'!$F122),"."," (",UPPER('BIÑAN INFO'!$H122),")")</f>
        <v>Amaba, Edwina . ()</v>
      </c>
      <c r="E122" s="70" t="s">
        <v>118</v>
      </c>
      <c r="F122" s="70"/>
      <c r="G122" s="70" t="s">
        <v>112</v>
      </c>
      <c r="H122" s="69"/>
      <c r="I122" s="71">
        <v>0.12</v>
      </c>
      <c r="J122" s="72">
        <v>1000.0</v>
      </c>
      <c r="K122" s="73"/>
      <c r="L122" s="73"/>
      <c r="M122" s="73"/>
      <c r="N122" s="74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30.0" customHeight="1">
      <c r="A123" s="68"/>
      <c r="B123" s="68">
        <v>123.0</v>
      </c>
      <c r="C123" s="68"/>
      <c r="D123" s="69" t="str">
        <f>CONCATENATE(PROPER('BIÑAN INFO'!$G123),", ",PROPER('BIÑAN INFO'!$E123)," ",PROPER('BIÑAN INFO'!$F123),"."," (",UPPER('BIÑAN INFO'!$H123),")")</f>
        <v>,  . ()</v>
      </c>
      <c r="E123" s="70"/>
      <c r="F123" s="70"/>
      <c r="G123" s="70"/>
      <c r="H123" s="69"/>
      <c r="I123" s="71">
        <v>0.12</v>
      </c>
      <c r="J123" s="72">
        <v>1000.0</v>
      </c>
      <c r="K123" s="73"/>
      <c r="L123" s="73"/>
      <c r="M123" s="73"/>
      <c r="N123" s="74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30.0" customHeight="1">
      <c r="A124" s="68"/>
      <c r="B124" s="68">
        <v>124.0</v>
      </c>
      <c r="C124" s="68"/>
      <c r="D124" s="69" t="str">
        <f>CONCATENATE(PROPER('BIÑAN INFO'!$G124),", ",PROPER('BIÑAN INFO'!$E124)," ",PROPER('BIÑAN INFO'!$F124),"."," (",UPPER('BIÑAN INFO'!$H124),")")</f>
        <v>,  . ()</v>
      </c>
      <c r="E124" s="70"/>
      <c r="F124" s="70"/>
      <c r="G124" s="70"/>
      <c r="H124" s="69"/>
      <c r="I124" s="71">
        <v>0.12</v>
      </c>
      <c r="J124" s="72">
        <v>1000.0</v>
      </c>
      <c r="K124" s="73"/>
      <c r="L124" s="73"/>
      <c r="M124" s="73"/>
      <c r="N124" s="74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30.0" customHeight="1">
      <c r="A125" s="68"/>
      <c r="B125" s="68">
        <v>125.0</v>
      </c>
      <c r="C125" s="68"/>
      <c r="D125" s="69" t="str">
        <f>CONCATENATE(PROPER('BIÑAN INFO'!$G125),", ",PROPER('BIÑAN INFO'!$E125)," ",PROPER('BIÑAN INFO'!$F125),"."," (",UPPER('BIÑAN INFO'!$H125),")")</f>
        <v>Batino, Marieta . ()</v>
      </c>
      <c r="E125" s="70" t="s">
        <v>119</v>
      </c>
      <c r="F125" s="70"/>
      <c r="G125" s="70" t="s">
        <v>120</v>
      </c>
      <c r="H125" s="69"/>
      <c r="I125" s="71">
        <v>0.12</v>
      </c>
      <c r="J125" s="72">
        <v>1000.0</v>
      </c>
      <c r="K125" s="73"/>
      <c r="L125" s="73"/>
      <c r="M125" s="73"/>
      <c r="N125" s="74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30.0" customHeight="1">
      <c r="A126" s="68"/>
      <c r="B126" s="68">
        <v>126.0</v>
      </c>
      <c r="C126" s="68"/>
      <c r="D126" s="69" t="str">
        <f>CONCATENATE(PROPER('BIÑAN INFO'!$G126),", ",PROPER('BIÑAN INFO'!$E126)," ",PROPER('BIÑAN INFO'!$F126),"."," (",UPPER('BIÑAN INFO'!$H126),")")</f>
        <v>Reyes, Boyet . ()</v>
      </c>
      <c r="E126" s="70" t="s">
        <v>121</v>
      </c>
      <c r="F126" s="70"/>
      <c r="G126" s="70" t="s">
        <v>122</v>
      </c>
      <c r="H126" s="69"/>
      <c r="I126" s="71">
        <v>0.12</v>
      </c>
      <c r="J126" s="72">
        <v>1000.0</v>
      </c>
      <c r="K126" s="73"/>
      <c r="L126" s="73"/>
      <c r="M126" s="73"/>
      <c r="N126" s="74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30.0" customHeight="1">
      <c r="A127" s="68"/>
      <c r="B127" s="68">
        <v>127.0</v>
      </c>
      <c r="C127" s="68"/>
      <c r="D127" s="69" t="str">
        <f>CONCATENATE(PROPER('BIÑAN INFO'!$G127),", ",PROPER('BIÑAN INFO'!$E127)," ",PROPER('BIÑAN INFO'!$F127),"."," (",UPPER('BIÑAN INFO'!$H127),")")</f>
        <v>,  . ()</v>
      </c>
      <c r="E127" s="70"/>
      <c r="F127" s="70"/>
      <c r="G127" s="70"/>
      <c r="H127" s="69"/>
      <c r="I127" s="71">
        <v>0.12</v>
      </c>
      <c r="J127" s="72">
        <v>1000.0</v>
      </c>
      <c r="K127" s="73"/>
      <c r="L127" s="73"/>
      <c r="M127" s="73"/>
      <c r="N127" s="74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30.0" customHeight="1">
      <c r="A128" s="68"/>
      <c r="B128" s="68">
        <v>128.0</v>
      </c>
      <c r="C128" s="68"/>
      <c r="D128" s="69" t="str">
        <f>CONCATENATE(PROPER('BIÑAN INFO'!$G128),", ",PROPER('BIÑAN INFO'!$E128)," ",PROPER('BIÑAN INFO'!$F128),"."," (",UPPER('BIÑAN INFO'!$H128),")")</f>
        <v>,  . ()</v>
      </c>
      <c r="E128" s="70"/>
      <c r="F128" s="70"/>
      <c r="G128" s="70"/>
      <c r="H128" s="69"/>
      <c r="I128" s="71">
        <v>0.12</v>
      </c>
      <c r="J128" s="72">
        <v>1000.0</v>
      </c>
      <c r="K128" s="73"/>
      <c r="L128" s="73"/>
      <c r="M128" s="73"/>
      <c r="N128" s="74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30.0" customHeight="1">
      <c r="A129" s="68"/>
      <c r="B129" s="68">
        <v>129.0</v>
      </c>
      <c r="C129" s="68"/>
      <c r="D129" s="69" t="str">
        <f>CONCATENATE(PROPER('BIÑAN INFO'!$G129),", ",PROPER('BIÑAN INFO'!$E129)," ",PROPER('BIÑAN INFO'!$F129),"."," (",UPPER('BIÑAN INFO'!$H129),")")</f>
        <v>Aguila, Melba . ()</v>
      </c>
      <c r="E129" s="70" t="s">
        <v>123</v>
      </c>
      <c r="F129" s="70"/>
      <c r="G129" s="70" t="s">
        <v>124</v>
      </c>
      <c r="H129" s="69"/>
      <c r="I129" s="71">
        <v>0.12</v>
      </c>
      <c r="J129" s="72">
        <v>1000.0</v>
      </c>
      <c r="K129" s="73"/>
      <c r="L129" s="73"/>
      <c r="M129" s="73"/>
      <c r="N129" s="74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30.0" customHeight="1">
      <c r="A130" s="68"/>
      <c r="B130" s="68">
        <v>130.0</v>
      </c>
      <c r="C130" s="68"/>
      <c r="D130" s="69" t="str">
        <f>CONCATENATE(PROPER('BIÑAN INFO'!$G130),", ",PROPER('BIÑAN INFO'!$E130)," ",PROPER('BIÑAN INFO'!$F130),"."," (",UPPER('BIÑAN INFO'!$H130),")")</f>
        <v>Aguila, Wilfredo . ()</v>
      </c>
      <c r="E130" s="70" t="s">
        <v>125</v>
      </c>
      <c r="F130" s="70"/>
      <c r="G130" s="70" t="s">
        <v>124</v>
      </c>
      <c r="H130" s="69"/>
      <c r="I130" s="71">
        <v>0.12</v>
      </c>
      <c r="J130" s="72">
        <v>1000.0</v>
      </c>
      <c r="K130" s="73"/>
      <c r="L130" s="73"/>
      <c r="M130" s="73"/>
      <c r="N130" s="74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30.0" customHeight="1">
      <c r="A131" s="68"/>
      <c r="B131" s="68">
        <v>131.0</v>
      </c>
      <c r="C131" s="68"/>
      <c r="D131" s="69" t="str">
        <f>CONCATENATE(PROPER('BIÑAN INFO'!$G131),", ",PROPER('BIÑAN INFO'!$E131)," ",PROPER('BIÑAN INFO'!$F131),"."," (",UPPER('BIÑAN INFO'!$H131),")")</f>
        <v>,  . ()</v>
      </c>
      <c r="E131" s="70"/>
      <c r="F131" s="70"/>
      <c r="G131" s="70"/>
      <c r="H131" s="69"/>
      <c r="I131" s="71">
        <v>0.12</v>
      </c>
      <c r="J131" s="72">
        <v>1000.0</v>
      </c>
      <c r="K131" s="73"/>
      <c r="L131" s="73"/>
      <c r="M131" s="73"/>
      <c r="N131" s="74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30.0" customHeight="1">
      <c r="A132" s="68"/>
      <c r="B132" s="68">
        <v>132.0</v>
      </c>
      <c r="C132" s="68"/>
      <c r="D132" s="69" t="str">
        <f>CONCATENATE(PROPER('BIÑAN INFO'!$G132),", ",PROPER('BIÑAN INFO'!$E132)," ",PROPER('BIÑAN INFO'!$F132),"."," (",UPPER('BIÑAN INFO'!$H132),")")</f>
        <v>,  . ()</v>
      </c>
      <c r="E132" s="70"/>
      <c r="F132" s="70"/>
      <c r="G132" s="70"/>
      <c r="H132" s="69"/>
      <c r="I132" s="71">
        <v>0.12</v>
      </c>
      <c r="J132" s="72">
        <v>1000.0</v>
      </c>
      <c r="K132" s="73"/>
      <c r="L132" s="73"/>
      <c r="M132" s="73"/>
      <c r="N132" s="74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30.0" customHeight="1">
      <c r="A133" s="68"/>
      <c r="B133" s="68">
        <v>133.0</v>
      </c>
      <c r="C133" s="68"/>
      <c r="D133" s="69" t="str">
        <f>CONCATENATE(PROPER('BIÑAN INFO'!$G133),", ",PROPER('BIÑAN INFO'!$E133)," ",PROPER('BIÑAN INFO'!$F133),"."," (",UPPER('BIÑAN INFO'!$H133),")")</f>
        <v>,  . ()</v>
      </c>
      <c r="E133" s="70"/>
      <c r="F133" s="70"/>
      <c r="G133" s="70"/>
      <c r="H133" s="69"/>
      <c r="I133" s="71">
        <v>0.12</v>
      </c>
      <c r="J133" s="72">
        <v>1000.0</v>
      </c>
      <c r="K133" s="73"/>
      <c r="L133" s="73"/>
      <c r="M133" s="73"/>
      <c r="N133" s="74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30.0" customHeight="1">
      <c r="A134" s="68"/>
      <c r="B134" s="68">
        <v>134.0</v>
      </c>
      <c r="C134" s="68"/>
      <c r="D134" s="69" t="str">
        <f>CONCATENATE(PROPER('BIÑAN INFO'!$G134),", ",PROPER('BIÑAN INFO'!$E134)," ",PROPER('BIÑAN INFO'!$F134),"."," (",UPPER('BIÑAN INFO'!$H134),")")</f>
        <v>,  . ()</v>
      </c>
      <c r="E134" s="70"/>
      <c r="F134" s="70"/>
      <c r="G134" s="70"/>
      <c r="H134" s="69"/>
      <c r="I134" s="71">
        <v>0.12</v>
      </c>
      <c r="J134" s="72">
        <v>1000.0</v>
      </c>
      <c r="K134" s="73"/>
      <c r="L134" s="73"/>
      <c r="M134" s="73"/>
      <c r="N134" s="74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30.0" customHeight="1">
      <c r="A135" s="68"/>
      <c r="B135" s="68">
        <v>135.0</v>
      </c>
      <c r="C135" s="68"/>
      <c r="D135" s="69" t="str">
        <f>CONCATENATE(PROPER('BIÑAN INFO'!$G135),", ",PROPER('BIÑAN INFO'!$E135)," ",PROPER('BIÑAN INFO'!$F135),"."," (",UPPER('BIÑAN INFO'!$H135),")")</f>
        <v>Agcaoili, Zenaida . ()</v>
      </c>
      <c r="E135" s="70" t="s">
        <v>126</v>
      </c>
      <c r="F135" s="70"/>
      <c r="G135" s="70" t="s">
        <v>127</v>
      </c>
      <c r="H135" s="69"/>
      <c r="I135" s="71">
        <v>0.05</v>
      </c>
      <c r="J135" s="72">
        <v>1000.0</v>
      </c>
      <c r="K135" s="73" t="s">
        <v>50</v>
      </c>
      <c r="L135" s="73"/>
      <c r="M135" s="73"/>
      <c r="N135" s="74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30.0" customHeight="1">
      <c r="A136" s="68"/>
      <c r="B136" s="68">
        <v>136.0</v>
      </c>
      <c r="C136" s="68"/>
      <c r="D136" s="69" t="str">
        <f>CONCATENATE(PROPER('BIÑAN INFO'!$G136),", ",PROPER('BIÑAN INFO'!$E136)," ",PROPER('BIÑAN INFO'!$F136),"."," (",UPPER('BIÑAN INFO'!$H136),")")</f>
        <v>,  . ()</v>
      </c>
      <c r="E136" s="70"/>
      <c r="F136" s="70"/>
      <c r="G136" s="70"/>
      <c r="H136" s="69"/>
      <c r="I136" s="71">
        <v>0.12</v>
      </c>
      <c r="J136" s="72">
        <v>1000.0</v>
      </c>
      <c r="K136" s="73"/>
      <c r="L136" s="73"/>
      <c r="M136" s="73"/>
      <c r="N136" s="74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30.0" customHeight="1">
      <c r="A137" s="68"/>
      <c r="B137" s="68">
        <v>137.0</v>
      </c>
      <c r="C137" s="68"/>
      <c r="D137" s="69" t="str">
        <f>CONCATENATE(PROPER('BIÑAN INFO'!$G137),", ",PROPER('BIÑAN INFO'!$E137)," ",PROPER('BIÑAN INFO'!$F137),"."," (",UPPER('BIÑAN INFO'!$H137),")")</f>
        <v>,  . ()</v>
      </c>
      <c r="E137" s="70"/>
      <c r="F137" s="70"/>
      <c r="G137" s="70"/>
      <c r="H137" s="69"/>
      <c r="I137" s="71">
        <v>0.05</v>
      </c>
      <c r="J137" s="72">
        <v>5000.0</v>
      </c>
      <c r="K137" s="73" t="s">
        <v>50</v>
      </c>
      <c r="L137" s="73"/>
      <c r="M137" s="73"/>
      <c r="N137" s="74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30.0" customHeight="1">
      <c r="A138" s="68"/>
      <c r="B138" s="68">
        <v>138.0</v>
      </c>
      <c r="C138" s="68"/>
      <c r="D138" s="69" t="str">
        <f>CONCATENATE(PROPER('BIÑAN INFO'!$G138),", ",PROPER('BIÑAN INFO'!$E138)," ",PROPER('BIÑAN INFO'!$F138),"."," (",UPPER('BIÑAN INFO'!$H138),")")</f>
        <v>,  . ()</v>
      </c>
      <c r="E138" s="70"/>
      <c r="F138" s="70"/>
      <c r="G138" s="70"/>
      <c r="H138" s="69"/>
      <c r="I138" s="71">
        <v>0.12</v>
      </c>
      <c r="J138" s="72">
        <v>1000.0</v>
      </c>
      <c r="K138" s="73"/>
      <c r="L138" s="73"/>
      <c r="M138" s="73"/>
      <c r="N138" s="74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30.0" customHeight="1">
      <c r="A139" s="68"/>
      <c r="B139" s="68">
        <v>139.0</v>
      </c>
      <c r="C139" s="68"/>
      <c r="D139" s="69" t="str">
        <f>CONCATENATE(PROPER('BIÑAN INFO'!$G139),", ",PROPER('BIÑAN INFO'!$E139)," ",PROPER('BIÑAN INFO'!$F139),"."," (",UPPER('BIÑAN INFO'!$H139),")")</f>
        <v>,  . ()</v>
      </c>
      <c r="E139" s="70"/>
      <c r="F139" s="70"/>
      <c r="G139" s="70"/>
      <c r="H139" s="69"/>
      <c r="I139" s="71">
        <v>0.12</v>
      </c>
      <c r="J139" s="72">
        <v>1000.0</v>
      </c>
      <c r="K139" s="73"/>
      <c r="L139" s="73"/>
      <c r="M139" s="73"/>
      <c r="N139" s="74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30.0" customHeight="1">
      <c r="A140" s="68"/>
      <c r="B140" s="68">
        <v>140.0</v>
      </c>
      <c r="C140" s="68"/>
      <c r="D140" s="69" t="str">
        <f>CONCATENATE(PROPER('BIÑAN INFO'!$G140),", ",PROPER('BIÑAN INFO'!$E140)," ",PROPER('BIÑAN INFO'!$F140),"."," (",UPPER('BIÑAN INFO'!$H140),")")</f>
        <v>,  . ()</v>
      </c>
      <c r="E140" s="70"/>
      <c r="F140" s="70"/>
      <c r="G140" s="70"/>
      <c r="H140" s="69"/>
      <c r="I140" s="71">
        <v>0.12</v>
      </c>
      <c r="J140" s="72">
        <v>1000.0</v>
      </c>
      <c r="K140" s="73"/>
      <c r="L140" s="73"/>
      <c r="M140" s="73"/>
      <c r="N140" s="74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30.0" customHeight="1">
      <c r="A141" s="68"/>
      <c r="B141" s="68">
        <v>141.0</v>
      </c>
      <c r="C141" s="68"/>
      <c r="D141" s="69" t="str">
        <f>CONCATENATE(PROPER('BIÑAN INFO'!$G141),", ",PROPER('BIÑAN INFO'!$E141)," ",PROPER('BIÑAN INFO'!$F141),"."," (",UPPER('BIÑAN INFO'!$H141),")")</f>
        <v>,  . ()</v>
      </c>
      <c r="E141" s="70"/>
      <c r="F141" s="70"/>
      <c r="G141" s="70"/>
      <c r="H141" s="69"/>
      <c r="I141" s="71">
        <v>0.12</v>
      </c>
      <c r="J141" s="72">
        <v>1000.0</v>
      </c>
      <c r="K141" s="73"/>
      <c r="L141" s="73"/>
      <c r="M141" s="73"/>
      <c r="N141" s="74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30.0" customHeight="1">
      <c r="A142" s="68"/>
      <c r="B142" s="68">
        <v>142.0</v>
      </c>
      <c r="C142" s="68"/>
      <c r="D142" s="69" t="str">
        <f>CONCATENATE(PROPER('BIÑAN INFO'!$G142),", ",PROPER('BIÑAN INFO'!$E142)," ",PROPER('BIÑAN INFO'!$F142),"."," (",UPPER('BIÑAN INFO'!$H142),")")</f>
        <v>,  . ()</v>
      </c>
      <c r="E142" s="70"/>
      <c r="F142" s="70"/>
      <c r="G142" s="70"/>
      <c r="H142" s="69"/>
      <c r="I142" s="71">
        <v>0.12</v>
      </c>
      <c r="J142" s="72">
        <v>1000.0</v>
      </c>
      <c r="K142" s="73"/>
      <c r="L142" s="73"/>
      <c r="M142" s="73"/>
      <c r="N142" s="74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30.0" customHeight="1">
      <c r="A143" s="68"/>
      <c r="B143" s="68">
        <v>143.0</v>
      </c>
      <c r="C143" s="68"/>
      <c r="D143" s="69" t="str">
        <f>CONCATENATE(PROPER('BIÑAN INFO'!$G143),", ",PROPER('BIÑAN INFO'!$E143)," ",PROPER('BIÑAN INFO'!$F143),"."," (",UPPER('BIÑAN INFO'!$H143),")")</f>
        <v>Bernardino, Julie Anne . ()</v>
      </c>
      <c r="E143" s="70" t="s">
        <v>128</v>
      </c>
      <c r="F143" s="70"/>
      <c r="G143" s="70" t="s">
        <v>129</v>
      </c>
      <c r="H143" s="70"/>
      <c r="I143" s="71">
        <v>0.12</v>
      </c>
      <c r="J143" s="72">
        <v>1000.0</v>
      </c>
      <c r="K143" s="73"/>
      <c r="L143" s="73"/>
      <c r="M143" s="73"/>
      <c r="N143" s="74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30.0" customHeight="1">
      <c r="A144" s="68"/>
      <c r="B144" s="68">
        <v>144.0</v>
      </c>
      <c r="C144" s="68"/>
      <c r="D144" s="69" t="str">
        <f>CONCATENATE(PROPER('BIÑAN INFO'!$G144),", ",PROPER('BIÑAN INFO'!$E144)," ",PROPER('BIÑAN INFO'!$F144),"."," (",UPPER('BIÑAN INFO'!$H144),")")</f>
        <v>Bernardino, Joan . ()</v>
      </c>
      <c r="E144" s="70" t="s">
        <v>130</v>
      </c>
      <c r="F144" s="70"/>
      <c r="G144" s="70" t="s">
        <v>129</v>
      </c>
      <c r="H144" s="70"/>
      <c r="I144" s="71">
        <v>0.05</v>
      </c>
      <c r="J144" s="72">
        <v>1000.0</v>
      </c>
      <c r="K144" s="73" t="s">
        <v>50</v>
      </c>
      <c r="L144" s="73"/>
      <c r="M144" s="73"/>
      <c r="N144" s="74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30.0" customHeight="1">
      <c r="A145" s="68"/>
      <c r="B145" s="68">
        <v>145.0</v>
      </c>
      <c r="C145" s="68"/>
      <c r="D145" s="69" t="str">
        <f>CONCATENATE(PROPER('BIÑAN INFO'!$G145),", ",PROPER('BIÑAN INFO'!$E145)," ",PROPER('BIÑAN INFO'!$F145),"."," (",UPPER('BIÑAN INFO'!$H145),")")</f>
        <v>,  . ()</v>
      </c>
      <c r="E145" s="70"/>
      <c r="F145" s="70"/>
      <c r="G145" s="70"/>
      <c r="H145" s="70"/>
      <c r="I145" s="71">
        <v>0.12</v>
      </c>
      <c r="J145" s="72">
        <v>1000.0</v>
      </c>
      <c r="K145" s="73"/>
      <c r="L145" s="73"/>
      <c r="M145" s="73"/>
      <c r="N145" s="74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30.0" customHeight="1">
      <c r="A146" s="68"/>
      <c r="B146" s="68">
        <v>146.0</v>
      </c>
      <c r="C146" s="68"/>
      <c r="D146" s="69" t="str">
        <f>CONCATENATE(PROPER('BIÑAN INFO'!$G146),", ",PROPER('BIÑAN INFO'!$E146)," ",PROPER('BIÑAN INFO'!$F146),"."," (",UPPER('BIÑAN INFO'!$H146),")")</f>
        <v>Retardo, Roselle . ()</v>
      </c>
      <c r="E146" s="70" t="s">
        <v>131</v>
      </c>
      <c r="F146" s="70"/>
      <c r="G146" s="70" t="s">
        <v>132</v>
      </c>
      <c r="H146" s="70"/>
      <c r="I146" s="71">
        <v>0.05</v>
      </c>
      <c r="J146" s="72">
        <v>1000.0</v>
      </c>
      <c r="K146" s="73" t="s">
        <v>50</v>
      </c>
      <c r="L146" s="73"/>
      <c r="M146" s="73"/>
      <c r="N146" s="74" t="s">
        <v>133</v>
      </c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30.0" customHeight="1">
      <c r="A147" s="68"/>
      <c r="B147" s="68">
        <v>147.0</v>
      </c>
      <c r="C147" s="68"/>
      <c r="D147" s="69" t="str">
        <f>CONCATENATE(PROPER('BIÑAN INFO'!$G147),", ",PROPER('BIÑAN INFO'!$E147)," ",PROPER('BIÑAN INFO'!$F147),"."," (",UPPER('BIÑAN INFO'!$H147),")")</f>
        <v>Retardo, Ronnelon . ()</v>
      </c>
      <c r="E147" s="70" t="s">
        <v>134</v>
      </c>
      <c r="F147" s="70"/>
      <c r="G147" s="70" t="s">
        <v>132</v>
      </c>
      <c r="H147" s="70"/>
      <c r="I147" s="71">
        <v>0.05</v>
      </c>
      <c r="J147" s="72">
        <v>1000.0</v>
      </c>
      <c r="K147" s="73" t="s">
        <v>50</v>
      </c>
      <c r="L147" s="73"/>
      <c r="M147" s="73"/>
      <c r="N147" s="74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30.0" customHeight="1">
      <c r="A148" s="68"/>
      <c r="B148" s="68">
        <v>148.0</v>
      </c>
      <c r="C148" s="68"/>
      <c r="D148" s="69" t="str">
        <f>CONCATENATE(PROPER('BIÑAN INFO'!$G148),", ",PROPER('BIÑAN INFO'!$E148)," ",PROPER('BIÑAN INFO'!$F148),"."," (",UPPER('BIÑAN INFO'!$H148),")")</f>
        <v>Movillon, Ma. Sherryl . ()</v>
      </c>
      <c r="E148" s="70" t="s">
        <v>135</v>
      </c>
      <c r="F148" s="70"/>
      <c r="G148" s="70" t="s">
        <v>136</v>
      </c>
      <c r="H148" s="70"/>
      <c r="I148" s="71">
        <v>0.05</v>
      </c>
      <c r="J148" s="72">
        <v>1000.0</v>
      </c>
      <c r="K148" s="73"/>
      <c r="L148" s="73"/>
      <c r="M148" s="73"/>
      <c r="N148" s="74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30.0" customHeight="1">
      <c r="A149" s="68"/>
      <c r="B149" s="68">
        <v>149.0</v>
      </c>
      <c r="C149" s="68"/>
      <c r="D149" s="69" t="str">
        <f>CONCATENATE(PROPER('BIÑAN INFO'!$G149),", ",PROPER('BIÑAN INFO'!$E149)," ",PROPER('BIÑAN INFO'!$F149),"."," (",UPPER('BIÑAN INFO'!$H149),")")</f>
        <v>Brillo, Josephine . ()</v>
      </c>
      <c r="E149" s="70" t="s">
        <v>137</v>
      </c>
      <c r="F149" s="70"/>
      <c r="G149" s="70" t="s">
        <v>138</v>
      </c>
      <c r="H149" s="69"/>
      <c r="I149" s="71">
        <v>0.12</v>
      </c>
      <c r="J149" s="72">
        <v>1000.0</v>
      </c>
      <c r="K149" s="73"/>
      <c r="L149" s="73"/>
      <c r="M149" s="73"/>
      <c r="N149" s="74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30.0" customHeight="1">
      <c r="A150" s="68"/>
      <c r="B150" s="68">
        <v>150.0</v>
      </c>
      <c r="C150" s="68"/>
      <c r="D150" s="69" t="str">
        <f>CONCATENATE(PROPER('BIÑAN INFO'!$G150),", ",PROPER('BIÑAN INFO'!$E150)," ",PROPER('BIÑAN INFO'!$F150),"."," (",UPPER('BIÑAN INFO'!$H150),")")</f>
        <v>, Aillen . ()</v>
      </c>
      <c r="E150" s="70" t="s">
        <v>139</v>
      </c>
      <c r="F150" s="70"/>
      <c r="G150" s="70"/>
      <c r="H150" s="69"/>
      <c r="I150" s="71">
        <v>0.12</v>
      </c>
      <c r="J150" s="72">
        <v>1000.0</v>
      </c>
      <c r="K150" s="73"/>
      <c r="L150" s="73"/>
      <c r="M150" s="73"/>
      <c r="N150" s="74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30.0" customHeight="1">
      <c r="A151" s="68"/>
      <c r="B151" s="68">
        <v>151.0</v>
      </c>
      <c r="C151" s="68"/>
      <c r="D151" s="69" t="str">
        <f>CONCATENATE(PROPER('BIÑAN INFO'!$G151),", ",PROPER('BIÑAN INFO'!$E151)," ",PROPER('BIÑAN INFO'!$F151),"."," (",UPPER('BIÑAN INFO'!$H151),")")</f>
        <v>,  . ()</v>
      </c>
      <c r="E151" s="70"/>
      <c r="F151" s="70"/>
      <c r="G151" s="70"/>
      <c r="H151" s="69"/>
      <c r="I151" s="71">
        <v>0.12</v>
      </c>
      <c r="J151" s="72">
        <v>1000.0</v>
      </c>
      <c r="K151" s="73"/>
      <c r="L151" s="73"/>
      <c r="M151" s="73"/>
      <c r="N151" s="74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30.0" customHeight="1">
      <c r="A152" s="68"/>
      <c r="B152" s="68">
        <v>152.0</v>
      </c>
      <c r="C152" s="68"/>
      <c r="D152" s="69" t="str">
        <f>CONCATENATE(PROPER('BIÑAN INFO'!$G152),", ",PROPER('BIÑAN INFO'!$E152)," ",PROPER('BIÑAN INFO'!$F152),"."," (",UPPER('BIÑAN INFO'!$H152),")")</f>
        <v>,  . ()</v>
      </c>
      <c r="E152" s="70"/>
      <c r="F152" s="70"/>
      <c r="G152" s="70"/>
      <c r="H152" s="69"/>
      <c r="I152" s="71">
        <v>0.12</v>
      </c>
      <c r="J152" s="72">
        <v>1000.0</v>
      </c>
      <c r="K152" s="73"/>
      <c r="L152" s="73"/>
      <c r="M152" s="73"/>
      <c r="N152" s="74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30.0" customHeight="1">
      <c r="A153" s="68"/>
      <c r="B153" s="68">
        <v>153.0</v>
      </c>
      <c r="C153" s="68"/>
      <c r="D153" s="69" t="str">
        <f>CONCATENATE(PROPER('BIÑAN INFO'!$G153),", ",PROPER('BIÑAN INFO'!$E153)," ",PROPER('BIÑAN INFO'!$F153),"."," (",UPPER('BIÑAN INFO'!$H153),")")</f>
        <v>,  . ()</v>
      </c>
      <c r="E153" s="70"/>
      <c r="F153" s="70"/>
      <c r="G153" s="70"/>
      <c r="H153" s="69"/>
      <c r="I153" s="71">
        <v>0.12</v>
      </c>
      <c r="J153" s="72">
        <v>1000.0</v>
      </c>
      <c r="K153" s="73"/>
      <c r="L153" s="73"/>
      <c r="M153" s="73"/>
      <c r="N153" s="74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30.0" customHeight="1">
      <c r="A154" s="68"/>
      <c r="B154" s="68">
        <v>154.0</v>
      </c>
      <c r="C154" s="68"/>
      <c r="D154" s="69" t="str">
        <f>CONCATENATE(PROPER('BIÑAN INFO'!$G154),", ",PROPER('BIÑAN INFO'!$E154)," ",PROPER('BIÑAN INFO'!$F154),"."," (",UPPER('BIÑAN INFO'!$H154),")")</f>
        <v>Irog, Leticia . ()</v>
      </c>
      <c r="E154" s="70" t="s">
        <v>140</v>
      </c>
      <c r="F154" s="70"/>
      <c r="G154" s="70" t="s">
        <v>141</v>
      </c>
      <c r="H154" s="69"/>
      <c r="I154" s="71">
        <v>0.05</v>
      </c>
      <c r="J154" s="72">
        <v>1000.0</v>
      </c>
      <c r="K154" s="73" t="s">
        <v>142</v>
      </c>
      <c r="L154" s="73"/>
      <c r="M154" s="73"/>
      <c r="N154" s="74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30.0" customHeight="1">
      <c r="A155" s="68">
        <v>1008.0</v>
      </c>
      <c r="B155" s="68">
        <v>155.0</v>
      </c>
      <c r="C155" s="68"/>
      <c r="D155" s="69" t="str">
        <f>CONCATENATE(PROPER('BIÑAN INFO'!$G155),", ",PROPER('BIÑAN INFO'!$E155)," ",PROPER('BIÑAN INFO'!$F155),"."," (",UPPER('BIÑAN INFO'!$H155),")")</f>
        <v>Moreno, Aillene . ()</v>
      </c>
      <c r="E155" s="70" t="s">
        <v>143</v>
      </c>
      <c r="F155" s="70"/>
      <c r="G155" s="70" t="s">
        <v>144</v>
      </c>
      <c r="H155" s="69"/>
      <c r="I155" s="71">
        <v>0.05</v>
      </c>
      <c r="J155" s="72">
        <v>1000.0</v>
      </c>
      <c r="K155" s="73"/>
      <c r="L155" s="73"/>
      <c r="M155" s="73"/>
      <c r="N155" s="74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30.0" customHeight="1">
      <c r="A156" s="68"/>
      <c r="B156" s="68">
        <v>156.0</v>
      </c>
      <c r="C156" s="68"/>
      <c r="D156" s="69" t="str">
        <f>CONCATENATE(PROPER('BIÑAN INFO'!$G156),", ",PROPER('BIÑAN INFO'!$E156)," ",PROPER('BIÑAN INFO'!$F156),"."," (",UPPER('BIÑAN INFO'!$H156),")")</f>
        <v>,  . ()</v>
      </c>
      <c r="E156" s="70"/>
      <c r="F156" s="70"/>
      <c r="G156" s="70"/>
      <c r="H156" s="69"/>
      <c r="I156" s="71">
        <v>0.12</v>
      </c>
      <c r="J156" s="72">
        <v>1000.0</v>
      </c>
      <c r="K156" s="73"/>
      <c r="L156" s="73"/>
      <c r="M156" s="73"/>
      <c r="N156" s="74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30.0" customHeight="1">
      <c r="A157" s="68"/>
      <c r="B157" s="68">
        <v>157.0</v>
      </c>
      <c r="C157" s="68"/>
      <c r="D157" s="69" t="str">
        <f>CONCATENATE(PROPER('BIÑAN INFO'!$G157),", ",PROPER('BIÑAN INFO'!$E157)," ",PROPER('BIÑAN INFO'!$F157),"."," (",UPPER('BIÑAN INFO'!$H157),")")</f>
        <v>,  . ()</v>
      </c>
      <c r="E157" s="70"/>
      <c r="F157" s="70"/>
      <c r="G157" s="70"/>
      <c r="H157" s="69"/>
      <c r="I157" s="71">
        <v>0.12</v>
      </c>
      <c r="J157" s="72">
        <v>1000.0</v>
      </c>
      <c r="K157" s="73"/>
      <c r="L157" s="73"/>
      <c r="M157" s="73"/>
      <c r="N157" s="74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30.0" customHeight="1">
      <c r="A158" s="68"/>
      <c r="B158" s="68">
        <v>158.0</v>
      </c>
      <c r="C158" s="68"/>
      <c r="D158" s="69" t="str">
        <f>CONCATENATE(PROPER('BIÑAN INFO'!$G158),", ",PROPER('BIÑAN INFO'!$E158)," ",PROPER('BIÑAN INFO'!$F158),"."," (",UPPER('BIÑAN INFO'!$H158),")")</f>
        <v>Villamor, Randy . ()</v>
      </c>
      <c r="E158" s="70" t="s">
        <v>145</v>
      </c>
      <c r="F158" s="70"/>
      <c r="G158" s="70" t="s">
        <v>146</v>
      </c>
      <c r="H158" s="69"/>
      <c r="I158" s="71">
        <v>0.05</v>
      </c>
      <c r="J158" s="72">
        <v>1000.0</v>
      </c>
      <c r="K158" s="73"/>
      <c r="L158" s="73"/>
      <c r="M158" s="73"/>
      <c r="N158" s="74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30.0" customHeight="1">
      <c r="A159" s="68"/>
      <c r="B159" s="68">
        <v>159.0</v>
      </c>
      <c r="C159" s="68"/>
      <c r="D159" s="69" t="str">
        <f>CONCATENATE(PROPER('BIÑAN INFO'!$G159),", ",PROPER('BIÑAN INFO'!$E159)," ",PROPER('BIÑAN INFO'!$F159),"."," (",UPPER('BIÑAN INFO'!$H159),")")</f>
        <v>Villamor, Elvira . ()</v>
      </c>
      <c r="E159" s="70" t="s">
        <v>147</v>
      </c>
      <c r="F159" s="70"/>
      <c r="G159" s="70" t="s">
        <v>146</v>
      </c>
      <c r="H159" s="69"/>
      <c r="I159" s="71">
        <v>0.05</v>
      </c>
      <c r="J159" s="72">
        <v>1000.0</v>
      </c>
      <c r="K159" s="73"/>
      <c r="L159" s="73"/>
      <c r="M159" s="73"/>
      <c r="N159" s="74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30.0" customHeight="1">
      <c r="A160" s="68"/>
      <c r="B160" s="68">
        <v>160.0</v>
      </c>
      <c r="C160" s="68"/>
      <c r="D160" s="69" t="str">
        <f>CONCATENATE(PROPER('BIÑAN INFO'!$G160),", ",PROPER('BIÑAN INFO'!$E160)," ",PROPER('BIÑAN INFO'!$F160),"."," (",UPPER('BIÑAN INFO'!$H160),")")</f>
        <v>Gimongala, Elenita . ()</v>
      </c>
      <c r="E160" s="70" t="s">
        <v>148</v>
      </c>
      <c r="F160" s="70"/>
      <c r="G160" s="70" t="s">
        <v>149</v>
      </c>
      <c r="H160" s="69"/>
      <c r="I160" s="71">
        <v>0.05</v>
      </c>
      <c r="J160" s="72">
        <v>1000.0</v>
      </c>
      <c r="K160" s="73"/>
      <c r="L160" s="73"/>
      <c r="M160" s="73"/>
      <c r="N160" s="74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30.0" customHeight="1">
      <c r="A161" s="68"/>
      <c r="B161" s="68">
        <v>161.0</v>
      </c>
      <c r="C161" s="68"/>
      <c r="D161" s="69" t="str">
        <f>CONCATENATE(PROPER('BIÑAN INFO'!$G161),", ",PROPER('BIÑAN INFO'!$E161)," ",PROPER('BIÑAN INFO'!$F161),"."," (",UPPER('BIÑAN INFO'!$H161),")")</f>
        <v>Lantican, Alex . ()</v>
      </c>
      <c r="E161" s="70" t="s">
        <v>82</v>
      </c>
      <c r="F161" s="70"/>
      <c r="G161" s="70" t="s">
        <v>150</v>
      </c>
      <c r="H161" s="69"/>
      <c r="I161" s="71">
        <v>0.12</v>
      </c>
      <c r="J161" s="72">
        <v>1000.0</v>
      </c>
      <c r="K161" s="73"/>
      <c r="L161" s="73"/>
      <c r="M161" s="73"/>
      <c r="N161" s="74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30.0" customHeight="1">
      <c r="A162" s="68"/>
      <c r="B162" s="68">
        <v>162.0</v>
      </c>
      <c r="C162" s="68"/>
      <c r="D162" s="69" t="str">
        <f>CONCATENATE(PROPER('BIÑAN INFO'!$G162),", ",PROPER('BIÑAN INFO'!$E162)," ",PROPER('BIÑAN INFO'!$F162),"."," (",UPPER('BIÑAN INFO'!$H162),")")</f>
        <v>,  . ()</v>
      </c>
      <c r="E162" s="70"/>
      <c r="F162" s="70"/>
      <c r="G162" s="70"/>
      <c r="H162" s="69"/>
      <c r="I162" s="71">
        <v>0.12</v>
      </c>
      <c r="J162" s="72">
        <v>1000.0</v>
      </c>
      <c r="K162" s="73"/>
      <c r="L162" s="73"/>
      <c r="M162" s="73"/>
      <c r="N162" s="74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30.0" customHeight="1">
      <c r="A163" s="68"/>
      <c r="B163" s="68">
        <v>163.0</v>
      </c>
      <c r="C163" s="68"/>
      <c r="D163" s="69" t="str">
        <f>CONCATENATE(PROPER('BIÑAN INFO'!$G163),", ",PROPER('BIÑAN INFO'!$E163)," ",PROPER('BIÑAN INFO'!$F163),"."," (",UPPER('BIÑAN INFO'!$H163),")")</f>
        <v>,  . ()</v>
      </c>
      <c r="E163" s="70"/>
      <c r="F163" s="70"/>
      <c r="G163" s="70"/>
      <c r="H163" s="69"/>
      <c r="I163" s="71">
        <v>0.12</v>
      </c>
      <c r="J163" s="72">
        <v>1000.0</v>
      </c>
      <c r="K163" s="73"/>
      <c r="L163" s="73"/>
      <c r="M163" s="73"/>
      <c r="N163" s="74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30.0" customHeight="1">
      <c r="A164" s="68"/>
      <c r="B164" s="68">
        <v>164.0</v>
      </c>
      <c r="C164" s="68"/>
      <c r="D164" s="69" t="str">
        <f>CONCATENATE(PROPER('BIÑAN INFO'!$G164),", ",PROPER('BIÑAN INFO'!$E164)," ",PROPER('BIÑAN INFO'!$F164),"."," (",UPPER('BIÑAN INFO'!$H164),")")</f>
        <v>,  . ()</v>
      </c>
      <c r="E164" s="70"/>
      <c r="F164" s="70"/>
      <c r="G164" s="70"/>
      <c r="H164" s="69"/>
      <c r="I164" s="71">
        <v>0.12</v>
      </c>
      <c r="J164" s="72">
        <v>1000.0</v>
      </c>
      <c r="K164" s="73"/>
      <c r="L164" s="73"/>
      <c r="M164" s="73"/>
      <c r="N164" s="74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30.0" customHeight="1">
      <c r="A165" s="68"/>
      <c r="B165" s="68">
        <v>165.0</v>
      </c>
      <c r="C165" s="68"/>
      <c r="D165" s="69" t="str">
        <f>CONCATENATE(PROPER('BIÑAN INFO'!$G165),", ",PROPER('BIÑAN INFO'!$E165)," ",PROPER('BIÑAN INFO'!$F165),"."," (",UPPER('BIÑAN INFO'!$H165),")")</f>
        <v>,  . ()</v>
      </c>
      <c r="E165" s="70"/>
      <c r="F165" s="70"/>
      <c r="G165" s="70"/>
      <c r="H165" s="69"/>
      <c r="I165" s="71">
        <v>0.12</v>
      </c>
      <c r="J165" s="72">
        <v>1000.0</v>
      </c>
      <c r="K165" s="73"/>
      <c r="L165" s="73"/>
      <c r="M165" s="73"/>
      <c r="N165" s="74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30.0" customHeight="1">
      <c r="A166" s="68"/>
      <c r="B166" s="68">
        <v>166.0</v>
      </c>
      <c r="C166" s="68"/>
      <c r="D166" s="69" t="str">
        <f>CONCATENATE(PROPER('BIÑAN INFO'!$G166),", ",PROPER('BIÑAN INFO'!$E166)," ",PROPER('BIÑAN INFO'!$F166),"."," (",UPPER('BIÑAN INFO'!$H166),")")</f>
        <v>,  . ()</v>
      </c>
      <c r="E166" s="70"/>
      <c r="F166" s="70"/>
      <c r="G166" s="70"/>
      <c r="H166" s="69"/>
      <c r="I166" s="71">
        <v>0.12</v>
      </c>
      <c r="J166" s="72">
        <v>1000.0</v>
      </c>
      <c r="K166" s="73"/>
      <c r="L166" s="73"/>
      <c r="M166" s="73"/>
      <c r="N166" s="74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30.0" customHeight="1">
      <c r="A167" s="68"/>
      <c r="B167" s="68">
        <v>167.0</v>
      </c>
      <c r="C167" s="68"/>
      <c r="D167" s="69" t="str">
        <f>CONCATENATE(PROPER('BIÑAN INFO'!$G167),", ",PROPER('BIÑAN INFO'!$E167)," ",PROPER('BIÑAN INFO'!$F167),"."," (",UPPER('BIÑAN INFO'!$H167),")")</f>
        <v>,  . ()</v>
      </c>
      <c r="E167" s="70"/>
      <c r="F167" s="70"/>
      <c r="G167" s="70"/>
      <c r="H167" s="69"/>
      <c r="I167" s="71">
        <v>0.12</v>
      </c>
      <c r="J167" s="72">
        <v>1000.0</v>
      </c>
      <c r="K167" s="73"/>
      <c r="L167" s="73"/>
      <c r="M167" s="73"/>
      <c r="N167" s="74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30.0" customHeight="1">
      <c r="A168" s="68"/>
      <c r="B168" s="68">
        <v>168.0</v>
      </c>
      <c r="C168" s="68"/>
      <c r="D168" s="69" t="str">
        <f>CONCATENATE(PROPER('BIÑAN INFO'!$G168),", ",PROPER('BIÑAN INFO'!$E168)," ",PROPER('BIÑAN INFO'!$F168),"."," (",UPPER('BIÑAN INFO'!$H168),")")</f>
        <v>,  . ()</v>
      </c>
      <c r="E168" s="70"/>
      <c r="F168" s="70"/>
      <c r="G168" s="70"/>
      <c r="H168" s="69"/>
      <c r="I168" s="71">
        <v>0.12</v>
      </c>
      <c r="J168" s="72">
        <v>1000.0</v>
      </c>
      <c r="K168" s="73"/>
      <c r="L168" s="73"/>
      <c r="M168" s="73"/>
      <c r="N168" s="74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30.0" customHeight="1">
      <c r="A169" s="68"/>
      <c r="B169" s="68">
        <v>169.0</v>
      </c>
      <c r="C169" s="68"/>
      <c r="D169" s="69" t="str">
        <f>CONCATENATE(PROPER('BIÑAN INFO'!$G169),", ",PROPER('BIÑAN INFO'!$E169)," ",PROPER('BIÑAN INFO'!$F169),"."," (",UPPER('BIÑAN INFO'!$H169),")")</f>
        <v>Albrecht, Analyn . ()</v>
      </c>
      <c r="E169" s="70" t="s">
        <v>151</v>
      </c>
      <c r="F169" s="70"/>
      <c r="G169" s="70" t="s">
        <v>152</v>
      </c>
      <c r="H169" s="69"/>
      <c r="I169" s="71">
        <v>0.12</v>
      </c>
      <c r="J169" s="72">
        <v>1000.0</v>
      </c>
      <c r="K169" s="73"/>
      <c r="L169" s="73"/>
      <c r="M169" s="73"/>
      <c r="N169" s="74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30.0" customHeight="1">
      <c r="A170" s="68"/>
      <c r="B170" s="68">
        <v>170.0</v>
      </c>
      <c r="C170" s="68"/>
      <c r="D170" s="69" t="str">
        <f>CONCATENATE(PROPER('BIÑAN INFO'!$G170),", ",PROPER('BIÑAN INFO'!$E170)," ",PROPER('BIÑAN INFO'!$F170),"."," (",UPPER('BIÑAN INFO'!$H170),")")</f>
        <v>Avendaño, Crispin . ()</v>
      </c>
      <c r="E170" s="70" t="s">
        <v>153</v>
      </c>
      <c r="F170" s="70"/>
      <c r="G170" s="70" t="s">
        <v>154</v>
      </c>
      <c r="H170" s="69"/>
      <c r="I170" s="71">
        <v>0.12</v>
      </c>
      <c r="J170" s="72">
        <v>1000.0</v>
      </c>
      <c r="K170" s="73"/>
      <c r="L170" s="73"/>
      <c r="M170" s="73"/>
      <c r="N170" s="74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30.0" customHeight="1">
      <c r="A171" s="68"/>
      <c r="B171" s="68">
        <v>171.0</v>
      </c>
      <c r="C171" s="68"/>
      <c r="D171" s="69" t="str">
        <f>CONCATENATE(PROPER('BIÑAN INFO'!$G171),", ",PROPER('BIÑAN INFO'!$E171)," ",PROPER('BIÑAN INFO'!$F171),"."," (",UPPER('BIÑAN INFO'!$H171),")")</f>
        <v>Sobremante, George . ()</v>
      </c>
      <c r="E171" s="70" t="s">
        <v>155</v>
      </c>
      <c r="F171" s="70"/>
      <c r="G171" s="70" t="s">
        <v>156</v>
      </c>
      <c r="H171" s="69"/>
      <c r="I171" s="71">
        <v>0.05</v>
      </c>
      <c r="J171" s="72">
        <v>1000.0</v>
      </c>
      <c r="K171" s="73" t="s">
        <v>157</v>
      </c>
      <c r="L171" s="73"/>
      <c r="M171" s="73"/>
      <c r="N171" s="74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30.0" customHeight="1">
      <c r="A172" s="68"/>
      <c r="B172" s="68">
        <v>172.0</v>
      </c>
      <c r="C172" s="68"/>
      <c r="D172" s="69" t="str">
        <f>CONCATENATE(PROPER('BIÑAN INFO'!$G172),", ",PROPER('BIÑAN INFO'!$E172)," ",PROPER('BIÑAN INFO'!$F172),"."," (",UPPER('BIÑAN INFO'!$H172),")")</f>
        <v>,  . ()</v>
      </c>
      <c r="E172" s="70"/>
      <c r="F172" s="70"/>
      <c r="G172" s="70"/>
      <c r="H172" s="69"/>
      <c r="I172" s="71">
        <v>0.12</v>
      </c>
      <c r="J172" s="72">
        <v>1000.0</v>
      </c>
      <c r="K172" s="73"/>
      <c r="L172" s="73"/>
      <c r="M172" s="73"/>
      <c r="N172" s="74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30.0" customHeight="1">
      <c r="A173" s="68"/>
      <c r="B173" s="68">
        <v>173.0</v>
      </c>
      <c r="C173" s="68"/>
      <c r="D173" s="69" t="str">
        <f>CONCATENATE(PROPER('BIÑAN INFO'!$G173),", ",PROPER('BIÑAN INFO'!$E173)," ",PROPER('BIÑAN INFO'!$F173),"."," (",UPPER('BIÑAN INFO'!$H173),")")</f>
        <v>,  . ()</v>
      </c>
      <c r="E173" s="70"/>
      <c r="F173" s="70"/>
      <c r="G173" s="70"/>
      <c r="H173" s="69"/>
      <c r="I173" s="71">
        <v>0.12</v>
      </c>
      <c r="J173" s="72">
        <v>1000.0</v>
      </c>
      <c r="K173" s="73"/>
      <c r="L173" s="73"/>
      <c r="M173" s="73"/>
      <c r="N173" s="74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30.0" customHeight="1">
      <c r="A174" s="68"/>
      <c r="B174" s="68">
        <v>174.0</v>
      </c>
      <c r="C174" s="68"/>
      <c r="D174" s="69" t="str">
        <f>CONCATENATE(PROPER('BIÑAN INFO'!$G174),", ",PROPER('BIÑAN INFO'!$E174)," ",PROPER('BIÑAN INFO'!$F174),"."," (",UPPER('BIÑAN INFO'!$H174),")")</f>
        <v>,  . ()</v>
      </c>
      <c r="E174" s="70"/>
      <c r="F174" s="70"/>
      <c r="G174" s="70"/>
      <c r="H174" s="69"/>
      <c r="I174" s="71">
        <v>0.12</v>
      </c>
      <c r="J174" s="72">
        <v>1000.0</v>
      </c>
      <c r="K174" s="73"/>
      <c r="L174" s="73"/>
      <c r="M174" s="73"/>
      <c r="N174" s="74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30.0" customHeight="1">
      <c r="A175" s="68"/>
      <c r="B175" s="68">
        <v>175.0</v>
      </c>
      <c r="C175" s="68"/>
      <c r="D175" s="69" t="str">
        <f>CONCATENATE(PROPER('BIÑAN INFO'!$G175),", ",PROPER('BIÑAN INFO'!$E175)," ",PROPER('BIÑAN INFO'!$F175),"."," (",UPPER('BIÑAN INFO'!$H175),")")</f>
        <v>,  . ()</v>
      </c>
      <c r="E175" s="70"/>
      <c r="F175" s="70"/>
      <c r="G175" s="70"/>
      <c r="H175" s="69"/>
      <c r="I175" s="71">
        <v>0.12</v>
      </c>
      <c r="J175" s="72">
        <v>1000.0</v>
      </c>
      <c r="K175" s="73"/>
      <c r="L175" s="73"/>
      <c r="M175" s="73"/>
      <c r="N175" s="74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30.0" customHeight="1">
      <c r="A176" s="68"/>
      <c r="B176" s="68">
        <v>176.0</v>
      </c>
      <c r="C176" s="68"/>
      <c r="D176" s="69" t="str">
        <f>CONCATENATE(PROPER('BIÑAN INFO'!$G176),", ",PROPER('BIÑAN INFO'!$E176)," ",PROPER('BIÑAN INFO'!$F176),"."," (",UPPER('BIÑAN INFO'!$H176),")")</f>
        <v>,  . ()</v>
      </c>
      <c r="E176" s="70"/>
      <c r="F176" s="70"/>
      <c r="G176" s="70"/>
      <c r="H176" s="69"/>
      <c r="I176" s="71">
        <v>0.12</v>
      </c>
      <c r="J176" s="72">
        <v>1000.0</v>
      </c>
      <c r="K176" s="73"/>
      <c r="L176" s="73"/>
      <c r="M176" s="73"/>
      <c r="N176" s="74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30.0" customHeight="1">
      <c r="A177" s="68"/>
      <c r="B177" s="68">
        <v>177.0</v>
      </c>
      <c r="C177" s="68"/>
      <c r="D177" s="69" t="str">
        <f>CONCATENATE(PROPER('BIÑAN INFO'!$G177),", ",PROPER('BIÑAN INFO'!$E177)," ",PROPER('BIÑAN INFO'!$F177),"."," (",UPPER('BIÑAN INFO'!$H177),")")</f>
        <v>,  . ()</v>
      </c>
      <c r="E177" s="70"/>
      <c r="F177" s="70"/>
      <c r="G177" s="70"/>
      <c r="H177" s="69"/>
      <c r="I177" s="71">
        <v>0.12</v>
      </c>
      <c r="J177" s="72">
        <v>1000.0</v>
      </c>
      <c r="K177" s="73"/>
      <c r="L177" s="73"/>
      <c r="M177" s="73"/>
      <c r="N177" s="74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30.0" customHeight="1">
      <c r="A178" s="68"/>
      <c r="B178" s="68">
        <v>178.0</v>
      </c>
      <c r="C178" s="68"/>
      <c r="D178" s="69" t="str">
        <f>CONCATENATE(PROPER('BIÑAN INFO'!$G178),", ",PROPER('BIÑAN INFO'!$E178)," ",PROPER('BIÑAN INFO'!$F178),"."," (",UPPER('BIÑAN INFO'!$H178),")")</f>
        <v>,  . ()</v>
      </c>
      <c r="E178" s="70"/>
      <c r="F178" s="70"/>
      <c r="G178" s="70"/>
      <c r="H178" s="69"/>
      <c r="I178" s="71">
        <v>0.12</v>
      </c>
      <c r="J178" s="72">
        <v>1000.0</v>
      </c>
      <c r="K178" s="73"/>
      <c r="L178" s="73"/>
      <c r="M178" s="73"/>
      <c r="N178" s="74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30.0" customHeight="1">
      <c r="A179" s="68"/>
      <c r="B179" s="68">
        <v>179.0</v>
      </c>
      <c r="C179" s="68"/>
      <c r="D179" s="69" t="str">
        <f>CONCATENATE(PROPER('BIÑAN INFO'!$G179),", ",PROPER('BIÑAN INFO'!$E179)," ",PROPER('BIÑAN INFO'!$F179),"."," (",UPPER('BIÑAN INFO'!$H179),")")</f>
        <v>,  . ()</v>
      </c>
      <c r="E179" s="70"/>
      <c r="F179" s="70"/>
      <c r="G179" s="70"/>
      <c r="H179" s="69"/>
      <c r="I179" s="71">
        <v>0.12</v>
      </c>
      <c r="J179" s="72">
        <v>1000.0</v>
      </c>
      <c r="K179" s="73"/>
      <c r="L179" s="73"/>
      <c r="M179" s="73"/>
      <c r="N179" s="74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30.0" customHeight="1">
      <c r="A180" s="68"/>
      <c r="B180" s="68">
        <v>180.0</v>
      </c>
      <c r="C180" s="68"/>
      <c r="D180" s="69" t="str">
        <f>CONCATENATE(PROPER('BIÑAN INFO'!$G180),", ",PROPER('BIÑAN INFO'!$E180)," ",PROPER('BIÑAN INFO'!$F180),"."," (",UPPER('BIÑAN INFO'!$H180),")")</f>
        <v>Bagoud, Garson . ()</v>
      </c>
      <c r="E180" s="70" t="s">
        <v>158</v>
      </c>
      <c r="F180" s="70"/>
      <c r="G180" s="70" t="s">
        <v>159</v>
      </c>
      <c r="H180" s="69"/>
      <c r="I180" s="71">
        <v>0.12</v>
      </c>
      <c r="J180" s="72">
        <v>1000.0</v>
      </c>
      <c r="K180" s="73"/>
      <c r="L180" s="73"/>
      <c r="M180" s="73"/>
      <c r="N180" s="74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30.0" customHeight="1">
      <c r="A181" s="68"/>
      <c r="B181" s="68">
        <v>181.0</v>
      </c>
      <c r="C181" s="68"/>
      <c r="D181" s="69" t="str">
        <f>CONCATENATE(PROPER('BIÑAN INFO'!$G181),", ",PROPER('BIÑAN INFO'!$E181)," ",PROPER('BIÑAN INFO'!$F181),"."," (",UPPER('BIÑAN INFO'!$H181),")")</f>
        <v>Barite, James Earl . ()</v>
      </c>
      <c r="E181" s="70" t="s">
        <v>160</v>
      </c>
      <c r="F181" s="70"/>
      <c r="G181" s="70" t="s">
        <v>161</v>
      </c>
      <c r="H181" s="69"/>
      <c r="I181" s="71">
        <v>0.12</v>
      </c>
      <c r="J181" s="72">
        <v>1000.0</v>
      </c>
      <c r="K181" s="73"/>
      <c r="L181" s="73"/>
      <c r="M181" s="73"/>
      <c r="N181" s="74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30.0" customHeight="1">
      <c r="A182" s="68"/>
      <c r="B182" s="68">
        <v>182.0</v>
      </c>
      <c r="C182" s="68"/>
      <c r="D182" s="69" t="str">
        <f>CONCATENATE(PROPER('BIÑAN INFO'!$G182),", ",PROPER('BIÑAN INFO'!$E182)," ",PROPER('BIÑAN INFO'!$F182),"."," (",UPPER('BIÑAN INFO'!$H182),")")</f>
        <v>De Lara, Daisy . ()</v>
      </c>
      <c r="E182" s="70" t="s">
        <v>162</v>
      </c>
      <c r="F182" s="70"/>
      <c r="G182" s="70" t="s">
        <v>163</v>
      </c>
      <c r="H182" s="69"/>
      <c r="I182" s="71">
        <v>0.05</v>
      </c>
      <c r="J182" s="72">
        <v>1000.0</v>
      </c>
      <c r="K182" s="73" t="s">
        <v>50</v>
      </c>
      <c r="L182" s="73"/>
      <c r="M182" s="73"/>
      <c r="N182" s="74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30.0" customHeight="1">
      <c r="A183" s="68"/>
      <c r="B183" s="68">
        <v>183.0</v>
      </c>
      <c r="C183" s="68"/>
      <c r="D183" s="69" t="str">
        <f>CONCATENATE(PROPER('BIÑAN INFO'!$G183),", ",PROPER('BIÑAN INFO'!$E183)," ",PROPER('BIÑAN INFO'!$F183),"."," (",UPPER('BIÑAN INFO'!$H183),")")</f>
        <v>,  . ()</v>
      </c>
      <c r="E183" s="70"/>
      <c r="F183" s="70"/>
      <c r="G183" s="70"/>
      <c r="H183" s="69"/>
      <c r="I183" s="71">
        <v>0.05</v>
      </c>
      <c r="J183" s="72">
        <v>5000.0</v>
      </c>
      <c r="K183" s="73" t="s">
        <v>50</v>
      </c>
      <c r="L183" s="73" t="s">
        <v>106</v>
      </c>
      <c r="M183" s="73"/>
      <c r="N183" s="74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30.0" customHeight="1">
      <c r="A184" s="68"/>
      <c r="B184" s="68">
        <v>184.0</v>
      </c>
      <c r="C184" s="68"/>
      <c r="D184" s="69" t="str">
        <f>CONCATENATE(PROPER('BIÑAN INFO'!$G184),", ",PROPER('BIÑAN INFO'!$E184)," ",PROPER('BIÑAN INFO'!$F184),"."," (",UPPER('BIÑAN INFO'!$H184),")")</f>
        <v>De Lara, Coy . ()</v>
      </c>
      <c r="E184" s="70" t="s">
        <v>164</v>
      </c>
      <c r="F184" s="70"/>
      <c r="G184" s="70" t="s">
        <v>163</v>
      </c>
      <c r="H184" s="69"/>
      <c r="I184" s="71">
        <v>0.05</v>
      </c>
      <c r="J184" s="72">
        <v>1000.0</v>
      </c>
      <c r="K184" s="73"/>
      <c r="L184" s="73"/>
      <c r="M184" s="73"/>
      <c r="N184" s="74" t="s">
        <v>165</v>
      </c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30.0" customHeight="1">
      <c r="A185" s="68"/>
      <c r="B185" s="68">
        <v>185.0</v>
      </c>
      <c r="C185" s="68"/>
      <c r="D185" s="69" t="str">
        <f>CONCATENATE(PROPER('BIÑAN INFO'!$G185),", ",PROPER('BIÑAN INFO'!$E185)," ",PROPER('BIÑAN INFO'!$F185),"."," (",UPPER('BIÑAN INFO'!$H185),")")</f>
        <v>Abella, Adolfo . ()</v>
      </c>
      <c r="E185" s="70" t="s">
        <v>166</v>
      </c>
      <c r="F185" s="70"/>
      <c r="G185" s="70" t="s">
        <v>167</v>
      </c>
      <c r="H185" s="69"/>
      <c r="I185" s="71">
        <v>0.05</v>
      </c>
      <c r="J185" s="72">
        <v>1000.0</v>
      </c>
      <c r="K185" s="73"/>
      <c r="L185" s="73"/>
      <c r="M185" s="73"/>
      <c r="N185" s="74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30.0" customHeight="1">
      <c r="A186" s="68"/>
      <c r="B186" s="68">
        <v>186.0</v>
      </c>
      <c r="C186" s="68"/>
      <c r="D186" s="69" t="str">
        <f>CONCATENATE(PROPER('BIÑAN INFO'!$G186),", ",PROPER('BIÑAN INFO'!$E186)," ",PROPER('BIÑAN INFO'!$F186),"."," (",UPPER('BIÑAN INFO'!$H186),")")</f>
        <v>,  . ()</v>
      </c>
      <c r="E186" s="70"/>
      <c r="F186" s="70"/>
      <c r="G186" s="70"/>
      <c r="H186" s="69"/>
      <c r="I186" s="71">
        <v>0.12</v>
      </c>
      <c r="J186" s="72">
        <v>1000.0</v>
      </c>
      <c r="K186" s="73"/>
      <c r="L186" s="73"/>
      <c r="M186" s="73"/>
      <c r="N186" s="74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30.0" customHeight="1">
      <c r="A187" s="68"/>
      <c r="B187" s="68">
        <v>187.0</v>
      </c>
      <c r="C187" s="68"/>
      <c r="D187" s="69" t="str">
        <f>CONCATENATE(PROPER('BIÑAN INFO'!$G187),", ",PROPER('BIÑAN INFO'!$E187)," ",PROPER('BIÑAN INFO'!$F187),"."," (",UPPER('BIÑAN INFO'!$H187),")")</f>
        <v>,  . ()</v>
      </c>
      <c r="E187" s="70"/>
      <c r="F187" s="70"/>
      <c r="G187" s="70"/>
      <c r="H187" s="69"/>
      <c r="I187" s="71">
        <v>0.12</v>
      </c>
      <c r="J187" s="72">
        <v>1000.0</v>
      </c>
      <c r="K187" s="73"/>
      <c r="L187" s="73"/>
      <c r="M187" s="73"/>
      <c r="N187" s="74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30.0" customHeight="1">
      <c r="A188" s="68"/>
      <c r="B188" s="68">
        <v>188.0</v>
      </c>
      <c r="C188" s="68"/>
      <c r="D188" s="69" t="str">
        <f>CONCATENATE(PROPER('BIÑAN INFO'!$G188),", ",PROPER('BIÑAN INFO'!$E188)," ",PROPER('BIÑAN INFO'!$F188),"."," (",UPPER('BIÑAN INFO'!$H188),")")</f>
        <v>Janone, Illhenney . ()</v>
      </c>
      <c r="E188" s="70" t="s">
        <v>168</v>
      </c>
      <c r="F188" s="70"/>
      <c r="G188" s="70" t="s">
        <v>169</v>
      </c>
      <c r="H188" s="69"/>
      <c r="I188" s="71">
        <v>0.12</v>
      </c>
      <c r="J188" s="72">
        <v>1000.0</v>
      </c>
      <c r="K188" s="73"/>
      <c r="L188" s="73"/>
      <c r="M188" s="73"/>
      <c r="N188" s="74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30.0" customHeight="1">
      <c r="A189" s="68"/>
      <c r="B189" s="68">
        <v>189.0</v>
      </c>
      <c r="C189" s="68"/>
      <c r="D189" s="69" t="str">
        <f>CONCATENATE(PROPER('BIÑAN INFO'!$G189),", ",PROPER('BIÑAN INFO'!$E189)," ",PROPER('BIÑAN INFO'!$F189),"."," (",UPPER('BIÑAN INFO'!$H189),")")</f>
        <v>Boregon, Haide . ()</v>
      </c>
      <c r="E189" s="70" t="s">
        <v>170</v>
      </c>
      <c r="F189" s="70"/>
      <c r="G189" s="70" t="s">
        <v>171</v>
      </c>
      <c r="H189" s="69"/>
      <c r="I189" s="71">
        <v>0.05</v>
      </c>
      <c r="J189" s="72">
        <v>1000.0</v>
      </c>
      <c r="K189" s="73"/>
      <c r="L189" s="73"/>
      <c r="M189" s="73"/>
      <c r="N189" s="74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30.0" customHeight="1">
      <c r="A190" s="68"/>
      <c r="B190" s="68">
        <v>190.0</v>
      </c>
      <c r="C190" s="68"/>
      <c r="D190" s="69" t="str">
        <f>CONCATENATE(PROPER('BIÑAN INFO'!$G190),", ",PROPER('BIÑAN INFO'!$E190)," ",PROPER('BIÑAN INFO'!$F190),"."," (",UPPER('BIÑAN INFO'!$H190),")")</f>
        <v>,  . ()</v>
      </c>
      <c r="E190" s="70"/>
      <c r="F190" s="70"/>
      <c r="G190" s="70"/>
      <c r="H190" s="69"/>
      <c r="I190" s="71">
        <v>0.12</v>
      </c>
      <c r="J190" s="72">
        <v>1000.0</v>
      </c>
      <c r="K190" s="73"/>
      <c r="L190" s="73"/>
      <c r="M190" s="73"/>
      <c r="N190" s="74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30.0" customHeight="1">
      <c r="A191" s="68"/>
      <c r="B191" s="68">
        <v>191.0</v>
      </c>
      <c r="C191" s="68"/>
      <c r="D191" s="69" t="str">
        <f>CONCATENATE(PROPER('BIÑAN INFO'!$G191),", ",PROPER('BIÑAN INFO'!$E191)," ",PROPER('BIÑAN INFO'!$F191),"."," (",UPPER('BIÑAN INFO'!$H191),")")</f>
        <v>,  . ()</v>
      </c>
      <c r="E191" s="70"/>
      <c r="F191" s="70"/>
      <c r="G191" s="70"/>
      <c r="H191" s="69"/>
      <c r="I191" s="71">
        <v>0.12</v>
      </c>
      <c r="J191" s="72">
        <v>1000.0</v>
      </c>
      <c r="K191" s="73"/>
      <c r="L191" s="73"/>
      <c r="M191" s="73"/>
      <c r="N191" s="74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30.0" customHeight="1">
      <c r="A192" s="68"/>
      <c r="B192" s="68">
        <v>192.0</v>
      </c>
      <c r="C192" s="68"/>
      <c r="D192" s="69" t="str">
        <f>CONCATENATE(PROPER('BIÑAN INFO'!$G192),", ",PROPER('BIÑAN INFO'!$E192)," ",PROPER('BIÑAN INFO'!$F192),"."," (",UPPER('BIÑAN INFO'!$H192),")")</f>
        <v>Fornal, Jenefer . ()</v>
      </c>
      <c r="E192" s="70" t="s">
        <v>172</v>
      </c>
      <c r="F192" s="70"/>
      <c r="G192" s="70" t="s">
        <v>173</v>
      </c>
      <c r="H192" s="69"/>
      <c r="I192" s="71">
        <v>0.05</v>
      </c>
      <c r="J192" s="72">
        <v>1000.0</v>
      </c>
      <c r="K192" s="73"/>
      <c r="L192" s="73"/>
      <c r="M192" s="73"/>
      <c r="N192" s="74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30.0" customHeight="1">
      <c r="A193" s="68"/>
      <c r="B193" s="68">
        <v>193.0</v>
      </c>
      <c r="C193" s="68"/>
      <c r="D193" s="69" t="str">
        <f>CONCATENATE(PROPER('BIÑAN INFO'!$G193),", ",PROPER('BIÑAN INFO'!$E193)," ",PROPER('BIÑAN INFO'!$F193),"."," (",UPPER('BIÑAN INFO'!$H193),")")</f>
        <v>,  . ()</v>
      </c>
      <c r="E193" s="70"/>
      <c r="F193" s="70"/>
      <c r="G193" s="70"/>
      <c r="H193" s="69"/>
      <c r="I193" s="71">
        <v>0.12</v>
      </c>
      <c r="J193" s="72">
        <v>1000.0</v>
      </c>
      <c r="K193" s="73"/>
      <c r="L193" s="73"/>
      <c r="M193" s="73"/>
      <c r="N193" s="74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30.0" customHeight="1">
      <c r="A194" s="68"/>
      <c r="B194" s="68">
        <v>194.0</v>
      </c>
      <c r="C194" s="68"/>
      <c r="D194" s="69" t="str">
        <f>CONCATENATE(PROPER('BIÑAN INFO'!$G194),", ",PROPER('BIÑAN INFO'!$E194)," ",PROPER('BIÑAN INFO'!$F194),"."," (",UPPER('BIÑAN INFO'!$H194),")")</f>
        <v>,  . ()</v>
      </c>
      <c r="E194" s="70"/>
      <c r="F194" s="70"/>
      <c r="G194" s="70"/>
      <c r="H194" s="69"/>
      <c r="I194" s="71">
        <v>0.12</v>
      </c>
      <c r="J194" s="72">
        <v>1000.0</v>
      </c>
      <c r="K194" s="73"/>
      <c r="L194" s="73"/>
      <c r="M194" s="73"/>
      <c r="N194" s="74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30.0" customHeight="1">
      <c r="A195" s="68"/>
      <c r="B195" s="68">
        <v>195.0</v>
      </c>
      <c r="C195" s="68"/>
      <c r="D195" s="69" t="str">
        <f>CONCATENATE(PROPER('BIÑAN INFO'!$G195),", ",PROPER('BIÑAN INFO'!$E195)," ",PROPER('BIÑAN INFO'!$F195),"."," (",UPPER('BIÑAN INFO'!$H195),")")</f>
        <v>,  . ()</v>
      </c>
      <c r="E195" s="70"/>
      <c r="F195" s="70"/>
      <c r="G195" s="70"/>
      <c r="H195" s="69"/>
      <c r="I195" s="71">
        <v>0.12</v>
      </c>
      <c r="J195" s="72">
        <v>1000.0</v>
      </c>
      <c r="K195" s="73"/>
      <c r="L195" s="73"/>
      <c r="M195" s="73"/>
      <c r="N195" s="74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30.0" customHeight="1">
      <c r="A196" s="68"/>
      <c r="B196" s="68">
        <v>196.0</v>
      </c>
      <c r="C196" s="68"/>
      <c r="D196" s="69" t="str">
        <f>CONCATENATE(PROPER('BIÑAN INFO'!$G196),", ",PROPER('BIÑAN INFO'!$E196)," ",PROPER('BIÑAN INFO'!$F196),"."," (",UPPER('BIÑAN INFO'!$H196),")")</f>
        <v>Bartolo, Armando . ()</v>
      </c>
      <c r="E196" s="70" t="s">
        <v>174</v>
      </c>
      <c r="F196" s="70"/>
      <c r="G196" s="70" t="s">
        <v>175</v>
      </c>
      <c r="H196" s="69"/>
      <c r="I196" s="71">
        <v>0.05</v>
      </c>
      <c r="J196" s="72">
        <v>1000.0</v>
      </c>
      <c r="K196" s="73"/>
      <c r="L196" s="73"/>
      <c r="M196" s="73"/>
      <c r="N196" s="74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30.0" customHeight="1">
      <c r="A197" s="68"/>
      <c r="B197" s="68">
        <v>197.0</v>
      </c>
      <c r="C197" s="68"/>
      <c r="D197" s="69" t="str">
        <f>CONCATENATE(PROPER('BIÑAN INFO'!$G197),", ",PROPER('BIÑAN INFO'!$E197)," ",PROPER('BIÑAN INFO'!$F197),"."," (",UPPER('BIÑAN INFO'!$H197),")")</f>
        <v>,  . ()</v>
      </c>
      <c r="E197" s="70"/>
      <c r="F197" s="70"/>
      <c r="G197" s="70"/>
      <c r="H197" s="69"/>
      <c r="I197" s="71">
        <v>0.12</v>
      </c>
      <c r="J197" s="72">
        <v>1000.0</v>
      </c>
      <c r="K197" s="73"/>
      <c r="L197" s="73"/>
      <c r="M197" s="73"/>
      <c r="N197" s="74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30.0" customHeight="1">
      <c r="A198" s="68"/>
      <c r="B198" s="68">
        <v>198.0</v>
      </c>
      <c r="C198" s="68"/>
      <c r="D198" s="69" t="str">
        <f>CONCATENATE(PROPER('BIÑAN INFO'!$G198),", ",PROPER('BIÑAN INFO'!$E198)," ",PROPER('BIÑAN INFO'!$F198),"."," (",UPPER('BIÑAN INFO'!$H198),")")</f>
        <v>,  . ()</v>
      </c>
      <c r="E198" s="70"/>
      <c r="F198" s="70"/>
      <c r="G198" s="70"/>
      <c r="H198" s="69"/>
      <c r="I198" s="71">
        <v>0.12</v>
      </c>
      <c r="J198" s="72">
        <v>1000.0</v>
      </c>
      <c r="K198" s="73"/>
      <c r="L198" s="73"/>
      <c r="M198" s="73"/>
      <c r="N198" s="74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30.0" customHeight="1">
      <c r="A199" s="68"/>
      <c r="B199" s="68">
        <v>199.0</v>
      </c>
      <c r="C199" s="68"/>
      <c r="D199" s="69" t="str">
        <f>CONCATENATE(PROPER('BIÑAN INFO'!$G199),", ",PROPER('BIÑAN INFO'!$E199)," ",PROPER('BIÑAN INFO'!$F199),"."," (",UPPER('BIÑAN INFO'!$H199),")")</f>
        <v>,  . ()</v>
      </c>
      <c r="E199" s="70"/>
      <c r="F199" s="70"/>
      <c r="G199" s="70"/>
      <c r="H199" s="69"/>
      <c r="I199" s="71">
        <v>0.12</v>
      </c>
      <c r="J199" s="72">
        <v>1000.0</v>
      </c>
      <c r="K199" s="73"/>
      <c r="L199" s="73"/>
      <c r="M199" s="73"/>
      <c r="N199" s="74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30.0" customHeight="1">
      <c r="A200" s="68"/>
      <c r="B200" s="68">
        <v>200.0</v>
      </c>
      <c r="C200" s="68"/>
      <c r="D200" s="69" t="str">
        <f>CONCATENATE(PROPER('BIÑAN INFO'!$G200),", ",PROPER('BIÑAN INFO'!$E200)," ",PROPER('BIÑAN INFO'!$F200),"."," (",UPPER('BIÑAN INFO'!$H200),")")</f>
        <v>,  . ()</v>
      </c>
      <c r="E200" s="70"/>
      <c r="F200" s="70"/>
      <c r="G200" s="70"/>
      <c r="H200" s="69"/>
      <c r="I200" s="71">
        <v>0.12</v>
      </c>
      <c r="J200" s="72">
        <v>1000.0</v>
      </c>
      <c r="K200" s="73"/>
      <c r="L200" s="73"/>
      <c r="M200" s="73"/>
      <c r="N200" s="74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30.0" customHeight="1">
      <c r="A201" s="68"/>
      <c r="B201" s="68">
        <v>201.0</v>
      </c>
      <c r="C201" s="68"/>
      <c r="D201" s="69" t="str">
        <f>CONCATENATE(PROPER('BIÑAN INFO'!$G201),", ",PROPER('BIÑAN INFO'!$E201)," ",PROPER('BIÑAN INFO'!$F201),"."," (",UPPER('BIÑAN INFO'!$H201),")")</f>
        <v>,  . ()</v>
      </c>
      <c r="E201" s="70"/>
      <c r="F201" s="70"/>
      <c r="G201" s="70"/>
      <c r="H201" s="69"/>
      <c r="I201" s="71">
        <v>0.12</v>
      </c>
      <c r="J201" s="72">
        <v>1000.0</v>
      </c>
      <c r="K201" s="73"/>
      <c r="L201" s="73"/>
      <c r="M201" s="73"/>
      <c r="N201" s="74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30.0" customHeight="1">
      <c r="A202" s="68"/>
      <c r="B202" s="68">
        <v>202.0</v>
      </c>
      <c r="C202" s="68"/>
      <c r="D202" s="69" t="str">
        <f>CONCATENATE(PROPER('BIÑAN INFO'!$G202),", ",PROPER('BIÑAN INFO'!$E202)," ",PROPER('BIÑAN INFO'!$F202),"."," (",UPPER('BIÑAN INFO'!$H202),")")</f>
        <v>,  . ()</v>
      </c>
      <c r="E202" s="70"/>
      <c r="F202" s="70"/>
      <c r="G202" s="70"/>
      <c r="H202" s="69"/>
      <c r="I202" s="71">
        <v>0.12</v>
      </c>
      <c r="J202" s="72">
        <v>1000.0</v>
      </c>
      <c r="K202" s="73"/>
      <c r="L202" s="73"/>
      <c r="M202" s="73"/>
      <c r="N202" s="74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30.0" customHeight="1">
      <c r="A203" s="68"/>
      <c r="B203" s="68">
        <v>203.0</v>
      </c>
      <c r="C203" s="68"/>
      <c r="D203" s="69" t="str">
        <f>CONCATENATE(PROPER('BIÑAN INFO'!$G203),", ",PROPER('BIÑAN INFO'!$E203)," ",PROPER('BIÑAN INFO'!$F203),"."," (",UPPER('BIÑAN INFO'!$H203),")")</f>
        <v>Abad, Merlie . ()</v>
      </c>
      <c r="E203" s="70" t="s">
        <v>176</v>
      </c>
      <c r="F203" s="70"/>
      <c r="G203" s="70" t="s">
        <v>177</v>
      </c>
      <c r="H203" s="69"/>
      <c r="I203" s="71">
        <v>0.12</v>
      </c>
      <c r="J203" s="72">
        <v>1000.0</v>
      </c>
      <c r="K203" s="73"/>
      <c r="L203" s="73"/>
      <c r="M203" s="73"/>
      <c r="N203" s="74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30.0" customHeight="1">
      <c r="A204" s="68"/>
      <c r="B204" s="68">
        <v>204.0</v>
      </c>
      <c r="C204" s="68"/>
      <c r="D204" s="69" t="str">
        <f>CONCATENATE(PROPER('BIÑAN INFO'!$G204),", ",PROPER('BIÑAN INFO'!$E204)," ",PROPER('BIÑAN INFO'!$F204),"."," (",UPPER('BIÑAN INFO'!$H204),")")</f>
        <v>,  . ()</v>
      </c>
      <c r="E204" s="70"/>
      <c r="F204" s="70"/>
      <c r="G204" s="70"/>
      <c r="H204" s="69"/>
      <c r="I204" s="71">
        <v>0.12</v>
      </c>
      <c r="J204" s="72">
        <v>1000.0</v>
      </c>
      <c r="K204" s="73"/>
      <c r="L204" s="73"/>
      <c r="M204" s="73"/>
      <c r="N204" s="74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30.0" customHeight="1">
      <c r="A205" s="68"/>
      <c r="B205" s="68">
        <v>205.0</v>
      </c>
      <c r="C205" s="68"/>
      <c r="D205" s="69" t="str">
        <f>CONCATENATE(PROPER('BIÑAN INFO'!$G205),", ",PROPER('BIÑAN INFO'!$E205)," ",PROPER('BIÑAN INFO'!$F205),"."," (",UPPER('BIÑAN INFO'!$H205),")")</f>
        <v>,  . ()</v>
      </c>
      <c r="E205" s="70"/>
      <c r="F205" s="70"/>
      <c r="G205" s="70"/>
      <c r="H205" s="69"/>
      <c r="I205" s="71">
        <v>0.12</v>
      </c>
      <c r="J205" s="72">
        <v>1000.0</v>
      </c>
      <c r="K205" s="73"/>
      <c r="L205" s="73"/>
      <c r="M205" s="73"/>
      <c r="N205" s="74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30.0" customHeight="1">
      <c r="A206" s="68"/>
      <c r="B206" s="68">
        <v>206.0</v>
      </c>
      <c r="C206" s="68"/>
      <c r="D206" s="69" t="str">
        <f>CONCATENATE(PROPER('BIÑAN INFO'!$G206),", ",PROPER('BIÑAN INFO'!$E206)," ",PROPER('BIÑAN INFO'!$F206),"."," (",UPPER('BIÑAN INFO'!$H206),")")</f>
        <v>Chavez, Jindra . ()</v>
      </c>
      <c r="E206" s="70" t="s">
        <v>178</v>
      </c>
      <c r="F206" s="70"/>
      <c r="G206" s="70" t="s">
        <v>179</v>
      </c>
      <c r="H206" s="69"/>
      <c r="I206" s="71">
        <v>0.12</v>
      </c>
      <c r="J206" s="72">
        <v>1000.0</v>
      </c>
      <c r="K206" s="73"/>
      <c r="L206" s="73"/>
      <c r="M206" s="73"/>
      <c r="N206" s="74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30.0" customHeight="1">
      <c r="A207" s="68"/>
      <c r="B207" s="68">
        <v>207.0</v>
      </c>
      <c r="C207" s="68"/>
      <c r="D207" s="69" t="str">
        <f>CONCATENATE(PROPER('BIÑAN INFO'!$G207),", ",PROPER('BIÑAN INFO'!$E207)," ",PROPER('BIÑAN INFO'!$F207),"."," (",UPPER('BIÑAN INFO'!$H207),")")</f>
        <v>,  . ()</v>
      </c>
      <c r="E207" s="70"/>
      <c r="F207" s="70"/>
      <c r="G207" s="70"/>
      <c r="H207" s="69"/>
      <c r="I207" s="71">
        <v>0.12</v>
      </c>
      <c r="J207" s="72">
        <v>1000.0</v>
      </c>
      <c r="K207" s="73"/>
      <c r="L207" s="73"/>
      <c r="M207" s="73"/>
      <c r="N207" s="74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30.0" customHeight="1">
      <c r="A208" s="68">
        <v>64.0</v>
      </c>
      <c r="B208" s="68">
        <v>208.0</v>
      </c>
      <c r="C208" s="68"/>
      <c r="D208" s="69" t="str">
        <f>CONCATENATE(PROPER('BIÑAN INFO'!$G208),", ",PROPER('BIÑAN INFO'!$E208)," ",PROPER('BIÑAN INFO'!$F208),"."," (",UPPER('BIÑAN INFO'!$H208),")")</f>
        <v>Sinlao, Mar . ()</v>
      </c>
      <c r="E208" s="70" t="s">
        <v>180</v>
      </c>
      <c r="F208" s="70"/>
      <c r="G208" s="70" t="s">
        <v>181</v>
      </c>
      <c r="H208" s="69"/>
      <c r="I208" s="71">
        <v>0.05</v>
      </c>
      <c r="J208" s="72">
        <v>1000.0</v>
      </c>
      <c r="K208" s="73"/>
      <c r="L208" s="73"/>
      <c r="M208" s="73"/>
      <c r="N208" s="74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30.0" customHeight="1">
      <c r="A209" s="68"/>
      <c r="B209" s="68">
        <v>209.0</v>
      </c>
      <c r="C209" s="68"/>
      <c r="D209" s="69" t="str">
        <f>CONCATENATE(PROPER('BIÑAN INFO'!$G209),", ",PROPER('BIÑAN INFO'!$E209)," ",PROPER('BIÑAN INFO'!$F209),"."," (",UPPER('BIÑAN INFO'!$H209),")")</f>
        <v>,  . ()</v>
      </c>
      <c r="E209" s="70"/>
      <c r="F209" s="70"/>
      <c r="G209" s="70"/>
      <c r="H209" s="69"/>
      <c r="I209" s="71">
        <v>0.12</v>
      </c>
      <c r="J209" s="72">
        <v>1000.0</v>
      </c>
      <c r="K209" s="73"/>
      <c r="L209" s="73"/>
      <c r="M209" s="73"/>
      <c r="N209" s="74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30.0" customHeight="1">
      <c r="A210" s="68"/>
      <c r="B210" s="68">
        <v>210.0</v>
      </c>
      <c r="C210" s="68"/>
      <c r="D210" s="69" t="str">
        <f>CONCATENATE(PROPER('BIÑAN INFO'!$G210),", ",PROPER('BIÑAN INFO'!$E210)," ",PROPER('BIÑAN INFO'!$F210),"."," (",UPPER('BIÑAN INFO'!$H210),")")</f>
        <v>Encarnado, Dexter . ()</v>
      </c>
      <c r="E210" s="70" t="s">
        <v>182</v>
      </c>
      <c r="F210" s="70"/>
      <c r="G210" s="70" t="s">
        <v>183</v>
      </c>
      <c r="H210" s="69"/>
      <c r="I210" s="71">
        <v>0.05</v>
      </c>
      <c r="J210" s="72">
        <v>1000.0</v>
      </c>
      <c r="K210" s="73"/>
      <c r="L210" s="73"/>
      <c r="M210" s="73"/>
      <c r="N210" s="74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30.0" customHeight="1">
      <c r="A211" s="68"/>
      <c r="B211" s="68">
        <v>211.0</v>
      </c>
      <c r="C211" s="68"/>
      <c r="D211" s="69" t="str">
        <f>CONCATENATE(PROPER('BIÑAN INFO'!$G211),", ",PROPER('BIÑAN INFO'!$E211)," ",PROPER('BIÑAN INFO'!$F211),"."," (",UPPER('BIÑAN INFO'!$H211),")")</f>
        <v>,  . ()</v>
      </c>
      <c r="E211" s="70"/>
      <c r="F211" s="70"/>
      <c r="G211" s="70"/>
      <c r="H211" s="69"/>
      <c r="I211" s="71">
        <v>0.12</v>
      </c>
      <c r="J211" s="72">
        <v>1000.0</v>
      </c>
      <c r="K211" s="73"/>
      <c r="L211" s="73"/>
      <c r="M211" s="73"/>
      <c r="N211" s="74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30.0" customHeight="1">
      <c r="A212" s="68"/>
      <c r="B212" s="68">
        <v>212.0</v>
      </c>
      <c r="C212" s="68"/>
      <c r="D212" s="69" t="str">
        <f>CONCATENATE(PROPER('BIÑAN INFO'!$G212),", ",PROPER('BIÑAN INFO'!$E212)," ",PROPER('BIÑAN INFO'!$F212),"."," (",UPPER('BIÑAN INFO'!$H212),")")</f>
        <v>,  . ()</v>
      </c>
      <c r="E212" s="70"/>
      <c r="F212" s="70"/>
      <c r="G212" s="70"/>
      <c r="H212" s="69"/>
      <c r="I212" s="71">
        <v>0.12</v>
      </c>
      <c r="J212" s="72">
        <v>1000.0</v>
      </c>
      <c r="K212" s="73"/>
      <c r="L212" s="73"/>
      <c r="M212" s="73"/>
      <c r="N212" s="74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30.0" customHeight="1">
      <c r="A213" s="68"/>
      <c r="B213" s="68">
        <v>213.0</v>
      </c>
      <c r="C213" s="68"/>
      <c r="D213" s="69" t="str">
        <f>CONCATENATE(PROPER('BIÑAN INFO'!$G213),", ",PROPER('BIÑAN INFO'!$E213)," ",PROPER('BIÑAN INFO'!$F213),"."," (",UPPER('BIÑAN INFO'!$H213),")")</f>
        <v>Cabugao, Felipe . ()</v>
      </c>
      <c r="E213" s="70" t="s">
        <v>184</v>
      </c>
      <c r="F213" s="70"/>
      <c r="G213" s="70" t="s">
        <v>185</v>
      </c>
      <c r="H213" s="69"/>
      <c r="I213" s="71">
        <v>0.12</v>
      </c>
      <c r="J213" s="72">
        <v>1000.0</v>
      </c>
      <c r="K213" s="73"/>
      <c r="L213" s="73"/>
      <c r="M213" s="73"/>
      <c r="N213" s="74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30.0" customHeight="1">
      <c r="A214" s="68"/>
      <c r="B214" s="68">
        <v>214.0</v>
      </c>
      <c r="C214" s="68"/>
      <c r="D214" s="69" t="str">
        <f>CONCATENATE(PROPER('BIÑAN INFO'!$G214),", ",PROPER('BIÑAN INFO'!$E214)," ",PROPER('BIÑAN INFO'!$F214),"."," (",UPPER('BIÑAN INFO'!$H214),")")</f>
        <v>Abadier, Benjamin . ()</v>
      </c>
      <c r="E214" s="70" t="s">
        <v>186</v>
      </c>
      <c r="F214" s="70"/>
      <c r="G214" s="70" t="s">
        <v>187</v>
      </c>
      <c r="H214" s="69"/>
      <c r="I214" s="71">
        <v>0.12</v>
      </c>
      <c r="J214" s="72">
        <v>1000.0</v>
      </c>
      <c r="K214" s="73"/>
      <c r="L214" s="73"/>
      <c r="M214" s="73"/>
      <c r="N214" s="74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30.0" customHeight="1">
      <c r="A215" s="68"/>
      <c r="B215" s="68">
        <v>215.0</v>
      </c>
      <c r="C215" s="68"/>
      <c r="D215" s="69" t="str">
        <f>CONCATENATE(PROPER('BIÑAN INFO'!$G215),", ",PROPER('BIÑAN INFO'!$E215)," ",PROPER('BIÑAN INFO'!$F215),"."," (",UPPER('BIÑAN INFO'!$H215),")")</f>
        <v>,  . ()</v>
      </c>
      <c r="E215" s="70"/>
      <c r="F215" s="70"/>
      <c r="G215" s="70"/>
      <c r="H215" s="69"/>
      <c r="I215" s="71">
        <v>0.12</v>
      </c>
      <c r="J215" s="72">
        <v>1000.0</v>
      </c>
      <c r="K215" s="73"/>
      <c r="L215" s="73"/>
      <c r="M215" s="73"/>
      <c r="N215" s="74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30.0" customHeight="1">
      <c r="A216" s="68"/>
      <c r="B216" s="68">
        <v>216.0</v>
      </c>
      <c r="C216" s="68"/>
      <c r="D216" s="69" t="str">
        <f>CONCATENATE(PROPER('BIÑAN INFO'!$G216),", ",PROPER('BIÑAN INFO'!$E216)," ",PROPER('BIÑAN INFO'!$F216),"."," (",UPPER('BIÑAN INFO'!$H216),")")</f>
        <v>,  . ()</v>
      </c>
      <c r="E216" s="70"/>
      <c r="F216" s="70"/>
      <c r="G216" s="70"/>
      <c r="H216" s="69"/>
      <c r="I216" s="71">
        <v>0.12</v>
      </c>
      <c r="J216" s="72">
        <v>1000.0</v>
      </c>
      <c r="K216" s="73"/>
      <c r="L216" s="73"/>
      <c r="M216" s="73"/>
      <c r="N216" s="74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30.0" customHeight="1">
      <c r="A217" s="68"/>
      <c r="B217" s="68">
        <v>217.0</v>
      </c>
      <c r="C217" s="68"/>
      <c r="D217" s="69" t="str">
        <f>CONCATENATE(PROPER('BIÑAN INFO'!$G217),", ",PROPER('BIÑAN INFO'!$E217)," ",PROPER('BIÑAN INFO'!$F217),"."," (",UPPER('BIÑAN INFO'!$H217),")")</f>
        <v>,  . ()</v>
      </c>
      <c r="E217" s="70"/>
      <c r="F217" s="70"/>
      <c r="G217" s="70"/>
      <c r="H217" s="69"/>
      <c r="I217" s="71">
        <v>0.12</v>
      </c>
      <c r="J217" s="72">
        <v>1000.0</v>
      </c>
      <c r="K217" s="73"/>
      <c r="L217" s="73"/>
      <c r="M217" s="73"/>
      <c r="N217" s="74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30.0" customHeight="1">
      <c r="A218" s="68"/>
      <c r="B218" s="68">
        <v>218.0</v>
      </c>
      <c r="C218" s="68"/>
      <c r="D218" s="69" t="str">
        <f>CONCATENATE(PROPER('BIÑAN INFO'!$G218),", ",PROPER('BIÑAN INFO'!$E218)," ",PROPER('BIÑAN INFO'!$F218),"."," (",UPPER('BIÑAN INFO'!$H218),")")</f>
        <v>,  . ()</v>
      </c>
      <c r="E218" s="70"/>
      <c r="F218" s="70"/>
      <c r="G218" s="70"/>
      <c r="H218" s="69"/>
      <c r="I218" s="71">
        <v>0.12</v>
      </c>
      <c r="J218" s="72">
        <v>1000.0</v>
      </c>
      <c r="K218" s="73"/>
      <c r="L218" s="73"/>
      <c r="M218" s="73"/>
      <c r="N218" s="74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30.0" customHeight="1">
      <c r="A219" s="68"/>
      <c r="B219" s="68">
        <v>219.0</v>
      </c>
      <c r="C219" s="68"/>
      <c r="D219" s="69" t="str">
        <f>CONCATENATE(PROPER('BIÑAN INFO'!$G219),", ",PROPER('BIÑAN INFO'!$E219)," ",PROPER('BIÑAN INFO'!$F219),"."," (",UPPER('BIÑAN INFO'!$H219),")")</f>
        <v>,  . ()</v>
      </c>
      <c r="E219" s="70"/>
      <c r="F219" s="70"/>
      <c r="G219" s="70"/>
      <c r="H219" s="69"/>
      <c r="I219" s="71">
        <v>0.12</v>
      </c>
      <c r="J219" s="72">
        <v>1000.0</v>
      </c>
      <c r="K219" s="73"/>
      <c r="L219" s="73"/>
      <c r="M219" s="73"/>
      <c r="N219" s="74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30.0" customHeight="1">
      <c r="A220" s="68"/>
      <c r="B220" s="68">
        <v>220.0</v>
      </c>
      <c r="C220" s="68"/>
      <c r="D220" s="69" t="str">
        <f>CONCATENATE(PROPER('BIÑAN INFO'!$G220),", ",PROPER('BIÑAN INFO'!$E220)," ",PROPER('BIÑAN INFO'!$F220),"."," (",UPPER('BIÑAN INFO'!$H220),")")</f>
        <v>,  . ()</v>
      </c>
      <c r="E220" s="70"/>
      <c r="F220" s="70"/>
      <c r="G220" s="70"/>
      <c r="H220" s="69"/>
      <c r="I220" s="71">
        <v>0.12</v>
      </c>
      <c r="J220" s="72">
        <v>1000.0</v>
      </c>
      <c r="K220" s="73"/>
      <c r="L220" s="73"/>
      <c r="M220" s="73"/>
      <c r="N220" s="74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30.0" customHeight="1">
      <c r="A221" s="68"/>
      <c r="B221" s="68">
        <v>221.0</v>
      </c>
      <c r="C221" s="68"/>
      <c r="D221" s="69" t="str">
        <f>CONCATENATE(PROPER('BIÑAN INFO'!$G221),", ",PROPER('BIÑAN INFO'!$E221)," ",PROPER('BIÑAN INFO'!$F221),"."," (",UPPER('BIÑAN INFO'!$H221),")")</f>
        <v>,  . ()</v>
      </c>
      <c r="E221" s="70"/>
      <c r="F221" s="70"/>
      <c r="G221" s="70"/>
      <c r="H221" s="70"/>
      <c r="I221" s="71">
        <v>0.12</v>
      </c>
      <c r="J221" s="72">
        <v>1000.0</v>
      </c>
      <c r="K221" s="73"/>
      <c r="L221" s="73"/>
      <c r="M221" s="73"/>
      <c r="N221" s="74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30.0" customHeight="1">
      <c r="A222" s="68"/>
      <c r="B222" s="68">
        <v>222.0</v>
      </c>
      <c r="C222" s="68"/>
      <c r="D222" s="69" t="str">
        <f>CONCATENATE(PROPER('BIÑAN INFO'!$G222),", ",PROPER('BIÑAN INFO'!$E222)," ",PROPER('BIÑAN INFO'!$F222),"."," (",UPPER('BIÑAN INFO'!$H222),")")</f>
        <v>,  . ()</v>
      </c>
      <c r="E222" s="70"/>
      <c r="F222" s="70"/>
      <c r="G222" s="70"/>
      <c r="H222" s="70"/>
      <c r="I222" s="71">
        <v>0.12</v>
      </c>
      <c r="J222" s="72">
        <v>1000.0</v>
      </c>
      <c r="K222" s="73"/>
      <c r="L222" s="73"/>
      <c r="M222" s="73"/>
      <c r="N222" s="74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30.0" customHeight="1">
      <c r="A223" s="68"/>
      <c r="B223" s="68">
        <v>223.0</v>
      </c>
      <c r="C223" s="68"/>
      <c r="D223" s="69" t="str">
        <f>CONCATENATE(PROPER('BIÑAN INFO'!$G223),", ",PROPER('BIÑAN INFO'!$E223)," ",PROPER('BIÑAN INFO'!$F223),"."," (",UPPER('BIÑAN INFO'!$H223),")")</f>
        <v>,  . ()</v>
      </c>
      <c r="E223" s="70"/>
      <c r="F223" s="70"/>
      <c r="G223" s="70"/>
      <c r="H223" s="69"/>
      <c r="I223" s="71">
        <v>0.12</v>
      </c>
      <c r="J223" s="72">
        <v>1000.0</v>
      </c>
      <c r="K223" s="73"/>
      <c r="L223" s="73"/>
      <c r="M223" s="73"/>
      <c r="N223" s="74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30.0" customHeight="1">
      <c r="A224" s="68"/>
      <c r="B224" s="68">
        <v>224.0</v>
      </c>
      <c r="C224" s="68"/>
      <c r="D224" s="69" t="str">
        <f>CONCATENATE(PROPER('BIÑAN INFO'!$G224),", ",PROPER('BIÑAN INFO'!$E224)," ",PROPER('BIÑAN INFO'!$F224),"."," (",UPPER('BIÑAN INFO'!$H224),")")</f>
        <v>,  . ()</v>
      </c>
      <c r="E224" s="70"/>
      <c r="F224" s="70"/>
      <c r="G224" s="70"/>
      <c r="H224" s="70"/>
      <c r="I224" s="71">
        <v>0.12</v>
      </c>
      <c r="J224" s="72">
        <v>1000.0</v>
      </c>
      <c r="K224" s="73"/>
      <c r="L224" s="73"/>
      <c r="M224" s="73"/>
      <c r="N224" s="74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30.0" customHeight="1">
      <c r="A225" s="68"/>
      <c r="B225" s="68">
        <v>225.0</v>
      </c>
      <c r="C225" s="68"/>
      <c r="D225" s="69" t="str">
        <f>CONCATENATE(PROPER('BIÑAN INFO'!$G225),", ",PROPER('BIÑAN INFO'!$E225)," ",PROPER('BIÑAN INFO'!$F225),"."," (",UPPER('BIÑAN INFO'!$H225),")")</f>
        <v>,  . ()</v>
      </c>
      <c r="E225" s="70"/>
      <c r="F225" s="70"/>
      <c r="G225" s="70"/>
      <c r="H225" s="70"/>
      <c r="I225" s="71">
        <v>0.12</v>
      </c>
      <c r="J225" s="72">
        <v>1000.0</v>
      </c>
      <c r="K225" s="73"/>
      <c r="L225" s="73"/>
      <c r="M225" s="73"/>
      <c r="N225" s="74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30.0" customHeight="1">
      <c r="A226" s="68"/>
      <c r="B226" s="68">
        <v>226.0</v>
      </c>
      <c r="C226" s="68"/>
      <c r="D226" s="69" t="str">
        <f>CONCATENATE(PROPER('BIÑAN INFO'!$G226),", ",PROPER('BIÑAN INFO'!$E226)," ",PROPER('BIÑAN INFO'!$F226),"."," (",UPPER('BIÑAN INFO'!$H226),")")</f>
        <v>,  . ()</v>
      </c>
      <c r="E226" s="70"/>
      <c r="F226" s="70"/>
      <c r="G226" s="69"/>
      <c r="H226" s="69"/>
      <c r="I226" s="71">
        <v>0.12</v>
      </c>
      <c r="J226" s="72">
        <v>1000.0</v>
      </c>
      <c r="K226" s="73"/>
      <c r="L226" s="73"/>
      <c r="M226" s="73"/>
      <c r="N226" s="74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30.0" customHeight="1">
      <c r="A227" s="68"/>
      <c r="B227" s="68">
        <v>227.0</v>
      </c>
      <c r="C227" s="68"/>
      <c r="D227" s="69" t="str">
        <f>CONCATENATE(PROPER('BIÑAN INFO'!$G227),", ",PROPER('BIÑAN INFO'!$E227)," ",PROPER('BIÑAN INFO'!$F227),"."," (",UPPER('BIÑAN INFO'!$H227),")")</f>
        <v>,  . ()</v>
      </c>
      <c r="E227" s="70"/>
      <c r="F227" s="70"/>
      <c r="G227" s="69"/>
      <c r="H227" s="69"/>
      <c r="I227" s="71">
        <v>0.12</v>
      </c>
      <c r="J227" s="72">
        <v>1000.0</v>
      </c>
      <c r="K227" s="73"/>
      <c r="L227" s="73"/>
      <c r="M227" s="73"/>
      <c r="N227" s="74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30.0" customHeight="1">
      <c r="A228" s="68"/>
      <c r="B228" s="68">
        <v>228.0</v>
      </c>
      <c r="C228" s="68"/>
      <c r="D228" s="69" t="str">
        <f>CONCATENATE(PROPER('BIÑAN INFO'!$G228),", ",PROPER('BIÑAN INFO'!$E228)," ",PROPER('BIÑAN INFO'!$F228),"."," (",UPPER('BIÑAN INFO'!$H228),")")</f>
        <v>,  . ()</v>
      </c>
      <c r="E228" s="70"/>
      <c r="F228" s="70"/>
      <c r="G228" s="69"/>
      <c r="H228" s="69"/>
      <c r="I228" s="71">
        <v>0.12</v>
      </c>
      <c r="J228" s="72">
        <v>1000.0</v>
      </c>
      <c r="K228" s="73"/>
      <c r="L228" s="73"/>
      <c r="M228" s="73"/>
      <c r="N228" s="74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30.0" customHeight="1">
      <c r="A229" s="68"/>
      <c r="B229" s="68">
        <v>229.0</v>
      </c>
      <c r="C229" s="68"/>
      <c r="D229" s="69" t="str">
        <f>CONCATENATE(PROPER('BIÑAN INFO'!$G229),", ",PROPER('BIÑAN INFO'!$E229)," ",PROPER('BIÑAN INFO'!$F229),"."," (",UPPER('BIÑAN INFO'!$H229),")")</f>
        <v>Soylon, Evangeline . ()</v>
      </c>
      <c r="E229" s="70" t="s">
        <v>188</v>
      </c>
      <c r="F229" s="70"/>
      <c r="G229" s="69" t="s">
        <v>189</v>
      </c>
      <c r="H229" s="69"/>
      <c r="I229" s="71">
        <v>0.05</v>
      </c>
      <c r="J229" s="72">
        <v>1000.0</v>
      </c>
      <c r="K229" s="73"/>
      <c r="L229" s="73"/>
      <c r="M229" s="73"/>
      <c r="N229" s="74" t="s">
        <v>190</v>
      </c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30.0" customHeight="1">
      <c r="A230" s="68"/>
      <c r="B230" s="68">
        <v>230.0</v>
      </c>
      <c r="C230" s="68"/>
      <c r="D230" s="69" t="str">
        <f>CONCATENATE(PROPER('BIÑAN INFO'!$G230),", ",PROPER('BIÑAN INFO'!$E230)," ",PROPER('BIÑAN INFO'!$F230),"."," (",UPPER('BIÑAN INFO'!$H230),")")</f>
        <v>Ong, Raquel . ()</v>
      </c>
      <c r="E230" s="70" t="s">
        <v>191</v>
      </c>
      <c r="F230" s="70"/>
      <c r="G230" s="69" t="s">
        <v>192</v>
      </c>
      <c r="H230" s="69"/>
      <c r="I230" s="71">
        <v>0.05</v>
      </c>
      <c r="J230" s="72">
        <v>1000.0</v>
      </c>
      <c r="K230" s="73"/>
      <c r="L230" s="73"/>
      <c r="M230" s="73"/>
      <c r="N230" s="74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30.0" customHeight="1">
      <c r="A231" s="68"/>
      <c r="B231" s="68">
        <v>231.0</v>
      </c>
      <c r="C231" s="68"/>
      <c r="D231" s="69" t="str">
        <f>CONCATENATE(PROPER('BIÑAN INFO'!$G231),", ",PROPER('BIÑAN INFO'!$E231)," ",PROPER('BIÑAN INFO'!$F231),"."," (",UPPER('BIÑAN INFO'!$H231),")")</f>
        <v>,  . ()</v>
      </c>
      <c r="E231" s="70"/>
      <c r="F231" s="70"/>
      <c r="G231" s="69"/>
      <c r="H231" s="69"/>
      <c r="I231" s="71">
        <v>0.12</v>
      </c>
      <c r="J231" s="72">
        <v>1000.0</v>
      </c>
      <c r="K231" s="73"/>
      <c r="L231" s="73"/>
      <c r="M231" s="73"/>
      <c r="N231" s="74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30.0" customHeight="1">
      <c r="A232" s="68"/>
      <c r="B232" s="68">
        <v>232.0</v>
      </c>
      <c r="C232" s="68"/>
      <c r="D232" s="69" t="str">
        <f>CONCATENATE(PROPER('BIÑAN INFO'!$G232),", ",PROPER('BIÑAN INFO'!$E232)," ",PROPER('BIÑAN INFO'!$F232),"."," (",UPPER('BIÑAN INFO'!$H232),")")</f>
        <v>,  . ()</v>
      </c>
      <c r="E232" s="70"/>
      <c r="F232" s="70"/>
      <c r="G232" s="69"/>
      <c r="H232" s="69"/>
      <c r="I232" s="71">
        <v>0.12</v>
      </c>
      <c r="J232" s="72">
        <v>1000.0</v>
      </c>
      <c r="K232" s="73"/>
      <c r="L232" s="73"/>
      <c r="M232" s="73"/>
      <c r="N232" s="74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30.0" customHeight="1">
      <c r="A233" s="68"/>
      <c r="B233" s="68">
        <v>233.0</v>
      </c>
      <c r="C233" s="68"/>
      <c r="D233" s="69" t="str">
        <f>CONCATENATE(PROPER('BIÑAN INFO'!$G233),", ",PROPER('BIÑAN INFO'!$E233)," ",PROPER('BIÑAN INFO'!$F233),"."," (",UPPER('BIÑAN INFO'!$H233),")")</f>
        <v>,  . ()</v>
      </c>
      <c r="E233" s="70"/>
      <c r="F233" s="70"/>
      <c r="G233" s="70"/>
      <c r="H233" s="69"/>
      <c r="I233" s="71">
        <v>0.12</v>
      </c>
      <c r="J233" s="72">
        <v>1000.0</v>
      </c>
      <c r="K233" s="73"/>
      <c r="L233" s="73"/>
      <c r="M233" s="73"/>
      <c r="N233" s="74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30.0" customHeight="1">
      <c r="A234" s="68"/>
      <c r="B234" s="68">
        <v>234.0</v>
      </c>
      <c r="C234" s="68"/>
      <c r="D234" s="69" t="str">
        <f>CONCATENATE(PROPER('BIÑAN INFO'!$G234),", ",PROPER('BIÑAN INFO'!$E234)," ",PROPER('BIÑAN INFO'!$F234),"."," (",UPPER('BIÑAN INFO'!$H234),")")</f>
        <v>,  . ()</v>
      </c>
      <c r="E234" s="70"/>
      <c r="F234" s="70"/>
      <c r="G234" s="70"/>
      <c r="H234" s="70"/>
      <c r="I234" s="71">
        <v>0.12</v>
      </c>
      <c r="J234" s="72">
        <v>1000.0</v>
      </c>
      <c r="K234" s="73"/>
      <c r="L234" s="73"/>
      <c r="M234" s="73"/>
      <c r="N234" s="74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30.0" customHeight="1">
      <c r="A235" s="68"/>
      <c r="B235" s="68">
        <v>235.0</v>
      </c>
      <c r="C235" s="68"/>
      <c r="D235" s="69" t="str">
        <f>CONCATENATE(PROPER('BIÑAN INFO'!$G235),", ",PROPER('BIÑAN INFO'!$E235)," ",PROPER('BIÑAN INFO'!$F235),"."," (",UPPER('BIÑAN INFO'!$H235),")")</f>
        <v>Bachiller, Evangeline . ()</v>
      </c>
      <c r="E235" s="70" t="s">
        <v>188</v>
      </c>
      <c r="F235" s="70"/>
      <c r="G235" s="70" t="s">
        <v>193</v>
      </c>
      <c r="H235" s="70"/>
      <c r="I235" s="71">
        <v>0.12</v>
      </c>
      <c r="J235" s="72">
        <v>1000.0</v>
      </c>
      <c r="K235" s="73"/>
      <c r="L235" s="73"/>
      <c r="M235" s="73"/>
      <c r="N235" s="74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30.0" customHeight="1">
      <c r="A236" s="68"/>
      <c r="B236" s="68">
        <v>236.0</v>
      </c>
      <c r="C236" s="68"/>
      <c r="D236" s="69" t="str">
        <f>CONCATENATE(PROPER('BIÑAN INFO'!$G236),", ",PROPER('BIÑAN INFO'!$E236)," ",PROPER('BIÑAN INFO'!$F236),"."," (",UPPER('BIÑAN INFO'!$H236),")")</f>
        <v>,  . ()</v>
      </c>
      <c r="E236" s="70"/>
      <c r="F236" s="70"/>
      <c r="G236" s="70"/>
      <c r="H236" s="70"/>
      <c r="I236" s="71">
        <v>0.12</v>
      </c>
      <c r="J236" s="72">
        <v>1000.0</v>
      </c>
      <c r="K236" s="73"/>
      <c r="L236" s="73"/>
      <c r="M236" s="73"/>
      <c r="N236" s="74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30.0" customHeight="1">
      <c r="A237" s="68"/>
      <c r="B237" s="68">
        <v>237.0</v>
      </c>
      <c r="C237" s="68"/>
      <c r="D237" s="69" t="str">
        <f>CONCATENATE(PROPER('BIÑAN INFO'!$G237),", ",PROPER('BIÑAN INFO'!$E237)," ",PROPER('BIÑAN INFO'!$F237),"."," (",UPPER('BIÑAN INFO'!$H237),")")</f>
        <v>,  . ()</v>
      </c>
      <c r="E237" s="70"/>
      <c r="F237" s="70"/>
      <c r="G237" s="70"/>
      <c r="H237" s="70"/>
      <c r="I237" s="71">
        <v>0.12</v>
      </c>
      <c r="J237" s="72">
        <v>1000.0</v>
      </c>
      <c r="K237" s="73"/>
      <c r="L237" s="73"/>
      <c r="M237" s="73"/>
      <c r="N237" s="74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30.0" customHeight="1">
      <c r="A238" s="68"/>
      <c r="B238" s="68">
        <v>238.0</v>
      </c>
      <c r="C238" s="68"/>
      <c r="D238" s="69" t="str">
        <f>CONCATENATE(PROPER('BIÑAN INFO'!$G238),", ",PROPER('BIÑAN INFO'!$E238)," ",PROPER('BIÑAN INFO'!$F238),"."," (",UPPER('BIÑAN INFO'!$H238),")")</f>
        <v>,  . ()</v>
      </c>
      <c r="E238" s="70"/>
      <c r="F238" s="70"/>
      <c r="G238" s="70"/>
      <c r="H238" s="70"/>
      <c r="I238" s="71">
        <v>0.12</v>
      </c>
      <c r="J238" s="72">
        <v>1000.0</v>
      </c>
      <c r="K238" s="73"/>
      <c r="L238" s="73"/>
      <c r="M238" s="73"/>
      <c r="N238" s="74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30.0" customHeight="1">
      <c r="A239" s="68"/>
      <c r="B239" s="68">
        <v>239.0</v>
      </c>
      <c r="C239" s="68"/>
      <c r="D239" s="69" t="str">
        <f>CONCATENATE(PROPER('BIÑAN INFO'!$G239),", ",PROPER('BIÑAN INFO'!$E239)," ",PROPER('BIÑAN INFO'!$F239),"."," (",UPPER('BIÑAN INFO'!$H239),")")</f>
        <v>,  . ()</v>
      </c>
      <c r="E239" s="70"/>
      <c r="F239" s="70"/>
      <c r="G239" s="70"/>
      <c r="H239" s="70"/>
      <c r="I239" s="71">
        <v>0.12</v>
      </c>
      <c r="J239" s="72">
        <v>1000.0</v>
      </c>
      <c r="K239" s="73"/>
      <c r="L239" s="73"/>
      <c r="M239" s="73"/>
      <c r="N239" s="74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30.0" customHeight="1">
      <c r="A240" s="68"/>
      <c r="B240" s="68">
        <v>240.0</v>
      </c>
      <c r="C240" s="68"/>
      <c r="D240" s="69" t="str">
        <f>CONCATENATE(PROPER('BIÑAN INFO'!$G240),", ",PROPER('BIÑAN INFO'!$E240)," ",PROPER('BIÑAN INFO'!$F240),"."," (",UPPER('BIÑAN INFO'!$H240),")")</f>
        <v>Catalino, Soylon . ()</v>
      </c>
      <c r="E240" s="70" t="s">
        <v>189</v>
      </c>
      <c r="F240" s="70"/>
      <c r="G240" s="70" t="s">
        <v>194</v>
      </c>
      <c r="H240" s="69"/>
      <c r="I240" s="71">
        <v>0.05</v>
      </c>
      <c r="J240" s="72">
        <v>1000.0</v>
      </c>
      <c r="K240" s="73"/>
      <c r="L240" s="73"/>
      <c r="M240" s="73"/>
      <c r="N240" s="74" t="s">
        <v>190</v>
      </c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30.0" customHeight="1">
      <c r="A241" s="68"/>
      <c r="B241" s="68">
        <v>241.0</v>
      </c>
      <c r="C241" s="68"/>
      <c r="D241" s="69" t="str">
        <f>CONCATENATE(PROPER('BIÑAN INFO'!$G241),", ",PROPER('BIÑAN INFO'!$E241)," ",PROPER('BIÑAN INFO'!$F241),"."," (",UPPER('BIÑAN INFO'!$H241),")")</f>
        <v>,  . ()</v>
      </c>
      <c r="E241" s="70"/>
      <c r="F241" s="70"/>
      <c r="G241" s="70"/>
      <c r="H241" s="69"/>
      <c r="I241" s="71">
        <v>0.12</v>
      </c>
      <c r="J241" s="72">
        <v>1000.0</v>
      </c>
      <c r="K241" s="73"/>
      <c r="L241" s="73"/>
      <c r="M241" s="73"/>
      <c r="N241" s="74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30.0" customHeight="1">
      <c r="A242" s="68"/>
      <c r="B242" s="68">
        <v>242.0</v>
      </c>
      <c r="C242" s="68"/>
      <c r="D242" s="69" t="str">
        <f>CONCATENATE(PROPER('BIÑAN INFO'!$G242),", ",PROPER('BIÑAN INFO'!$E242)," ",PROPER('BIÑAN INFO'!$F242),"."," (",UPPER('BIÑAN INFO'!$H242),")")</f>
        <v>Ong, Raquel . ()</v>
      </c>
      <c r="E242" s="70" t="s">
        <v>191</v>
      </c>
      <c r="F242" s="70"/>
      <c r="G242" s="70" t="s">
        <v>192</v>
      </c>
      <c r="H242" s="69"/>
      <c r="I242" s="71">
        <v>0.05</v>
      </c>
      <c r="J242" s="72">
        <v>1000.0</v>
      </c>
      <c r="K242" s="73"/>
      <c r="L242" s="73"/>
      <c r="M242" s="73"/>
      <c r="N242" s="74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30.0" customHeight="1">
      <c r="A243" s="68"/>
      <c r="B243" s="68">
        <v>243.0</v>
      </c>
      <c r="C243" s="68"/>
      <c r="D243" s="69" t="str">
        <f>CONCATENATE(PROPER('BIÑAN INFO'!$G243),", ",PROPER('BIÑAN INFO'!$E243)," ",PROPER('BIÑAN INFO'!$F243),"."," (",UPPER('BIÑAN INFO'!$H243),")")</f>
        <v>Arresgado, Roselyn . ()</v>
      </c>
      <c r="E243" s="70" t="s">
        <v>195</v>
      </c>
      <c r="F243" s="70"/>
      <c r="G243" s="70" t="s">
        <v>196</v>
      </c>
      <c r="H243" s="69"/>
      <c r="I243" s="71">
        <v>0.05</v>
      </c>
      <c r="J243" s="72">
        <v>1000.0</v>
      </c>
      <c r="K243" s="73"/>
      <c r="L243" s="73"/>
      <c r="M243" s="73"/>
      <c r="N243" s="74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30.0" customHeight="1">
      <c r="A244" s="68"/>
      <c r="B244" s="68">
        <v>244.0</v>
      </c>
      <c r="C244" s="68"/>
      <c r="D244" s="69" t="str">
        <f>CONCATENATE(PROPER('BIÑAN INFO'!$G244),", ",PROPER('BIÑAN INFO'!$E244)," ",PROPER('BIÑAN INFO'!$F244),"."," (",UPPER('BIÑAN INFO'!$H244),")")</f>
        <v>,  . ()</v>
      </c>
      <c r="E244" s="70"/>
      <c r="F244" s="70"/>
      <c r="G244" s="70"/>
      <c r="H244" s="69"/>
      <c r="I244" s="71">
        <v>0.12</v>
      </c>
      <c r="J244" s="72">
        <v>1000.0</v>
      </c>
      <c r="K244" s="73"/>
      <c r="L244" s="73"/>
      <c r="M244" s="73"/>
      <c r="N244" s="74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30.0" customHeight="1">
      <c r="A245" s="68"/>
      <c r="B245" s="68">
        <v>245.0</v>
      </c>
      <c r="C245" s="68"/>
      <c r="D245" s="69" t="str">
        <f>CONCATENATE(PROPER('BIÑAN INFO'!$G245),", ",PROPER('BIÑAN INFO'!$E245)," ",PROPER('BIÑAN INFO'!$F245),"."," (",UPPER('BIÑAN INFO'!$H245),")")</f>
        <v>,  . ()</v>
      </c>
      <c r="E245" s="70"/>
      <c r="F245" s="70"/>
      <c r="G245" s="70"/>
      <c r="H245" s="69"/>
      <c r="I245" s="71">
        <v>0.12</v>
      </c>
      <c r="J245" s="72">
        <v>1000.0</v>
      </c>
      <c r="K245" s="73"/>
      <c r="L245" s="73"/>
      <c r="M245" s="73"/>
      <c r="N245" s="74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30.0" customHeight="1">
      <c r="A246" s="68"/>
      <c r="B246" s="68">
        <v>246.0</v>
      </c>
      <c r="C246" s="68"/>
      <c r="D246" s="69" t="str">
        <f>CONCATENATE(PROPER('BIÑAN INFO'!$G246),", ",PROPER('BIÑAN INFO'!$E246)," ",PROPER('BIÑAN INFO'!$F246),"."," (",UPPER('BIÑAN INFO'!$H246),")")</f>
        <v>,  . ()</v>
      </c>
      <c r="E246" s="70"/>
      <c r="F246" s="70"/>
      <c r="G246" s="70"/>
      <c r="H246" s="69"/>
      <c r="I246" s="71">
        <v>0.12</v>
      </c>
      <c r="J246" s="72">
        <v>1000.0</v>
      </c>
      <c r="K246" s="73"/>
      <c r="L246" s="73"/>
      <c r="M246" s="73"/>
      <c r="N246" s="74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30.0" customHeight="1">
      <c r="A247" s="68"/>
      <c r="B247" s="68">
        <v>247.0</v>
      </c>
      <c r="C247" s="68"/>
      <c r="D247" s="69" t="str">
        <f>CONCATENATE(PROPER('BIÑAN INFO'!$G247),", ",PROPER('BIÑAN INFO'!$E247)," ",PROPER('BIÑAN INFO'!$F247),"."," (",UPPER('BIÑAN INFO'!$H247),")")</f>
        <v>,  . ()</v>
      </c>
      <c r="E247" s="70"/>
      <c r="F247" s="70"/>
      <c r="G247" s="70"/>
      <c r="H247" s="69"/>
      <c r="I247" s="71">
        <v>0.12</v>
      </c>
      <c r="J247" s="72">
        <v>1000.0</v>
      </c>
      <c r="K247" s="73"/>
      <c r="L247" s="73"/>
      <c r="M247" s="73"/>
      <c r="N247" s="74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30.0" customHeight="1">
      <c r="A248" s="68"/>
      <c r="B248" s="68">
        <v>248.0</v>
      </c>
      <c r="C248" s="68"/>
      <c r="D248" s="69" t="str">
        <f>CONCATENATE(PROPER('BIÑAN INFO'!$G248),", ",PROPER('BIÑAN INFO'!$E248)," ",PROPER('BIÑAN INFO'!$F248),"."," (",UPPER('BIÑAN INFO'!$H248),")")</f>
        <v>,  . ()</v>
      </c>
      <c r="E248" s="70"/>
      <c r="F248" s="70"/>
      <c r="G248" s="70"/>
      <c r="H248" s="69"/>
      <c r="I248" s="71">
        <v>0.12</v>
      </c>
      <c r="J248" s="72">
        <v>1000.0</v>
      </c>
      <c r="K248" s="73"/>
      <c r="L248" s="73"/>
      <c r="M248" s="73"/>
      <c r="N248" s="74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30.0" customHeight="1">
      <c r="A249" s="68"/>
      <c r="B249" s="68">
        <v>249.0</v>
      </c>
      <c r="C249" s="68"/>
      <c r="D249" s="69" t="str">
        <f>CONCATENATE(PROPER('BIÑAN INFO'!$G249),", ",PROPER('BIÑAN INFO'!$E249)," ",PROPER('BIÑAN INFO'!$F249),"."," (",UPPER('BIÑAN INFO'!$H249),")")</f>
        <v>,  . ()</v>
      </c>
      <c r="E249" s="70"/>
      <c r="F249" s="70"/>
      <c r="G249" s="70"/>
      <c r="H249" s="69"/>
      <c r="I249" s="71">
        <v>0.12</v>
      </c>
      <c r="J249" s="72">
        <v>1000.0</v>
      </c>
      <c r="K249" s="73"/>
      <c r="L249" s="73"/>
      <c r="M249" s="73"/>
      <c r="N249" s="74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30.0" customHeight="1">
      <c r="A250" s="68"/>
      <c r="B250" s="68">
        <v>250.0</v>
      </c>
      <c r="C250" s="68"/>
      <c r="D250" s="69" t="str">
        <f>CONCATENATE(PROPER('BIÑAN INFO'!$G250),", ",PROPER('BIÑAN INFO'!$E250)," ",PROPER('BIÑAN INFO'!$F250),"."," (",UPPER('BIÑAN INFO'!$H250),")")</f>
        <v>,  . ()</v>
      </c>
      <c r="E250" s="70"/>
      <c r="F250" s="70"/>
      <c r="G250" s="70"/>
      <c r="H250" s="69"/>
      <c r="I250" s="71">
        <v>0.12</v>
      </c>
      <c r="J250" s="72">
        <v>1000.0</v>
      </c>
      <c r="K250" s="73"/>
      <c r="L250" s="73"/>
      <c r="M250" s="73"/>
      <c r="N250" s="74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30.0" customHeight="1">
      <c r="A251" s="68"/>
      <c r="B251" s="68">
        <v>251.0</v>
      </c>
      <c r="C251" s="68"/>
      <c r="D251" s="69" t="str">
        <f>CONCATENATE(PROPER('BIÑAN INFO'!$G251),", ",PROPER('BIÑAN INFO'!$E251)," ",PROPER('BIÑAN INFO'!$F251),"."," (",UPPER('BIÑAN INFO'!$H251),")")</f>
        <v>,  . ()</v>
      </c>
      <c r="E251" s="70"/>
      <c r="F251" s="70"/>
      <c r="G251" s="70"/>
      <c r="H251" s="69"/>
      <c r="I251" s="71">
        <v>0.12</v>
      </c>
      <c r="J251" s="72">
        <v>1000.0</v>
      </c>
      <c r="K251" s="73"/>
      <c r="L251" s="73"/>
      <c r="M251" s="73"/>
      <c r="N251" s="74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30.0" customHeight="1">
      <c r="A252" s="68"/>
      <c r="B252" s="68">
        <v>252.0</v>
      </c>
      <c r="C252" s="68"/>
      <c r="D252" s="69" t="str">
        <f>CONCATENATE(PROPER('BIÑAN INFO'!$G252),", ",PROPER('BIÑAN INFO'!$E252)," ",PROPER('BIÑAN INFO'!$F252),"."," (",UPPER('BIÑAN INFO'!$H252),")")</f>
        <v>Adto, Roberto . ()</v>
      </c>
      <c r="E252" s="70" t="s">
        <v>197</v>
      </c>
      <c r="F252" s="70"/>
      <c r="G252" s="70" t="s">
        <v>198</v>
      </c>
      <c r="H252" s="69"/>
      <c r="I252" s="71">
        <v>0.12</v>
      </c>
      <c r="J252" s="72">
        <v>1000.0</v>
      </c>
      <c r="K252" s="73"/>
      <c r="L252" s="73"/>
      <c r="M252" s="73"/>
      <c r="N252" s="74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30.0" customHeight="1">
      <c r="A253" s="68"/>
      <c r="B253" s="68">
        <v>253.0</v>
      </c>
      <c r="C253" s="68"/>
      <c r="D253" s="69" t="str">
        <f>CONCATENATE(PROPER('BIÑAN INFO'!$G253),", ",PROPER('BIÑAN INFO'!$E253)," ",PROPER('BIÑAN INFO'!$F253),"."," (",UPPER('BIÑAN INFO'!$H253),")")</f>
        <v>Asis, Ricaromana . ()</v>
      </c>
      <c r="E253" s="70" t="s">
        <v>199</v>
      </c>
      <c r="F253" s="70"/>
      <c r="G253" s="70" t="s">
        <v>200</v>
      </c>
      <c r="H253" s="69"/>
      <c r="I253" s="71">
        <v>0.12</v>
      </c>
      <c r="J253" s="72">
        <v>1000.0</v>
      </c>
      <c r="K253" s="73"/>
      <c r="L253" s="73"/>
      <c r="M253" s="73"/>
      <c r="N253" s="74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30.0" customHeight="1">
      <c r="A254" s="68"/>
      <c r="B254" s="68">
        <v>254.0</v>
      </c>
      <c r="C254" s="68"/>
      <c r="D254" s="69" t="str">
        <f>CONCATENATE(PROPER('BIÑAN INFO'!$G254),", ",PROPER('BIÑAN INFO'!$E254)," ",PROPER('BIÑAN INFO'!$F254),"."," (",UPPER('BIÑAN INFO'!$H254),")")</f>
        <v>Angeles, Renato . ()</v>
      </c>
      <c r="E254" s="70" t="s">
        <v>201</v>
      </c>
      <c r="F254" s="70"/>
      <c r="G254" s="70" t="s">
        <v>202</v>
      </c>
      <c r="H254" s="69"/>
      <c r="I254" s="71">
        <v>0.12</v>
      </c>
      <c r="J254" s="72">
        <v>1000.0</v>
      </c>
      <c r="K254" s="73"/>
      <c r="L254" s="73"/>
      <c r="M254" s="73"/>
      <c r="N254" s="74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30.0" customHeight="1">
      <c r="A255" s="68"/>
      <c r="B255" s="68">
        <v>255.0</v>
      </c>
      <c r="C255" s="68"/>
      <c r="D255" s="69" t="str">
        <f>CONCATENATE(PROPER('BIÑAN INFO'!$G255),", ",PROPER('BIÑAN INFO'!$E255)," ",PROPER('BIÑAN INFO'!$F255),"."," (",UPPER('BIÑAN INFO'!$H255),")")</f>
        <v>Santos, Venus . ()</v>
      </c>
      <c r="E255" s="70" t="s">
        <v>203</v>
      </c>
      <c r="F255" s="70"/>
      <c r="G255" s="70" t="s">
        <v>204</v>
      </c>
      <c r="H255" s="69"/>
      <c r="I255" s="71">
        <v>0.05</v>
      </c>
      <c r="J255" s="72">
        <v>5000.0</v>
      </c>
      <c r="K255" s="73"/>
      <c r="L255" s="73"/>
      <c r="M255" s="73"/>
      <c r="N255" s="74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30.0" customHeight="1">
      <c r="A256" s="68"/>
      <c r="B256" s="68">
        <v>256.0</v>
      </c>
      <c r="C256" s="68"/>
      <c r="D256" s="69" t="str">
        <f>CONCATENATE(PROPER('BIÑAN INFO'!$G256),", ",PROPER('BIÑAN INFO'!$E256)," ",PROPER('BIÑAN INFO'!$F256),"."," (",UPPER('BIÑAN INFO'!$H256),")")</f>
        <v>,  . ()</v>
      </c>
      <c r="E256" s="70"/>
      <c r="F256" s="70"/>
      <c r="G256" s="70"/>
      <c r="H256" s="69"/>
      <c r="I256" s="71">
        <v>0.12</v>
      </c>
      <c r="J256" s="72">
        <v>1000.0</v>
      </c>
      <c r="K256" s="73"/>
      <c r="L256" s="73"/>
      <c r="M256" s="73"/>
      <c r="N256" s="74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30.0" customHeight="1">
      <c r="A257" s="68"/>
      <c r="B257" s="68">
        <v>257.0</v>
      </c>
      <c r="C257" s="68"/>
      <c r="D257" s="69" t="str">
        <f>CONCATENATE(PROPER('BIÑAN INFO'!$G257),", ",PROPER('BIÑAN INFO'!$E257)," ",PROPER('BIÑAN INFO'!$F257),"."," (",UPPER('BIÑAN INFO'!$H257),")")</f>
        <v>Tolentino, Nestor . ()</v>
      </c>
      <c r="E257" s="70" t="s">
        <v>205</v>
      </c>
      <c r="F257" s="70"/>
      <c r="G257" s="70" t="s">
        <v>206</v>
      </c>
      <c r="H257" s="69"/>
      <c r="I257" s="71">
        <v>0.12</v>
      </c>
      <c r="J257" s="72">
        <v>1000.0</v>
      </c>
      <c r="K257" s="73"/>
      <c r="L257" s="73"/>
      <c r="M257" s="73"/>
      <c r="N257" s="74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30.0" customHeight="1">
      <c r="A258" s="68"/>
      <c r="B258" s="68">
        <v>258.0</v>
      </c>
      <c r="C258" s="68"/>
      <c r="D258" s="69" t="str">
        <f>CONCATENATE(PROPER('BIÑAN INFO'!$G258),", ",PROPER('BIÑAN INFO'!$E258)," ",PROPER('BIÑAN INFO'!$F258),"."," (",UPPER('BIÑAN INFO'!$H258),")")</f>
        <v>,  . ()</v>
      </c>
      <c r="E258" s="70"/>
      <c r="F258" s="70"/>
      <c r="G258" s="70"/>
      <c r="H258" s="69"/>
      <c r="I258" s="71">
        <v>0.05</v>
      </c>
      <c r="J258" s="72">
        <v>5000.0</v>
      </c>
      <c r="K258" s="73" t="s">
        <v>50</v>
      </c>
      <c r="L258" s="73" t="s">
        <v>106</v>
      </c>
      <c r="M258" s="73"/>
      <c r="N258" s="74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30.0" customHeight="1">
      <c r="A259" s="68"/>
      <c r="B259" s="68">
        <v>259.0</v>
      </c>
      <c r="C259" s="68"/>
      <c r="D259" s="69" t="str">
        <f>CONCATENATE(PROPER('BIÑAN INFO'!$G259),", ",PROPER('BIÑAN INFO'!$E259)," ",PROPER('BIÑAN INFO'!$F259),"."," (",UPPER('BIÑAN INFO'!$H259),")")</f>
        <v>,  . ()</v>
      </c>
      <c r="E259" s="70"/>
      <c r="F259" s="70"/>
      <c r="G259" s="70"/>
      <c r="H259" s="69"/>
      <c r="I259" s="71">
        <v>0.12</v>
      </c>
      <c r="J259" s="72">
        <v>1000.0</v>
      </c>
      <c r="K259" s="73"/>
      <c r="L259" s="73"/>
      <c r="M259" s="73"/>
      <c r="N259" s="74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30.0" customHeight="1">
      <c r="A260" s="68"/>
      <c r="B260" s="68">
        <v>260.0</v>
      </c>
      <c r="C260" s="68"/>
      <c r="D260" s="69" t="str">
        <f>CONCATENATE(PROPER('BIÑAN INFO'!$G260),", ",PROPER('BIÑAN INFO'!$E260)," ",PROPER('BIÑAN INFO'!$F260),"."," (",UPPER('BIÑAN INFO'!$H260),")")</f>
        <v>,  . ()</v>
      </c>
      <c r="E260" s="70"/>
      <c r="F260" s="70"/>
      <c r="G260" s="70"/>
      <c r="H260" s="69"/>
      <c r="I260" s="71">
        <v>0.12</v>
      </c>
      <c r="J260" s="72">
        <v>1000.0</v>
      </c>
      <c r="K260" s="73"/>
      <c r="L260" s="73"/>
      <c r="M260" s="73"/>
      <c r="N260" s="74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30.0" customHeight="1">
      <c r="A261" s="68"/>
      <c r="B261" s="68">
        <v>261.0</v>
      </c>
      <c r="C261" s="68"/>
      <c r="D261" s="69" t="str">
        <f>CONCATENATE(PROPER('BIÑAN INFO'!$G261),", ",PROPER('BIÑAN INFO'!$E261)," ",PROPER('BIÑAN INFO'!$F261),"."," (",UPPER('BIÑAN INFO'!$H261),")")</f>
        <v>,  . ()</v>
      </c>
      <c r="E261" s="70"/>
      <c r="F261" s="70"/>
      <c r="G261" s="70"/>
      <c r="H261" s="69"/>
      <c r="I261" s="71">
        <v>0.12</v>
      </c>
      <c r="J261" s="72">
        <v>1000.0</v>
      </c>
      <c r="K261" s="73"/>
      <c r="L261" s="73"/>
      <c r="M261" s="73"/>
      <c r="N261" s="74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30.0" customHeight="1">
      <c r="A262" s="68"/>
      <c r="B262" s="68">
        <v>262.0</v>
      </c>
      <c r="C262" s="68"/>
      <c r="D262" s="69" t="str">
        <f>CONCATENATE(PROPER('BIÑAN INFO'!$G262),", ",PROPER('BIÑAN INFO'!$E262)," ",PROPER('BIÑAN INFO'!$F262),"."," (",UPPER('BIÑAN INFO'!$H262),")")</f>
        <v>,  . ()</v>
      </c>
      <c r="E262" s="70"/>
      <c r="F262" s="70"/>
      <c r="G262" s="70"/>
      <c r="H262" s="69"/>
      <c r="I262" s="71">
        <v>0.12</v>
      </c>
      <c r="J262" s="72">
        <v>1000.0</v>
      </c>
      <c r="K262" s="73"/>
      <c r="L262" s="73"/>
      <c r="M262" s="73"/>
      <c r="N262" s="74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30.0" customHeight="1">
      <c r="A263" s="68"/>
      <c r="B263" s="68">
        <v>263.0</v>
      </c>
      <c r="C263" s="68"/>
      <c r="D263" s="69" t="str">
        <f>CONCATENATE(PROPER('BIÑAN INFO'!$G263),", ",PROPER('BIÑAN INFO'!$E263)," ",PROPER('BIÑAN INFO'!$F263),"."," (",UPPER('BIÑAN INFO'!$H263),")")</f>
        <v>,  . ()</v>
      </c>
      <c r="E263" s="70"/>
      <c r="F263" s="70"/>
      <c r="G263" s="70"/>
      <c r="H263" s="69"/>
      <c r="I263" s="71">
        <v>0.12</v>
      </c>
      <c r="J263" s="72">
        <v>1000.0</v>
      </c>
      <c r="K263" s="73"/>
      <c r="L263" s="73"/>
      <c r="M263" s="73"/>
      <c r="N263" s="74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30.0" customHeight="1">
      <c r="A264" s="68">
        <v>1133.0</v>
      </c>
      <c r="B264" s="68">
        <v>264.0</v>
      </c>
      <c r="C264" s="68"/>
      <c r="D264" s="69" t="str">
        <f>CONCATENATE(PROPER('BIÑAN INFO'!$G264),", ",PROPER('BIÑAN INFO'!$E264)," ",PROPER('BIÑAN INFO'!$F264),"."," (",UPPER('BIÑAN INFO'!$H264),")")</f>
        <v>Baes, Paul . ()</v>
      </c>
      <c r="E264" s="70" t="s">
        <v>207</v>
      </c>
      <c r="F264" s="70"/>
      <c r="G264" s="70" t="s">
        <v>208</v>
      </c>
      <c r="H264" s="69"/>
      <c r="I264" s="71">
        <v>0.05</v>
      </c>
      <c r="J264" s="72">
        <v>1000.0</v>
      </c>
      <c r="K264" s="73"/>
      <c r="L264" s="73"/>
      <c r="M264" s="73"/>
      <c r="N264" s="74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30.0" customHeight="1">
      <c r="A265" s="68"/>
      <c r="B265" s="68">
        <v>265.0</v>
      </c>
      <c r="C265" s="68"/>
      <c r="D265" s="69" t="str">
        <f>CONCATENATE(PROPER('BIÑAN INFO'!$G265),", ",PROPER('BIÑAN INFO'!$E265)," ",PROPER('BIÑAN INFO'!$F265),"."," (",UPPER('BIÑAN INFO'!$H265),")")</f>
        <v>,  . ()</v>
      </c>
      <c r="E265" s="70"/>
      <c r="F265" s="70"/>
      <c r="G265" s="70"/>
      <c r="H265" s="69"/>
      <c r="I265" s="71">
        <v>0.12</v>
      </c>
      <c r="J265" s="72">
        <v>1000.0</v>
      </c>
      <c r="K265" s="73"/>
      <c r="L265" s="73"/>
      <c r="M265" s="73"/>
      <c r="N265" s="74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30.0" customHeight="1">
      <c r="A266" s="68"/>
      <c r="B266" s="68">
        <v>266.0</v>
      </c>
      <c r="C266" s="68"/>
      <c r="D266" s="69" t="str">
        <f>CONCATENATE(PROPER('BIÑAN INFO'!$G266),", ",PROPER('BIÑAN INFO'!$E266)," ",PROPER('BIÑAN INFO'!$F266),"."," (",UPPER('BIÑAN INFO'!$H266),")")</f>
        <v>Alibudbud, Arleen . ()</v>
      </c>
      <c r="E266" s="70" t="s">
        <v>209</v>
      </c>
      <c r="F266" s="70"/>
      <c r="G266" s="70" t="s">
        <v>210</v>
      </c>
      <c r="H266" s="69"/>
      <c r="I266" s="71">
        <v>0.12</v>
      </c>
      <c r="J266" s="72">
        <v>1000.0</v>
      </c>
      <c r="K266" s="73"/>
      <c r="L266" s="73"/>
      <c r="M266" s="73"/>
      <c r="N266" s="74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30.0" customHeight="1">
      <c r="A267" s="68"/>
      <c r="B267" s="68">
        <v>267.0</v>
      </c>
      <c r="C267" s="68"/>
      <c r="D267" s="69" t="str">
        <f>CONCATENATE(PROPER('BIÑAN INFO'!$G267),", ",PROPER('BIÑAN INFO'!$E267)," ",PROPER('BIÑAN INFO'!$F267),"."," (",UPPER('BIÑAN INFO'!$H267),")")</f>
        <v>,  . ()</v>
      </c>
      <c r="E267" s="70"/>
      <c r="F267" s="70"/>
      <c r="G267" s="70"/>
      <c r="H267" s="69"/>
      <c r="I267" s="71">
        <v>0.12</v>
      </c>
      <c r="J267" s="72">
        <v>1000.0</v>
      </c>
      <c r="K267" s="73"/>
      <c r="L267" s="73"/>
      <c r="M267" s="73"/>
      <c r="N267" s="74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30.0" customHeight="1">
      <c r="A268" s="68"/>
      <c r="B268" s="68">
        <v>268.0</v>
      </c>
      <c r="C268" s="68"/>
      <c r="D268" s="69" t="str">
        <f>CONCATENATE(PROPER('BIÑAN INFO'!$G268),", ",PROPER('BIÑAN INFO'!$E268)," ",PROPER('BIÑAN INFO'!$F268),"."," (",UPPER('BIÑAN INFO'!$H268),")")</f>
        <v>Benito, Shan . ()</v>
      </c>
      <c r="E268" s="70" t="s">
        <v>211</v>
      </c>
      <c r="F268" s="70"/>
      <c r="G268" s="70" t="s">
        <v>212</v>
      </c>
      <c r="H268" s="69"/>
      <c r="I268" s="71">
        <v>0.12</v>
      </c>
      <c r="J268" s="72">
        <v>1000.0</v>
      </c>
      <c r="K268" s="73"/>
      <c r="L268" s="73"/>
      <c r="M268" s="73"/>
      <c r="N268" s="74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30.0" customHeight="1">
      <c r="A269" s="68"/>
      <c r="B269" s="68">
        <v>269.0</v>
      </c>
      <c r="C269" s="68"/>
      <c r="D269" s="69" t="str">
        <f>CONCATENATE(PROPER('BIÑAN INFO'!$G269),", ",PROPER('BIÑAN INFO'!$E269)," ",PROPER('BIÑAN INFO'!$F269),"."," (",UPPER('BIÑAN INFO'!$H269),")")</f>
        <v>,  . ()</v>
      </c>
      <c r="E269" s="70"/>
      <c r="F269" s="70"/>
      <c r="G269" s="70"/>
      <c r="H269" s="69"/>
      <c r="I269" s="71">
        <v>0.12</v>
      </c>
      <c r="J269" s="72">
        <v>1000.0</v>
      </c>
      <c r="K269" s="73"/>
      <c r="L269" s="73"/>
      <c r="M269" s="73"/>
      <c r="N269" s="74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30.0" customHeight="1">
      <c r="A270" s="68"/>
      <c r="B270" s="68">
        <v>270.0</v>
      </c>
      <c r="C270" s="68"/>
      <c r="D270" s="69" t="str">
        <f>CONCATENATE(PROPER('BIÑAN INFO'!$G270),", ",PROPER('BIÑAN INFO'!$E270)," ",PROPER('BIÑAN INFO'!$F270),"."," (",UPPER('BIÑAN INFO'!$H270),")")</f>
        <v>,  . ()</v>
      </c>
      <c r="E270" s="70"/>
      <c r="F270" s="70"/>
      <c r="G270" s="70"/>
      <c r="H270" s="69"/>
      <c r="I270" s="71">
        <v>0.12</v>
      </c>
      <c r="J270" s="72">
        <v>1000.0</v>
      </c>
      <c r="K270" s="73"/>
      <c r="L270" s="73"/>
      <c r="M270" s="73"/>
      <c r="N270" s="74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30.0" customHeight="1">
      <c r="A271" s="68"/>
      <c r="B271" s="68">
        <v>271.0</v>
      </c>
      <c r="C271" s="68"/>
      <c r="D271" s="69" t="str">
        <f>CONCATENATE(PROPER('BIÑAN INFO'!$G271),", ",PROPER('BIÑAN INFO'!$E271)," ",PROPER('BIÑAN INFO'!$F271),"."," (",UPPER('BIÑAN INFO'!$H271),")")</f>
        <v>,  . ()</v>
      </c>
      <c r="E271" s="70"/>
      <c r="F271" s="70"/>
      <c r="G271" s="70"/>
      <c r="H271" s="69"/>
      <c r="I271" s="71">
        <v>0.12</v>
      </c>
      <c r="J271" s="72">
        <v>1000.0</v>
      </c>
      <c r="K271" s="73"/>
      <c r="L271" s="73"/>
      <c r="M271" s="73"/>
      <c r="N271" s="74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30.0" customHeight="1">
      <c r="A272" s="68"/>
      <c r="B272" s="68">
        <v>272.0</v>
      </c>
      <c r="C272" s="68"/>
      <c r="D272" s="69" t="str">
        <f>CONCATENATE(PROPER('BIÑAN INFO'!$G272),", ",PROPER('BIÑAN INFO'!$E272)," ",PROPER('BIÑAN INFO'!$F272),"."," (",UPPER('BIÑAN INFO'!$H272),")")</f>
        <v>,  . ()</v>
      </c>
      <c r="E272" s="70"/>
      <c r="F272" s="70"/>
      <c r="G272" s="70"/>
      <c r="H272" s="69"/>
      <c r="I272" s="71">
        <v>0.12</v>
      </c>
      <c r="J272" s="72">
        <v>1000.0</v>
      </c>
      <c r="K272" s="73"/>
      <c r="L272" s="73"/>
      <c r="M272" s="73"/>
      <c r="N272" s="74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30.0" customHeight="1">
      <c r="A273" s="68"/>
      <c r="B273" s="68">
        <v>273.0</v>
      </c>
      <c r="C273" s="68"/>
      <c r="D273" s="69" t="str">
        <f>CONCATENATE(PROPER('BIÑAN INFO'!$G273),", ",PROPER('BIÑAN INFO'!$E273)," ",PROPER('BIÑAN INFO'!$F273),"."," (",UPPER('BIÑAN INFO'!$H273),")")</f>
        <v>Almarinez, Lutgardo . ()</v>
      </c>
      <c r="E273" s="70" t="s">
        <v>213</v>
      </c>
      <c r="F273" s="70"/>
      <c r="G273" s="70" t="s">
        <v>214</v>
      </c>
      <c r="H273" s="69"/>
      <c r="I273" s="71">
        <v>0.12</v>
      </c>
      <c r="J273" s="72">
        <v>1000.0</v>
      </c>
      <c r="K273" s="73"/>
      <c r="L273" s="73"/>
      <c r="M273" s="73"/>
      <c r="N273" s="74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30.0" customHeight="1">
      <c r="A274" s="68"/>
      <c r="B274" s="68">
        <v>274.0</v>
      </c>
      <c r="C274" s="68"/>
      <c r="D274" s="69" t="str">
        <f>CONCATENATE(PROPER('BIÑAN INFO'!$G274),", ",PROPER('BIÑAN INFO'!$E274)," ",PROPER('BIÑAN INFO'!$F274),"."," (",UPPER('BIÑAN INFO'!$H274),")")</f>
        <v>Carino, Bryan . ()</v>
      </c>
      <c r="E274" s="70" t="s">
        <v>215</v>
      </c>
      <c r="F274" s="70"/>
      <c r="G274" s="70" t="s">
        <v>216</v>
      </c>
      <c r="H274" s="69"/>
      <c r="I274" s="71">
        <v>0.05</v>
      </c>
      <c r="J274" s="72">
        <v>1000.0</v>
      </c>
      <c r="K274" s="73" t="s">
        <v>50</v>
      </c>
      <c r="L274" s="73"/>
      <c r="M274" s="73"/>
      <c r="N274" s="74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30.0" customHeight="1">
      <c r="A275" s="68"/>
      <c r="B275" s="68">
        <v>275.0</v>
      </c>
      <c r="C275" s="68"/>
      <c r="D275" s="69" t="str">
        <f>CONCATENATE(PROPER('BIÑAN INFO'!$G275),", ",PROPER('BIÑAN INFO'!$E275)," ",PROPER('BIÑAN INFO'!$F275),"."," (",UPPER('BIÑAN INFO'!$H275),")")</f>
        <v>,  . ()</v>
      </c>
      <c r="E275" s="70"/>
      <c r="F275" s="70"/>
      <c r="G275" s="70"/>
      <c r="H275" s="69"/>
      <c r="I275" s="71">
        <v>0.12</v>
      </c>
      <c r="J275" s="72">
        <v>1000.0</v>
      </c>
      <c r="K275" s="73"/>
      <c r="L275" s="73"/>
      <c r="M275" s="73"/>
      <c r="N275" s="74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30.0" customHeight="1">
      <c r="A276" s="68"/>
      <c r="B276" s="68">
        <v>276.0</v>
      </c>
      <c r="C276" s="68"/>
      <c r="D276" s="69" t="str">
        <f>CONCATENATE(PROPER('BIÑAN INFO'!$G276),", ",PROPER('BIÑAN INFO'!$E276)," ",PROPER('BIÑAN INFO'!$F276),"."," (",UPPER('BIÑAN INFO'!$H276),")")</f>
        <v>Avila, Fidel . ()</v>
      </c>
      <c r="E276" s="70" t="s">
        <v>217</v>
      </c>
      <c r="F276" s="70"/>
      <c r="G276" s="70" t="s">
        <v>218</v>
      </c>
      <c r="H276" s="69"/>
      <c r="I276" s="71">
        <v>0.12</v>
      </c>
      <c r="J276" s="72">
        <v>1000.0</v>
      </c>
      <c r="K276" s="73"/>
      <c r="L276" s="73"/>
      <c r="M276" s="73"/>
      <c r="N276" s="74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30.0" customHeight="1">
      <c r="A277" s="68"/>
      <c r="B277" s="68">
        <v>277.0</v>
      </c>
      <c r="C277" s="68"/>
      <c r="D277" s="69" t="str">
        <f>CONCATENATE(PROPER('BIÑAN INFO'!$G277),", ",PROPER('BIÑAN INFO'!$E277)," ",PROPER('BIÑAN INFO'!$F277),"."," (",UPPER('BIÑAN INFO'!$H277),")")</f>
        <v>,  . ()</v>
      </c>
      <c r="E277" s="70"/>
      <c r="F277" s="70"/>
      <c r="G277" s="70"/>
      <c r="H277" s="69"/>
      <c r="I277" s="71">
        <v>0.12</v>
      </c>
      <c r="J277" s="72">
        <v>1000.0</v>
      </c>
      <c r="K277" s="73"/>
      <c r="L277" s="73"/>
      <c r="M277" s="73"/>
      <c r="N277" s="74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30.0" customHeight="1">
      <c r="A278" s="68"/>
      <c r="B278" s="68">
        <v>278.0</v>
      </c>
      <c r="C278" s="68"/>
      <c r="D278" s="69" t="str">
        <f>CONCATENATE(PROPER('BIÑAN INFO'!$G278),", ",PROPER('BIÑAN INFO'!$E278)," ",PROPER('BIÑAN INFO'!$F278),"."," (",UPPER('BIÑAN INFO'!$H278),")")</f>
        <v>,  . ()</v>
      </c>
      <c r="E278" s="70"/>
      <c r="F278" s="70"/>
      <c r="G278" s="70"/>
      <c r="H278" s="69"/>
      <c r="I278" s="71">
        <v>0.12</v>
      </c>
      <c r="J278" s="72">
        <v>1000.0</v>
      </c>
      <c r="K278" s="73"/>
      <c r="L278" s="73"/>
      <c r="M278" s="73"/>
      <c r="N278" s="74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30.0" customHeight="1">
      <c r="A279" s="68"/>
      <c r="B279" s="68">
        <v>279.0</v>
      </c>
      <c r="C279" s="68"/>
      <c r="D279" s="69" t="str">
        <f>CONCATENATE(PROPER('BIÑAN INFO'!$G279),", ",PROPER('BIÑAN INFO'!$E279)," ",PROPER('BIÑAN INFO'!$F279),"."," (",UPPER('BIÑAN INFO'!$H279),")")</f>
        <v>,  . ()</v>
      </c>
      <c r="E279" s="70"/>
      <c r="F279" s="70"/>
      <c r="G279" s="70"/>
      <c r="H279" s="69"/>
      <c r="I279" s="71">
        <v>0.12</v>
      </c>
      <c r="J279" s="72">
        <v>1000.0</v>
      </c>
      <c r="K279" s="73"/>
      <c r="L279" s="73"/>
      <c r="M279" s="73"/>
      <c r="N279" s="74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30.0" customHeight="1">
      <c r="A280" s="68"/>
      <c r="B280" s="68">
        <v>280.0</v>
      </c>
      <c r="C280" s="68"/>
      <c r="D280" s="69" t="str">
        <f>CONCATENATE(PROPER('BIÑAN INFO'!$G280),", ",PROPER('BIÑAN INFO'!$E280)," ",PROPER('BIÑAN INFO'!$F280),"."," (",UPPER('BIÑAN INFO'!$H280),")")</f>
        <v>Cahilig, Romar . ()</v>
      </c>
      <c r="E280" s="70" t="s">
        <v>219</v>
      </c>
      <c r="F280" s="70"/>
      <c r="G280" s="70" t="s">
        <v>220</v>
      </c>
      <c r="H280" s="69"/>
      <c r="I280" s="71">
        <v>0.12</v>
      </c>
      <c r="J280" s="72">
        <v>1000.0</v>
      </c>
      <c r="K280" s="73"/>
      <c r="L280" s="73"/>
      <c r="M280" s="73"/>
      <c r="N280" s="74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30.0" customHeight="1">
      <c r="A281" s="68"/>
      <c r="B281" s="68">
        <v>281.0</v>
      </c>
      <c r="C281" s="68"/>
      <c r="D281" s="69" t="str">
        <f>CONCATENATE(PROPER('BIÑAN INFO'!$G281),", ",PROPER('BIÑAN INFO'!$E281)," ",PROPER('BIÑAN INFO'!$F281),"."," (",UPPER('BIÑAN INFO'!$H281),")")</f>
        <v>,  . ()</v>
      </c>
      <c r="E281" s="70"/>
      <c r="F281" s="70"/>
      <c r="G281" s="70"/>
      <c r="H281" s="69"/>
      <c r="I281" s="71">
        <v>0.12</v>
      </c>
      <c r="J281" s="72">
        <v>1000.0</v>
      </c>
      <c r="K281" s="73"/>
      <c r="L281" s="73"/>
      <c r="M281" s="73"/>
      <c r="N281" s="74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30.0" customHeight="1">
      <c r="A282" s="68"/>
      <c r="B282" s="68">
        <v>282.0</v>
      </c>
      <c r="C282" s="68"/>
      <c r="D282" s="69" t="str">
        <f>CONCATENATE(PROPER('BIÑAN INFO'!$G282),", ",PROPER('BIÑAN INFO'!$E282)," ",PROPER('BIÑAN INFO'!$F282),"."," (",UPPER('BIÑAN INFO'!$H282),")")</f>
        <v>,  . ()</v>
      </c>
      <c r="E282" s="70"/>
      <c r="F282" s="70"/>
      <c r="G282" s="70"/>
      <c r="H282" s="69"/>
      <c r="I282" s="71">
        <v>0.12</v>
      </c>
      <c r="J282" s="72">
        <v>1000.0</v>
      </c>
      <c r="K282" s="73"/>
      <c r="L282" s="73"/>
      <c r="M282" s="73"/>
      <c r="N282" s="74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30.0" customHeight="1">
      <c r="A283" s="68"/>
      <c r="B283" s="68">
        <v>283.0</v>
      </c>
      <c r="C283" s="68"/>
      <c r="D283" s="69" t="str">
        <f>CONCATENATE(PROPER('BIÑAN INFO'!$G283),", ",PROPER('BIÑAN INFO'!$E283)," ",PROPER('BIÑAN INFO'!$F283),"."," (",UPPER('BIÑAN INFO'!$H283),")")</f>
        <v>,  . ()</v>
      </c>
      <c r="E283" s="70"/>
      <c r="F283" s="70"/>
      <c r="G283" s="70"/>
      <c r="H283" s="69"/>
      <c r="I283" s="71">
        <v>0.12</v>
      </c>
      <c r="J283" s="72">
        <v>1000.0</v>
      </c>
      <c r="K283" s="73"/>
      <c r="L283" s="73"/>
      <c r="M283" s="73"/>
      <c r="N283" s="74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30.0" customHeight="1">
      <c r="A284" s="68"/>
      <c r="B284" s="68">
        <v>284.0</v>
      </c>
      <c r="C284" s="68"/>
      <c r="D284" s="69" t="str">
        <f>CONCATENATE(PROPER('BIÑAN INFO'!$G284),", ",PROPER('BIÑAN INFO'!$E284)," ",PROPER('BIÑAN INFO'!$F284),"."," (",UPPER('BIÑAN INFO'!$H284),")")</f>
        <v>Alan, Elinora . ()</v>
      </c>
      <c r="E284" s="70" t="s">
        <v>221</v>
      </c>
      <c r="F284" s="70"/>
      <c r="G284" s="70" t="s">
        <v>222</v>
      </c>
      <c r="H284" s="69"/>
      <c r="I284" s="71">
        <v>0.12</v>
      </c>
      <c r="J284" s="72">
        <v>1000.0</v>
      </c>
      <c r="K284" s="73"/>
      <c r="L284" s="73"/>
      <c r="M284" s="73"/>
      <c r="N284" s="74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30.0" customHeight="1">
      <c r="A285" s="68"/>
      <c r="B285" s="68">
        <v>285.0</v>
      </c>
      <c r="C285" s="68"/>
      <c r="D285" s="69" t="str">
        <f>CONCATENATE(PROPER('BIÑAN INFO'!$G285),", ",PROPER('BIÑAN INFO'!$E285)," ",PROPER('BIÑAN INFO'!$F285),"."," (",UPPER('BIÑAN INFO'!$H285),")")</f>
        <v>Adto, Roberto . ()</v>
      </c>
      <c r="E285" s="70" t="s">
        <v>197</v>
      </c>
      <c r="F285" s="70"/>
      <c r="G285" s="70" t="s">
        <v>198</v>
      </c>
      <c r="H285" s="69"/>
      <c r="I285" s="71">
        <v>0.12</v>
      </c>
      <c r="J285" s="72">
        <v>1000.0</v>
      </c>
      <c r="K285" s="73"/>
      <c r="L285" s="73"/>
      <c r="M285" s="73"/>
      <c r="N285" s="74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30.0" customHeight="1">
      <c r="A286" s="68"/>
      <c r="B286" s="68">
        <v>286.0</v>
      </c>
      <c r="C286" s="68"/>
      <c r="D286" s="69" t="str">
        <f>CONCATENATE(PROPER('BIÑAN INFO'!$G286),", ",PROPER('BIÑAN INFO'!$E286)," ",PROPER('BIÑAN INFO'!$F286),"."," (",UPPER('BIÑAN INFO'!$H286),")")</f>
        <v>,  . ()</v>
      </c>
      <c r="E286" s="70"/>
      <c r="F286" s="70"/>
      <c r="G286" s="70"/>
      <c r="H286" s="69"/>
      <c r="I286" s="71">
        <v>0.12</v>
      </c>
      <c r="J286" s="72">
        <v>1000.0</v>
      </c>
      <c r="K286" s="73"/>
      <c r="L286" s="73"/>
      <c r="M286" s="73"/>
      <c r="N286" s="74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30.0" customHeight="1">
      <c r="A287" s="68"/>
      <c r="B287" s="68">
        <v>287.0</v>
      </c>
      <c r="C287" s="68"/>
      <c r="D287" s="69" t="str">
        <f>CONCATENATE(PROPER('BIÑAN INFO'!$G287),", ",PROPER('BIÑAN INFO'!$E287)," ",PROPER('BIÑAN INFO'!$F287),"."," (",UPPER('BIÑAN INFO'!$H287),")")</f>
        <v>,  . ()</v>
      </c>
      <c r="E287" s="70"/>
      <c r="F287" s="70"/>
      <c r="G287" s="70"/>
      <c r="H287" s="69"/>
      <c r="I287" s="71">
        <v>0.12</v>
      </c>
      <c r="J287" s="72">
        <v>1000.0</v>
      </c>
      <c r="K287" s="73"/>
      <c r="L287" s="73"/>
      <c r="M287" s="73"/>
      <c r="N287" s="74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30.0" customHeight="1">
      <c r="A288" s="68"/>
      <c r="B288" s="68">
        <v>288.0</v>
      </c>
      <c r="C288" s="68"/>
      <c r="D288" s="69" t="str">
        <f>CONCATENATE(PROPER('BIÑAN INFO'!$G288),", ",PROPER('BIÑAN INFO'!$E288)," ",PROPER('BIÑAN INFO'!$F288),"."," (",UPPER('BIÑAN INFO'!$H288),")")</f>
        <v>Pera, Desirea . ()</v>
      </c>
      <c r="E288" s="70" t="s">
        <v>223</v>
      </c>
      <c r="F288" s="70"/>
      <c r="G288" s="70" t="s">
        <v>224</v>
      </c>
      <c r="H288" s="69"/>
      <c r="I288" s="71">
        <v>0.05</v>
      </c>
      <c r="J288" s="72">
        <v>5000.0</v>
      </c>
      <c r="K288" s="73" t="s">
        <v>50</v>
      </c>
      <c r="L288" s="73"/>
      <c r="M288" s="73"/>
      <c r="N288" s="74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30.0" customHeight="1">
      <c r="A289" s="68"/>
      <c r="B289" s="68">
        <v>289.0</v>
      </c>
      <c r="C289" s="68"/>
      <c r="D289" s="69" t="str">
        <f>CONCATENATE(PROPER('BIÑAN INFO'!$G289),", ",PROPER('BIÑAN INFO'!$E289)," ",PROPER('BIÑAN INFO'!$F289),"."," (",UPPER('BIÑAN INFO'!$H289),")")</f>
        <v>,  . ()</v>
      </c>
      <c r="E289" s="70"/>
      <c r="F289" s="70"/>
      <c r="G289" s="70"/>
      <c r="H289" s="69"/>
      <c r="I289" s="71">
        <v>0.12</v>
      </c>
      <c r="J289" s="72">
        <v>1000.0</v>
      </c>
      <c r="K289" s="73"/>
      <c r="L289" s="73"/>
      <c r="M289" s="73"/>
      <c r="N289" s="74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30.0" customHeight="1">
      <c r="A290" s="68"/>
      <c r="B290" s="68">
        <v>290.0</v>
      </c>
      <c r="C290" s="68"/>
      <c r="D290" s="69" t="str">
        <f>CONCATENATE(PROPER('BIÑAN INFO'!$G290),", ",PROPER('BIÑAN INFO'!$E290)," ",PROPER('BIÑAN INFO'!$F290),"."," (",UPPER('BIÑAN INFO'!$H290),")")</f>
        <v>Añonuevo, Susan . ()</v>
      </c>
      <c r="E290" s="70" t="s">
        <v>225</v>
      </c>
      <c r="F290" s="70"/>
      <c r="G290" s="70" t="s">
        <v>226</v>
      </c>
      <c r="H290" s="69"/>
      <c r="I290" s="71">
        <v>0.12</v>
      </c>
      <c r="J290" s="72">
        <v>1000.0</v>
      </c>
      <c r="K290" s="73"/>
      <c r="L290" s="73"/>
      <c r="M290" s="73"/>
      <c r="N290" s="74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30.0" customHeight="1">
      <c r="A291" s="68"/>
      <c r="B291" s="68">
        <v>291.0</v>
      </c>
      <c r="C291" s="68"/>
      <c r="D291" s="69" t="str">
        <f>CONCATENATE(PROPER('BIÑAN INFO'!$G291),", ",PROPER('BIÑAN INFO'!$E291)," ",PROPER('BIÑAN INFO'!$F291),"."," (",UPPER('BIÑAN INFO'!$H291),")")</f>
        <v>,  . ()</v>
      </c>
      <c r="E291" s="70"/>
      <c r="F291" s="70"/>
      <c r="G291" s="70"/>
      <c r="H291" s="69"/>
      <c r="I291" s="71">
        <v>0.12</v>
      </c>
      <c r="J291" s="72">
        <v>1000.0</v>
      </c>
      <c r="K291" s="73"/>
      <c r="L291" s="73"/>
      <c r="M291" s="73"/>
      <c r="N291" s="74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30.0" customHeight="1">
      <c r="A292" s="68"/>
      <c r="B292" s="68">
        <v>292.0</v>
      </c>
      <c r="C292" s="68"/>
      <c r="D292" s="69" t="str">
        <f>CONCATENATE(PROPER('BIÑAN INFO'!$G292),", ",PROPER('BIÑAN INFO'!$E292)," ",PROPER('BIÑAN INFO'!$F292),"."," (",UPPER('BIÑAN INFO'!$H292),")")</f>
        <v>Tabora, Marissa . ()</v>
      </c>
      <c r="E292" s="70" t="s">
        <v>227</v>
      </c>
      <c r="F292" s="70"/>
      <c r="G292" s="70" t="s">
        <v>228</v>
      </c>
      <c r="H292" s="69"/>
      <c r="I292" s="71">
        <v>0.05</v>
      </c>
      <c r="J292" s="72">
        <v>1000.0</v>
      </c>
      <c r="K292" s="73"/>
      <c r="L292" s="73"/>
      <c r="M292" s="73"/>
      <c r="N292" s="74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30.0" customHeight="1">
      <c r="A293" s="68"/>
      <c r="B293" s="68">
        <v>293.0</v>
      </c>
      <c r="C293" s="68"/>
      <c r="D293" s="69" t="str">
        <f>CONCATENATE(PROPER('BIÑAN INFO'!$G293),", ",PROPER('BIÑAN INFO'!$E293)," ",PROPER('BIÑAN INFO'!$F293),"."," (",UPPER('BIÑAN INFO'!$H293),")")</f>
        <v>Amido, Evelyn . ()</v>
      </c>
      <c r="E293" s="70" t="s">
        <v>229</v>
      </c>
      <c r="F293" s="70"/>
      <c r="G293" s="70" t="s">
        <v>230</v>
      </c>
      <c r="H293" s="69"/>
      <c r="I293" s="71">
        <v>0.12</v>
      </c>
      <c r="J293" s="72">
        <v>1000.0</v>
      </c>
      <c r="K293" s="73"/>
      <c r="L293" s="73"/>
      <c r="M293" s="73"/>
      <c r="N293" s="74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30.0" customHeight="1">
      <c r="A294" s="68"/>
      <c r="B294" s="68">
        <v>294.0</v>
      </c>
      <c r="C294" s="68"/>
      <c r="D294" s="69" t="str">
        <f>CONCATENATE(PROPER('BIÑAN INFO'!$G294),", ",PROPER('BIÑAN INFO'!$E294)," ",PROPER('BIÑAN INFO'!$F294),"."," (",UPPER('BIÑAN INFO'!$H294),")")</f>
        <v>,  . ()</v>
      </c>
      <c r="E294" s="70"/>
      <c r="F294" s="70"/>
      <c r="G294" s="70"/>
      <c r="H294" s="69"/>
      <c r="I294" s="71">
        <v>0.12</v>
      </c>
      <c r="J294" s="72">
        <v>1000.0</v>
      </c>
      <c r="K294" s="73"/>
      <c r="L294" s="73"/>
      <c r="M294" s="73"/>
      <c r="N294" s="74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30.0" customHeight="1">
      <c r="A295" s="68"/>
      <c r="B295" s="68">
        <v>295.0</v>
      </c>
      <c r="C295" s="68"/>
      <c r="D295" s="69" t="str">
        <f>CONCATENATE(PROPER('BIÑAN INFO'!$G295),", ",PROPER('BIÑAN INFO'!$E295)," ",PROPER('BIÑAN INFO'!$F295),"."," (",UPPER('BIÑAN INFO'!$H295),")")</f>
        <v>,  . ()</v>
      </c>
      <c r="E295" s="70"/>
      <c r="F295" s="70"/>
      <c r="G295" s="70"/>
      <c r="H295" s="69"/>
      <c r="I295" s="71">
        <v>0.12</v>
      </c>
      <c r="J295" s="72">
        <v>1000.0</v>
      </c>
      <c r="K295" s="73"/>
      <c r="L295" s="73"/>
      <c r="M295" s="73"/>
      <c r="N295" s="74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30.0" customHeight="1">
      <c r="A296" s="68"/>
      <c r="B296" s="68">
        <v>296.0</v>
      </c>
      <c r="C296" s="68"/>
      <c r="D296" s="69" t="str">
        <f>CONCATENATE(PROPER('BIÑAN INFO'!$G296),", ",PROPER('BIÑAN INFO'!$E296)," ",PROPER('BIÑAN INFO'!$F296),"."," (",UPPER('BIÑAN INFO'!$H296),")")</f>
        <v>,  . ()</v>
      </c>
      <c r="E296" s="70"/>
      <c r="F296" s="70"/>
      <c r="G296" s="70"/>
      <c r="H296" s="69"/>
      <c r="I296" s="71">
        <v>0.12</v>
      </c>
      <c r="J296" s="72">
        <v>1000.0</v>
      </c>
      <c r="K296" s="73"/>
      <c r="L296" s="73"/>
      <c r="M296" s="73"/>
      <c r="N296" s="74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30.0" customHeight="1">
      <c r="A297" s="68"/>
      <c r="B297" s="68">
        <v>297.0</v>
      </c>
      <c r="C297" s="68"/>
      <c r="D297" s="69" t="str">
        <f>CONCATENATE(PROPER('BIÑAN INFO'!$G297),", ",PROPER('BIÑAN INFO'!$E297)," ",PROPER('BIÑAN INFO'!$F297),"."," (",UPPER('BIÑAN INFO'!$H297),")")</f>
        <v>Regondola, Marilyn . ()</v>
      </c>
      <c r="E297" s="70" t="s">
        <v>231</v>
      </c>
      <c r="F297" s="70"/>
      <c r="G297" s="70" t="s">
        <v>232</v>
      </c>
      <c r="H297" s="70"/>
      <c r="I297" s="71">
        <v>0.05</v>
      </c>
      <c r="J297" s="72">
        <v>1000.0</v>
      </c>
      <c r="K297" s="73"/>
      <c r="L297" s="73"/>
      <c r="M297" s="73"/>
      <c r="N297" s="74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30.0" customHeight="1">
      <c r="A298" s="68"/>
      <c r="B298" s="68">
        <v>298.0</v>
      </c>
      <c r="C298" s="68"/>
      <c r="D298" s="69" t="str">
        <f>CONCATENATE(PROPER('BIÑAN INFO'!$G298),", ",PROPER('BIÑAN INFO'!$E298)," ",PROPER('BIÑAN INFO'!$F298),"."," (",UPPER('BIÑAN INFO'!$H298),")")</f>
        <v>Bunga, Roniel . ()</v>
      </c>
      <c r="E298" s="70" t="s">
        <v>233</v>
      </c>
      <c r="F298" s="70"/>
      <c r="G298" s="70" t="s">
        <v>234</v>
      </c>
      <c r="H298" s="70"/>
      <c r="I298" s="71">
        <v>0.12</v>
      </c>
      <c r="J298" s="72">
        <v>1000.0</v>
      </c>
      <c r="K298" s="73"/>
      <c r="L298" s="73"/>
      <c r="M298" s="73"/>
      <c r="N298" s="74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30.0" customHeight="1">
      <c r="A299" s="68"/>
      <c r="B299" s="68">
        <v>299.0</v>
      </c>
      <c r="C299" s="68"/>
      <c r="D299" s="69" t="str">
        <f>CONCATENATE(PROPER('BIÑAN INFO'!$G299),", ",PROPER('BIÑAN INFO'!$E299)," ",PROPER('BIÑAN INFO'!$F299),"."," (",UPPER('BIÑAN INFO'!$H299),")")</f>
        <v>,  . ()</v>
      </c>
      <c r="E299" s="70"/>
      <c r="F299" s="70"/>
      <c r="G299" s="70"/>
      <c r="H299" s="70"/>
      <c r="I299" s="71">
        <v>0.12</v>
      </c>
      <c r="J299" s="72">
        <v>1000.0</v>
      </c>
      <c r="K299" s="73"/>
      <c r="L299" s="73"/>
      <c r="M299" s="73"/>
      <c r="N299" s="74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30.0" customHeight="1">
      <c r="A300" s="68"/>
      <c r="B300" s="68">
        <v>300.0</v>
      </c>
      <c r="C300" s="68"/>
      <c r="D300" s="69" t="str">
        <f>CONCATENATE(PROPER('BIÑAN INFO'!$G300),", ",PROPER('BIÑAN INFO'!$E300)," ",PROPER('BIÑAN INFO'!$F300),"."," (",UPPER('BIÑAN INFO'!$H300),")")</f>
        <v>,  . ()</v>
      </c>
      <c r="E300" s="70"/>
      <c r="F300" s="70"/>
      <c r="G300" s="70"/>
      <c r="H300" s="70"/>
      <c r="I300" s="71">
        <v>0.12</v>
      </c>
      <c r="J300" s="72">
        <v>1000.0</v>
      </c>
      <c r="K300" s="73"/>
      <c r="L300" s="73"/>
      <c r="M300" s="73"/>
      <c r="N300" s="74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30.0" customHeight="1">
      <c r="A301" s="68"/>
      <c r="B301" s="68">
        <v>301.0</v>
      </c>
      <c r="C301" s="68"/>
      <c r="D301" s="69" t="str">
        <f>CONCATENATE(PROPER('BIÑAN INFO'!$G301),", ",PROPER('BIÑAN INFO'!$E301)," ",PROPER('BIÑAN INFO'!$F301),"."," (",UPPER('BIÑAN INFO'!$H301),")")</f>
        <v>,  . ()</v>
      </c>
      <c r="E301" s="70"/>
      <c r="F301" s="70"/>
      <c r="G301" s="70"/>
      <c r="H301" s="70"/>
      <c r="I301" s="71">
        <v>0.12</v>
      </c>
      <c r="J301" s="72">
        <v>1000.0</v>
      </c>
      <c r="K301" s="73"/>
      <c r="L301" s="73"/>
      <c r="M301" s="73"/>
      <c r="N301" s="74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30.0" customHeight="1">
      <c r="A302" s="68"/>
      <c r="B302" s="68">
        <v>302.0</v>
      </c>
      <c r="C302" s="68"/>
      <c r="D302" s="69" t="str">
        <f>CONCATENATE(PROPER('BIÑAN INFO'!$G302),", ",PROPER('BIÑAN INFO'!$E302)," ",PROPER('BIÑAN INFO'!$F302),"."," (",UPPER('BIÑAN INFO'!$H302),")")</f>
        <v>,  . ()</v>
      </c>
      <c r="E302" s="70"/>
      <c r="F302" s="70"/>
      <c r="G302" s="70"/>
      <c r="H302" s="69"/>
      <c r="I302" s="71">
        <v>0.12</v>
      </c>
      <c r="J302" s="72">
        <v>1000.0</v>
      </c>
      <c r="K302" s="73"/>
      <c r="L302" s="73"/>
      <c r="M302" s="73"/>
      <c r="N302" s="74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30.0" customHeight="1">
      <c r="A303" s="68"/>
      <c r="B303" s="68">
        <v>303.0</v>
      </c>
      <c r="C303" s="68"/>
      <c r="D303" s="69" t="str">
        <f>CONCATENATE(PROPER('BIÑAN INFO'!$G303),", ",PROPER('BIÑAN INFO'!$E303)," ",PROPER('BIÑAN INFO'!$F303),"."," (",UPPER('BIÑAN INFO'!$H303),")")</f>
        <v>,  . ()</v>
      </c>
      <c r="E303" s="70"/>
      <c r="F303" s="70"/>
      <c r="G303" s="70"/>
      <c r="H303" s="69"/>
      <c r="I303" s="71">
        <v>0.12</v>
      </c>
      <c r="J303" s="72">
        <v>1000.0</v>
      </c>
      <c r="K303" s="73"/>
      <c r="L303" s="73"/>
      <c r="M303" s="73"/>
      <c r="N303" s="74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30.0" customHeight="1">
      <c r="A304" s="68"/>
      <c r="B304" s="68">
        <v>304.0</v>
      </c>
      <c r="C304" s="68"/>
      <c r="D304" s="69" t="str">
        <f>CONCATENATE(PROPER('BIÑAN INFO'!$G304),", ",PROPER('BIÑAN INFO'!$E304)," ",PROPER('BIÑAN INFO'!$F304),"."," (",UPPER('BIÑAN INFO'!$H304),")")</f>
        <v>,  . ()</v>
      </c>
      <c r="E304" s="70"/>
      <c r="F304" s="70"/>
      <c r="G304" s="70"/>
      <c r="H304" s="69"/>
      <c r="I304" s="71">
        <v>0.12</v>
      </c>
      <c r="J304" s="72">
        <v>1000.0</v>
      </c>
      <c r="K304" s="73"/>
      <c r="L304" s="73"/>
      <c r="M304" s="73"/>
      <c r="N304" s="74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30.0" customHeight="1">
      <c r="A305" s="68"/>
      <c r="B305" s="68">
        <v>305.0</v>
      </c>
      <c r="C305" s="68"/>
      <c r="D305" s="69" t="str">
        <f>CONCATENATE(PROPER('BIÑAN INFO'!$G305),", ",PROPER('BIÑAN INFO'!$E305)," ",PROPER('BIÑAN INFO'!$F305),"."," (",UPPER('BIÑAN INFO'!$H305),")")</f>
        <v>,  . ()</v>
      </c>
      <c r="E305" s="70"/>
      <c r="F305" s="70"/>
      <c r="G305" s="70"/>
      <c r="H305" s="69"/>
      <c r="I305" s="71">
        <v>0.12</v>
      </c>
      <c r="J305" s="72">
        <v>1000.0</v>
      </c>
      <c r="K305" s="73"/>
      <c r="L305" s="73"/>
      <c r="M305" s="73"/>
      <c r="N305" s="74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30.0" customHeight="1">
      <c r="A306" s="68"/>
      <c r="B306" s="68">
        <v>306.0</v>
      </c>
      <c r="C306" s="68"/>
      <c r="D306" s="69" t="str">
        <f>CONCATENATE(PROPER('BIÑAN INFO'!$G306),", ",PROPER('BIÑAN INFO'!$E306)," ",PROPER('BIÑAN INFO'!$F306),"."," (",UPPER('BIÑAN INFO'!$H306),")")</f>
        <v>Perez, Rosie . ()</v>
      </c>
      <c r="E306" s="70" t="s">
        <v>235</v>
      </c>
      <c r="F306" s="70"/>
      <c r="G306" s="70" t="s">
        <v>236</v>
      </c>
      <c r="H306" s="69"/>
      <c r="I306" s="71">
        <v>0.05</v>
      </c>
      <c r="J306" s="72">
        <v>5000.0</v>
      </c>
      <c r="K306" s="73"/>
      <c r="L306" s="73"/>
      <c r="M306" s="73"/>
      <c r="N306" s="74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30.0" customHeight="1">
      <c r="A307" s="68"/>
      <c r="B307" s="68">
        <v>307.0</v>
      </c>
      <c r="C307" s="68"/>
      <c r="D307" s="69" t="str">
        <f>CONCATENATE(PROPER('BIÑAN INFO'!$G307),", ",PROPER('BIÑAN INFO'!$E307)," ",PROPER('BIÑAN INFO'!$F307),"."," (",UPPER('BIÑAN INFO'!$H307),")")</f>
        <v>,  . ()</v>
      </c>
      <c r="E307" s="70"/>
      <c r="F307" s="70"/>
      <c r="G307" s="70"/>
      <c r="H307" s="69"/>
      <c r="I307" s="71">
        <v>0.12</v>
      </c>
      <c r="J307" s="72">
        <v>1000.0</v>
      </c>
      <c r="K307" s="73"/>
      <c r="L307" s="73"/>
      <c r="M307" s="73"/>
      <c r="N307" s="74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30.0" customHeight="1">
      <c r="A308" s="68"/>
      <c r="B308" s="68">
        <v>308.0</v>
      </c>
      <c r="C308" s="68"/>
      <c r="D308" s="69" t="str">
        <f>CONCATENATE(PROPER('BIÑAN INFO'!$G308),", ",PROPER('BIÑAN INFO'!$E308)," ",PROPER('BIÑAN INFO'!$F308),"."," (",UPPER('BIÑAN INFO'!$H308),")")</f>
        <v>Carasco, Ariel . ()</v>
      </c>
      <c r="E308" s="70" t="s">
        <v>237</v>
      </c>
      <c r="F308" s="70"/>
      <c r="G308" s="70" t="s">
        <v>238</v>
      </c>
      <c r="H308" s="69"/>
      <c r="I308" s="71">
        <v>0.12</v>
      </c>
      <c r="J308" s="72">
        <v>1000.0</v>
      </c>
      <c r="K308" s="73"/>
      <c r="L308" s="73"/>
      <c r="M308" s="73"/>
      <c r="N308" s="74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30.0" customHeight="1">
      <c r="A309" s="68"/>
      <c r="B309" s="68">
        <v>309.0</v>
      </c>
      <c r="C309" s="68"/>
      <c r="D309" s="69" t="str">
        <f>CONCATENATE(PROPER('BIÑAN INFO'!$G309),", ",PROPER('BIÑAN INFO'!$E309)," ",PROPER('BIÑAN INFO'!$F309),"."," (",UPPER('BIÑAN INFO'!$H309),")")</f>
        <v>,  . ()</v>
      </c>
      <c r="E309" s="70"/>
      <c r="F309" s="70"/>
      <c r="G309" s="70"/>
      <c r="H309" s="69"/>
      <c r="I309" s="71">
        <v>0.12</v>
      </c>
      <c r="J309" s="72">
        <v>1000.0</v>
      </c>
      <c r="K309" s="73"/>
      <c r="L309" s="73"/>
      <c r="M309" s="73"/>
      <c r="N309" s="74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30.0" customHeight="1">
      <c r="A310" s="68"/>
      <c r="B310" s="68">
        <v>310.0</v>
      </c>
      <c r="C310" s="68"/>
      <c r="D310" s="69" t="str">
        <f>CONCATENATE(PROPER('BIÑAN INFO'!$G310),", ",PROPER('BIÑAN INFO'!$E310)," ",PROPER('BIÑAN INFO'!$F310),"."," (",UPPER('BIÑAN INFO'!$H310),")")</f>
        <v>,  . ()</v>
      </c>
      <c r="E310" s="70"/>
      <c r="F310" s="70"/>
      <c r="G310" s="70"/>
      <c r="H310" s="69"/>
      <c r="I310" s="71">
        <v>0.12</v>
      </c>
      <c r="J310" s="72">
        <v>1000.0</v>
      </c>
      <c r="K310" s="73"/>
      <c r="L310" s="73"/>
      <c r="M310" s="73"/>
      <c r="N310" s="74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30.0" customHeight="1">
      <c r="A311" s="68"/>
      <c r="B311" s="68">
        <v>311.0</v>
      </c>
      <c r="C311" s="68"/>
      <c r="D311" s="69" t="str">
        <f>CONCATENATE(PROPER('BIÑAN INFO'!$G311),", ",PROPER('BIÑAN INFO'!$E311)," ",PROPER('BIÑAN INFO'!$F311),"."," (",UPPER('BIÑAN INFO'!$H311),")")</f>
        <v>,  . ()</v>
      </c>
      <c r="E311" s="70"/>
      <c r="F311" s="70"/>
      <c r="G311" s="70"/>
      <c r="H311" s="69"/>
      <c r="I311" s="71">
        <v>0.12</v>
      </c>
      <c r="J311" s="72">
        <v>1000.0</v>
      </c>
      <c r="K311" s="73"/>
      <c r="L311" s="73"/>
      <c r="M311" s="73"/>
      <c r="N311" s="74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30.0" customHeight="1">
      <c r="A312" s="68"/>
      <c r="B312" s="68">
        <v>312.0</v>
      </c>
      <c r="C312" s="68"/>
      <c r="D312" s="69" t="str">
        <f>CONCATENATE(PROPER('BIÑAN INFO'!$G312),", ",PROPER('BIÑAN INFO'!$E312)," ",PROPER('BIÑAN INFO'!$F312),"."," (",UPPER('BIÑAN INFO'!$H312),")")</f>
        <v>Shinji, Maruta . ()</v>
      </c>
      <c r="E312" s="70" t="s">
        <v>239</v>
      </c>
      <c r="F312" s="70"/>
      <c r="G312" s="70" t="s">
        <v>240</v>
      </c>
      <c r="H312" s="69"/>
      <c r="I312" s="71">
        <v>0.05</v>
      </c>
      <c r="J312" s="72">
        <v>1000.0</v>
      </c>
      <c r="K312" s="73"/>
      <c r="L312" s="73"/>
      <c r="M312" s="73"/>
      <c r="N312" s="74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30.0" customHeight="1">
      <c r="A313" s="68"/>
      <c r="B313" s="68">
        <v>313.0</v>
      </c>
      <c r="C313" s="68"/>
      <c r="D313" s="69" t="str">
        <f>CONCATENATE(PROPER('BIÑAN INFO'!$G313),", ",PROPER('BIÑAN INFO'!$E313)," ",PROPER('BIÑAN INFO'!$F313),"."," (",UPPER('BIÑAN INFO'!$H313),")")</f>
        <v>,  . ()</v>
      </c>
      <c r="E313" s="70"/>
      <c r="F313" s="70"/>
      <c r="G313" s="70"/>
      <c r="H313" s="69"/>
      <c r="I313" s="71">
        <v>0.12</v>
      </c>
      <c r="J313" s="72">
        <v>1000.0</v>
      </c>
      <c r="K313" s="73"/>
      <c r="L313" s="73"/>
      <c r="M313" s="73"/>
      <c r="N313" s="74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30.0" customHeight="1">
      <c r="A314" s="68"/>
      <c r="B314" s="68">
        <v>314.0</v>
      </c>
      <c r="C314" s="68"/>
      <c r="D314" s="69" t="str">
        <f>CONCATENATE(PROPER('BIÑAN INFO'!$G314),", ",PROPER('BIÑAN INFO'!$E314)," ",PROPER('BIÑAN INFO'!$F314),"."," (",UPPER('BIÑAN INFO'!$H314),")")</f>
        <v>,  . ()</v>
      </c>
      <c r="E314" s="70"/>
      <c r="F314" s="70"/>
      <c r="G314" s="70"/>
      <c r="H314" s="69"/>
      <c r="I314" s="71">
        <v>0.12</v>
      </c>
      <c r="J314" s="72">
        <v>1000.0</v>
      </c>
      <c r="K314" s="73"/>
      <c r="L314" s="73"/>
      <c r="M314" s="73"/>
      <c r="N314" s="74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30.0" customHeight="1">
      <c r="A315" s="68"/>
      <c r="B315" s="68">
        <v>315.0</v>
      </c>
      <c r="C315" s="68"/>
      <c r="D315" s="69" t="str">
        <f>CONCATENATE(PROPER('BIÑAN INFO'!$G315),", ",PROPER('BIÑAN INFO'!$E315)," ",PROPER('BIÑAN INFO'!$F315),"."," (",UPPER('BIÑAN INFO'!$H315),")")</f>
        <v>,  . ()</v>
      </c>
      <c r="E315" s="70"/>
      <c r="F315" s="70"/>
      <c r="G315" s="70"/>
      <c r="H315" s="69"/>
      <c r="I315" s="71">
        <v>0.12</v>
      </c>
      <c r="J315" s="72">
        <v>1000.0</v>
      </c>
      <c r="K315" s="73"/>
      <c r="L315" s="73"/>
      <c r="M315" s="73"/>
      <c r="N315" s="74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30.0" customHeight="1">
      <c r="A316" s="68"/>
      <c r="B316" s="68">
        <v>316.0</v>
      </c>
      <c r="C316" s="68"/>
      <c r="D316" s="69" t="str">
        <f>CONCATENATE(PROPER('BIÑAN INFO'!$G316),", ",PROPER('BIÑAN INFO'!$E316)," ",PROPER('BIÑAN INFO'!$F316),"."," (",UPPER('BIÑAN INFO'!$H316),")")</f>
        <v>,  . ()</v>
      </c>
      <c r="E316" s="70"/>
      <c r="F316" s="70"/>
      <c r="G316" s="70"/>
      <c r="H316" s="69"/>
      <c r="I316" s="71">
        <v>0.12</v>
      </c>
      <c r="J316" s="72">
        <v>1000.0</v>
      </c>
      <c r="K316" s="73"/>
      <c r="L316" s="73"/>
      <c r="M316" s="73"/>
      <c r="N316" s="74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30.0" customHeight="1">
      <c r="A317" s="68"/>
      <c r="B317" s="68">
        <v>317.0</v>
      </c>
      <c r="C317" s="68"/>
      <c r="D317" s="69" t="str">
        <f>CONCATENATE(PROPER('BIÑAN INFO'!$G317),", ",PROPER('BIÑAN INFO'!$E317)," ",PROPER('BIÑAN INFO'!$F317),"."," (",UPPER('BIÑAN INFO'!$H317),")")</f>
        <v>Regondola, Marilyn . ()</v>
      </c>
      <c r="E317" s="70" t="s">
        <v>231</v>
      </c>
      <c r="F317" s="70"/>
      <c r="G317" s="70" t="s">
        <v>232</v>
      </c>
      <c r="H317" s="70"/>
      <c r="I317" s="71">
        <v>0.05</v>
      </c>
      <c r="J317" s="72">
        <v>1000.0</v>
      </c>
      <c r="K317" s="73"/>
      <c r="L317" s="73"/>
      <c r="M317" s="73"/>
      <c r="N317" s="74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30.0" customHeight="1">
      <c r="A318" s="68"/>
      <c r="B318" s="68">
        <v>319.0</v>
      </c>
      <c r="C318" s="68"/>
      <c r="D318" s="69" t="str">
        <f>CONCATENATE(PROPER('BIÑAN INFO'!$G318),", ",PROPER('BIÑAN INFO'!$E318)," ",PROPER('BIÑAN INFO'!$F318),"."," (",UPPER('BIÑAN INFO'!$H318),")")</f>
        <v>Ocoma, John Henry . ()</v>
      </c>
      <c r="E318" s="70" t="s">
        <v>241</v>
      </c>
      <c r="F318" s="70"/>
      <c r="G318" s="70" t="s">
        <v>242</v>
      </c>
      <c r="H318" s="70"/>
      <c r="I318" s="71">
        <v>0.05</v>
      </c>
      <c r="J318" s="72">
        <v>1000.0</v>
      </c>
      <c r="K318" s="73"/>
      <c r="L318" s="73"/>
      <c r="M318" s="73"/>
      <c r="N318" s="74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30.0" customHeight="1">
      <c r="A319" s="68">
        <v>3.0</v>
      </c>
      <c r="B319" s="68">
        <v>320.0</v>
      </c>
      <c r="C319" s="68"/>
      <c r="D319" s="69" t="str">
        <f>CONCATENATE(PROPER('BIÑAN INFO'!$G319),", ",PROPER('BIÑAN INFO'!$E319)," ",PROPER('BIÑAN INFO'!$F319),"."," (",UPPER('BIÑAN INFO'!$H319),")")</f>
        <v>Alcuran, Lexter Joy . ()</v>
      </c>
      <c r="E319" s="70" t="s">
        <v>243</v>
      </c>
      <c r="F319" s="70"/>
      <c r="G319" s="70" t="s">
        <v>244</v>
      </c>
      <c r="H319" s="70"/>
      <c r="I319" s="71">
        <v>0.05</v>
      </c>
      <c r="J319" s="72">
        <v>1000.0</v>
      </c>
      <c r="K319" s="73"/>
      <c r="L319" s="73"/>
      <c r="M319" s="73"/>
      <c r="N319" s="74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30.0" customHeight="1">
      <c r="A320" s="68"/>
      <c r="B320" s="68">
        <v>321.0</v>
      </c>
      <c r="C320" s="68"/>
      <c r="D320" s="69" t="str">
        <f>CONCATENATE(PROPER('BIÑAN INFO'!$G320),", ",PROPER('BIÑAN INFO'!$E320)," ",PROPER('BIÑAN INFO'!$F320),"."," (",UPPER('BIÑAN INFO'!$H320),")")</f>
        <v>,  . ()</v>
      </c>
      <c r="E320" s="70"/>
      <c r="F320" s="70"/>
      <c r="G320" s="70"/>
      <c r="H320" s="70"/>
      <c r="I320" s="71">
        <v>0.12</v>
      </c>
      <c r="J320" s="72">
        <v>1000.0</v>
      </c>
      <c r="K320" s="73"/>
      <c r="L320" s="73"/>
      <c r="M320" s="73"/>
      <c r="N320" s="74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30.0" customHeight="1">
      <c r="A321" s="68"/>
      <c r="B321" s="68">
        <v>322.0</v>
      </c>
      <c r="C321" s="68"/>
      <c r="D321" s="69" t="str">
        <f>CONCATENATE(PROPER('BIÑAN INFO'!$G321),", ",PROPER('BIÑAN INFO'!$E321)," ",PROPER('BIÑAN INFO'!$F321),"."," (",UPPER('BIÑAN INFO'!$H321),")")</f>
        <v>Balognado, Arnold . ()</v>
      </c>
      <c r="E321" s="70" t="s">
        <v>245</v>
      </c>
      <c r="F321" s="70"/>
      <c r="G321" s="70" t="s">
        <v>246</v>
      </c>
      <c r="H321" s="70"/>
      <c r="I321" s="71">
        <v>0.12</v>
      </c>
      <c r="J321" s="72">
        <v>1000.0</v>
      </c>
      <c r="K321" s="73"/>
      <c r="L321" s="73"/>
      <c r="M321" s="73"/>
      <c r="N321" s="74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30.0" customHeight="1">
      <c r="A322" s="68"/>
      <c r="B322" s="68">
        <v>323.0</v>
      </c>
      <c r="C322" s="68"/>
      <c r="D322" s="69" t="str">
        <f>CONCATENATE(PROPER('BIÑAN INFO'!$G322),", ",PROPER('BIÑAN INFO'!$E322)," ",PROPER('BIÑAN INFO'!$F322),"."," (",UPPER('BIÑAN INFO'!$H322),")")</f>
        <v>,  . ()</v>
      </c>
      <c r="E322" s="70"/>
      <c r="F322" s="70"/>
      <c r="G322" s="70"/>
      <c r="H322" s="70"/>
      <c r="I322" s="71">
        <v>0.12</v>
      </c>
      <c r="J322" s="72">
        <v>1000.0</v>
      </c>
      <c r="K322" s="73"/>
      <c r="L322" s="73"/>
      <c r="M322" s="73"/>
      <c r="N322" s="74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30.0" customHeight="1">
      <c r="A323" s="68"/>
      <c r="B323" s="68">
        <v>324.0</v>
      </c>
      <c r="C323" s="68"/>
      <c r="D323" s="69" t="str">
        <f>CONCATENATE(PROPER('BIÑAN INFO'!$G323),", ",PROPER('BIÑAN INFO'!$E323)," ",PROPER('BIÑAN INFO'!$F323),"."," (",UPPER('BIÑAN INFO'!$H323),")")</f>
        <v>,  . ()</v>
      </c>
      <c r="E323" s="70"/>
      <c r="F323" s="70"/>
      <c r="G323" s="70"/>
      <c r="H323" s="70"/>
      <c r="I323" s="71">
        <v>0.12</v>
      </c>
      <c r="J323" s="72">
        <v>1000.0</v>
      </c>
      <c r="K323" s="73"/>
      <c r="L323" s="73"/>
      <c r="M323" s="73"/>
      <c r="N323" s="74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30.0" customHeight="1">
      <c r="A324" s="68"/>
      <c r="B324" s="68">
        <v>325.0</v>
      </c>
      <c r="C324" s="68"/>
      <c r="D324" s="69" t="str">
        <f>CONCATENATE(PROPER('BIÑAN INFO'!$G324),", ",PROPER('BIÑAN INFO'!$E324)," ",PROPER('BIÑAN INFO'!$F324),"."," (",UPPER('BIÑAN INFO'!$H324),")")</f>
        <v>,  . ()</v>
      </c>
      <c r="E324" s="70"/>
      <c r="F324" s="70"/>
      <c r="G324" s="70"/>
      <c r="H324" s="70"/>
      <c r="I324" s="71">
        <v>0.12</v>
      </c>
      <c r="J324" s="72">
        <v>1000.0</v>
      </c>
      <c r="K324" s="73"/>
      <c r="L324" s="73"/>
      <c r="M324" s="73"/>
      <c r="N324" s="74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30.0" customHeight="1">
      <c r="A325" s="68"/>
      <c r="B325" s="68">
        <v>326.0</v>
      </c>
      <c r="C325" s="68"/>
      <c r="D325" s="69" t="str">
        <f>CONCATENATE(PROPER('BIÑAN INFO'!$G325),", ",PROPER('BIÑAN INFO'!$E325)," ",PROPER('BIÑAN INFO'!$F325),"."," (",UPPER('BIÑAN INFO'!$H325),")")</f>
        <v>,  . ()</v>
      </c>
      <c r="E325" s="70"/>
      <c r="F325" s="70"/>
      <c r="G325" s="70"/>
      <c r="H325" s="70"/>
      <c r="I325" s="71">
        <v>0.12</v>
      </c>
      <c r="J325" s="72">
        <v>1000.0</v>
      </c>
      <c r="K325" s="73"/>
      <c r="L325" s="73"/>
      <c r="M325" s="73"/>
      <c r="N325" s="74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30.0" customHeight="1">
      <c r="A326" s="68"/>
      <c r="B326" s="68">
        <v>327.0</v>
      </c>
      <c r="C326" s="68"/>
      <c r="D326" s="69" t="str">
        <f>CONCATENATE(PROPER('BIÑAN INFO'!$G326),", ",PROPER('BIÑAN INFO'!$E326)," ",PROPER('BIÑAN INFO'!$F326),"."," (",UPPER('BIÑAN INFO'!$H326),")")</f>
        <v>Arcon, Amelia . ()</v>
      </c>
      <c r="E326" s="70" t="s">
        <v>247</v>
      </c>
      <c r="F326" s="70"/>
      <c r="G326" s="70" t="s">
        <v>248</v>
      </c>
      <c r="H326" s="70"/>
      <c r="I326" s="71">
        <v>0.12</v>
      </c>
      <c r="J326" s="72">
        <v>1000.0</v>
      </c>
      <c r="K326" s="73"/>
      <c r="L326" s="73"/>
      <c r="M326" s="73"/>
      <c r="N326" s="74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30.0" customHeight="1">
      <c r="A327" s="68"/>
      <c r="B327" s="68">
        <v>328.0</v>
      </c>
      <c r="C327" s="68"/>
      <c r="D327" s="69" t="str">
        <f>CONCATENATE(PROPER('BIÑAN INFO'!$G327),", ",PROPER('BIÑAN INFO'!$E327)," ",PROPER('BIÑAN INFO'!$F327),"."," (",UPPER('BIÑAN INFO'!$H327),")")</f>
        <v>,  . ()</v>
      </c>
      <c r="E327" s="70"/>
      <c r="F327" s="70"/>
      <c r="G327" s="70"/>
      <c r="H327" s="70"/>
      <c r="I327" s="71">
        <v>0.12</v>
      </c>
      <c r="J327" s="72">
        <v>1000.0</v>
      </c>
      <c r="K327" s="73"/>
      <c r="L327" s="73"/>
      <c r="M327" s="73"/>
      <c r="N327" s="74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30.0" customHeight="1">
      <c r="A328" s="68"/>
      <c r="B328" s="68">
        <v>329.0</v>
      </c>
      <c r="C328" s="68"/>
      <c r="D328" s="69" t="str">
        <f>CONCATENATE(PROPER('BIÑAN INFO'!$G328),", ",PROPER('BIÑAN INFO'!$E328)," ",PROPER('BIÑAN INFO'!$F328),"."," (",UPPER('BIÑAN INFO'!$H328),")")</f>
        <v>,  . ()</v>
      </c>
      <c r="E328" s="70"/>
      <c r="F328" s="70"/>
      <c r="G328" s="70"/>
      <c r="H328" s="70"/>
      <c r="I328" s="71">
        <v>0.12</v>
      </c>
      <c r="J328" s="72">
        <v>1000.0</v>
      </c>
      <c r="K328" s="73"/>
      <c r="L328" s="73"/>
      <c r="M328" s="73"/>
      <c r="N328" s="74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30.0" customHeight="1">
      <c r="A329" s="68"/>
      <c r="B329" s="68">
        <v>330.0</v>
      </c>
      <c r="C329" s="68"/>
      <c r="D329" s="69" t="str">
        <f>CONCATENATE(PROPER('BIÑAN INFO'!$G329),", ",PROPER('BIÑAN INFO'!$E329)," ",PROPER('BIÑAN INFO'!$F329),"."," (",UPPER('BIÑAN INFO'!$H329),")")</f>
        <v>,  . ()</v>
      </c>
      <c r="E329" s="70"/>
      <c r="F329" s="70"/>
      <c r="G329" s="70"/>
      <c r="H329" s="70"/>
      <c r="I329" s="71">
        <v>0.12</v>
      </c>
      <c r="J329" s="72">
        <v>1000.0</v>
      </c>
      <c r="K329" s="73"/>
      <c r="L329" s="73"/>
      <c r="M329" s="73"/>
      <c r="N329" s="74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30.0" customHeight="1">
      <c r="A330" s="68"/>
      <c r="B330" s="68">
        <v>331.0</v>
      </c>
      <c r="C330" s="68"/>
      <c r="D330" s="69" t="str">
        <f>CONCATENATE(PROPER('BIÑAN INFO'!$G330),", ",PROPER('BIÑAN INFO'!$E330)," ",PROPER('BIÑAN INFO'!$F330),"."," (",UPPER('BIÑAN INFO'!$H330),")")</f>
        <v>,  . ()</v>
      </c>
      <c r="E330" s="70"/>
      <c r="F330" s="70"/>
      <c r="G330" s="70"/>
      <c r="H330" s="70"/>
      <c r="I330" s="71">
        <v>0.12</v>
      </c>
      <c r="J330" s="72">
        <v>1000.0</v>
      </c>
      <c r="K330" s="73"/>
      <c r="L330" s="73"/>
      <c r="M330" s="73"/>
      <c r="N330" s="74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30.0" customHeight="1">
      <c r="A331" s="68"/>
      <c r="B331" s="68">
        <v>332.0</v>
      </c>
      <c r="C331" s="68"/>
      <c r="D331" s="69" t="str">
        <f>CONCATENATE(PROPER('BIÑAN INFO'!$G331),", ",PROPER('BIÑAN INFO'!$E331)," ",PROPER('BIÑAN INFO'!$F331),"."," (",UPPER('BIÑAN INFO'!$H331),")")</f>
        <v>Peria, Ronnie . ()</v>
      </c>
      <c r="E331" s="70" t="s">
        <v>249</v>
      </c>
      <c r="F331" s="70"/>
      <c r="G331" s="70" t="s">
        <v>250</v>
      </c>
      <c r="H331" s="70"/>
      <c r="I331" s="71">
        <v>0.05</v>
      </c>
      <c r="J331" s="72">
        <v>1000.0</v>
      </c>
      <c r="K331" s="73"/>
      <c r="L331" s="73"/>
      <c r="M331" s="73"/>
      <c r="N331" s="74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30.0" customHeight="1">
      <c r="A332" s="68"/>
      <c r="B332" s="68">
        <v>333.0</v>
      </c>
      <c r="C332" s="68"/>
      <c r="D332" s="69" t="str">
        <f>CONCATENATE(PROPER('BIÑAN INFO'!$G332),", ",PROPER('BIÑAN INFO'!$E332)," ",PROPER('BIÑAN INFO'!$F332),"."," (",UPPER('BIÑAN INFO'!$H332),")")</f>
        <v>,  . ()</v>
      </c>
      <c r="E332" s="70"/>
      <c r="F332" s="70"/>
      <c r="G332" s="70"/>
      <c r="H332" s="70"/>
      <c r="I332" s="71">
        <v>0.12</v>
      </c>
      <c r="J332" s="72">
        <v>1000.0</v>
      </c>
      <c r="K332" s="73"/>
      <c r="L332" s="73"/>
      <c r="M332" s="73"/>
      <c r="N332" s="74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30.0" customHeight="1">
      <c r="A333" s="68"/>
      <c r="B333" s="68">
        <v>334.0</v>
      </c>
      <c r="C333" s="68"/>
      <c r="D333" s="69" t="str">
        <f>CONCATENATE(PROPER('BIÑAN INFO'!$G333),", ",PROPER('BIÑAN INFO'!$E333)," ",PROPER('BIÑAN INFO'!$F333),"."," (",UPPER('BIÑAN INFO'!$H333),")")</f>
        <v>,  . ()</v>
      </c>
      <c r="E333" s="70"/>
      <c r="F333" s="70"/>
      <c r="G333" s="70"/>
      <c r="H333" s="70"/>
      <c r="I333" s="71">
        <v>0.12</v>
      </c>
      <c r="J333" s="72">
        <v>1000.0</v>
      </c>
      <c r="K333" s="73"/>
      <c r="L333" s="73"/>
      <c r="M333" s="73"/>
      <c r="N333" s="74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30.0" customHeight="1">
      <c r="A334" s="68"/>
      <c r="B334" s="68">
        <v>335.0</v>
      </c>
      <c r="C334" s="68"/>
      <c r="D334" s="69" t="str">
        <f>CONCATENATE(PROPER('BIÑAN INFO'!$G334),", ",PROPER('BIÑAN INFO'!$E334)," ",PROPER('BIÑAN INFO'!$F334),"."," (",UPPER('BIÑAN INFO'!$H334),")")</f>
        <v>,  . ()</v>
      </c>
      <c r="E334" s="70"/>
      <c r="F334" s="70"/>
      <c r="G334" s="70"/>
      <c r="H334" s="70"/>
      <c r="I334" s="71">
        <v>0.12</v>
      </c>
      <c r="J334" s="72">
        <v>1000.0</v>
      </c>
      <c r="K334" s="73"/>
      <c r="L334" s="73"/>
      <c r="M334" s="73"/>
      <c r="N334" s="74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30.0" customHeight="1">
      <c r="A335" s="68"/>
      <c r="B335" s="68">
        <v>336.0</v>
      </c>
      <c r="C335" s="68"/>
      <c r="D335" s="69" t="str">
        <f>CONCATENATE(PROPER('BIÑAN INFO'!$G335),", ",PROPER('BIÑAN INFO'!$E335)," ",PROPER('BIÑAN INFO'!$F335),"."," (",UPPER('BIÑAN INFO'!$H335),")")</f>
        <v>Mapanoo, Danilo . ()</v>
      </c>
      <c r="E335" s="70" t="s">
        <v>251</v>
      </c>
      <c r="F335" s="70"/>
      <c r="G335" s="70" t="s">
        <v>252</v>
      </c>
      <c r="H335" s="70"/>
      <c r="I335" s="71">
        <v>0.12</v>
      </c>
      <c r="J335" s="72">
        <v>3000.0</v>
      </c>
      <c r="K335" s="73"/>
      <c r="L335" s="73"/>
      <c r="M335" s="73"/>
      <c r="N335" s="74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30.0" customHeight="1">
      <c r="A336" s="68"/>
      <c r="B336" s="68">
        <v>337.0</v>
      </c>
      <c r="C336" s="68"/>
      <c r="D336" s="69" t="str">
        <f>CONCATENATE(PROPER('BIÑAN INFO'!$G336),", ",PROPER('BIÑAN INFO'!$E336)," ",PROPER('BIÑAN INFO'!$F336),"."," (",UPPER('BIÑAN INFO'!$H336),")")</f>
        <v>,  . ()</v>
      </c>
      <c r="E336" s="70"/>
      <c r="F336" s="70"/>
      <c r="G336" s="70"/>
      <c r="H336" s="69"/>
      <c r="I336" s="71">
        <v>0.12</v>
      </c>
      <c r="J336" s="72">
        <v>1000.0</v>
      </c>
      <c r="K336" s="73"/>
      <c r="L336" s="73"/>
      <c r="M336" s="73"/>
      <c r="N336" s="74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30.0" customHeight="1">
      <c r="A337" s="68"/>
      <c r="B337" s="68">
        <v>338.0</v>
      </c>
      <c r="C337" s="68"/>
      <c r="D337" s="69" t="str">
        <f>CONCATENATE(PROPER('BIÑAN INFO'!$G337),", ",PROPER('BIÑAN INFO'!$E337)," ",PROPER('BIÑAN INFO'!$F337),"."," (",UPPER('BIÑAN INFO'!$H337),")")</f>
        <v>,  . ()</v>
      </c>
      <c r="E337" s="70"/>
      <c r="F337" s="70"/>
      <c r="G337" s="70"/>
      <c r="H337" s="69"/>
      <c r="I337" s="71">
        <v>0.12</v>
      </c>
      <c r="J337" s="72">
        <v>1000.0</v>
      </c>
      <c r="K337" s="73"/>
      <c r="L337" s="73"/>
      <c r="M337" s="73"/>
      <c r="N337" s="74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30.0" customHeight="1">
      <c r="A338" s="68"/>
      <c r="B338" s="68">
        <v>339.0</v>
      </c>
      <c r="C338" s="68"/>
      <c r="D338" s="69" t="str">
        <f>CONCATENATE(PROPER('BIÑAN INFO'!$G338),", ",PROPER('BIÑAN INFO'!$E338)," ",PROPER('BIÑAN INFO'!$F338),"."," (",UPPER('BIÑAN INFO'!$H338),")")</f>
        <v>,  . ()</v>
      </c>
      <c r="E338" s="70"/>
      <c r="F338" s="70"/>
      <c r="G338" s="70"/>
      <c r="H338" s="69"/>
      <c r="I338" s="71">
        <v>0.12</v>
      </c>
      <c r="J338" s="72">
        <v>1000.0</v>
      </c>
      <c r="K338" s="73"/>
      <c r="L338" s="73"/>
      <c r="M338" s="73"/>
      <c r="N338" s="74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30.0" customHeight="1">
      <c r="A339" s="68"/>
      <c r="B339" s="68">
        <v>340.0</v>
      </c>
      <c r="C339" s="68"/>
      <c r="D339" s="69" t="str">
        <f>CONCATENATE(PROPER('BIÑAN INFO'!$G339),", ",PROPER('BIÑAN INFO'!$E339)," ",PROPER('BIÑAN INFO'!$F339),"."," (",UPPER('BIÑAN INFO'!$H339),")")</f>
        <v>,  . ()</v>
      </c>
      <c r="E339" s="70"/>
      <c r="F339" s="70"/>
      <c r="G339" s="70"/>
      <c r="H339" s="69"/>
      <c r="I339" s="71">
        <v>0.12</v>
      </c>
      <c r="J339" s="72">
        <v>1000.0</v>
      </c>
      <c r="K339" s="73"/>
      <c r="L339" s="73"/>
      <c r="M339" s="73"/>
      <c r="N339" s="74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30.0" customHeight="1">
      <c r="A340" s="68"/>
      <c r="B340" s="68">
        <v>341.0</v>
      </c>
      <c r="C340" s="68"/>
      <c r="D340" s="69" t="str">
        <f>CONCATENATE(PROPER('BIÑAN INFO'!$G340),", ",PROPER('BIÑAN INFO'!$E340)," ",PROPER('BIÑAN INFO'!$F340),"."," (",UPPER('BIÑAN INFO'!$H340),")")</f>
        <v>Alminanza, Grace Ann . ()</v>
      </c>
      <c r="E340" s="70" t="s">
        <v>253</v>
      </c>
      <c r="F340" s="70"/>
      <c r="G340" s="70" t="s">
        <v>254</v>
      </c>
      <c r="H340" s="69"/>
      <c r="I340" s="71">
        <v>0.12</v>
      </c>
      <c r="J340" s="72">
        <v>1000.0</v>
      </c>
      <c r="K340" s="73"/>
      <c r="L340" s="73"/>
      <c r="M340" s="73"/>
      <c r="N340" s="74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30.0" customHeight="1">
      <c r="A341" s="68"/>
      <c r="B341" s="68">
        <v>342.0</v>
      </c>
      <c r="C341" s="68"/>
      <c r="D341" s="69" t="str">
        <f>CONCATENATE(PROPER('BIÑAN INFO'!$G341),", ",PROPER('BIÑAN INFO'!$E341)," ",PROPER('BIÑAN INFO'!$F341),"."," (",UPPER('BIÑAN INFO'!$H341),")")</f>
        <v>,  . ()</v>
      </c>
      <c r="E341" s="70"/>
      <c r="F341" s="70"/>
      <c r="G341" s="70"/>
      <c r="H341" s="69"/>
      <c r="I341" s="71">
        <v>0.12</v>
      </c>
      <c r="J341" s="72">
        <v>1000.0</v>
      </c>
      <c r="K341" s="73"/>
      <c r="L341" s="73"/>
      <c r="M341" s="73"/>
      <c r="N341" s="74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30.0" customHeight="1">
      <c r="A342" s="68"/>
      <c r="B342" s="68">
        <v>343.0</v>
      </c>
      <c r="C342" s="68"/>
      <c r="D342" s="69" t="str">
        <f>CONCATENATE(PROPER('BIÑAN INFO'!$G342),", ",PROPER('BIÑAN INFO'!$E342)," ",PROPER('BIÑAN INFO'!$F342),"."," (",UPPER('BIÑAN INFO'!$H342),")")</f>
        <v>,  . ()</v>
      </c>
      <c r="E342" s="70"/>
      <c r="F342" s="70"/>
      <c r="G342" s="70"/>
      <c r="H342" s="69"/>
      <c r="I342" s="71">
        <v>0.12</v>
      </c>
      <c r="J342" s="72">
        <v>1000.0</v>
      </c>
      <c r="K342" s="73"/>
      <c r="L342" s="73"/>
      <c r="M342" s="73"/>
      <c r="N342" s="74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30.0" customHeight="1">
      <c r="A343" s="68"/>
      <c r="B343" s="68">
        <v>344.0</v>
      </c>
      <c r="C343" s="68"/>
      <c r="D343" s="69" t="str">
        <f>CONCATENATE(PROPER('BIÑAN INFO'!$G343),", ",PROPER('BIÑAN INFO'!$E343)," ",PROPER('BIÑAN INFO'!$F343),"."," (",UPPER('BIÑAN INFO'!$H343),")")</f>
        <v>,  . ()</v>
      </c>
      <c r="E343" s="70"/>
      <c r="F343" s="70"/>
      <c r="G343" s="70"/>
      <c r="H343" s="69"/>
      <c r="I343" s="71">
        <v>0.12</v>
      </c>
      <c r="J343" s="72">
        <v>1000.0</v>
      </c>
      <c r="K343" s="73"/>
      <c r="L343" s="73"/>
      <c r="M343" s="73"/>
      <c r="N343" s="74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30.0" customHeight="1">
      <c r="A344" s="68"/>
      <c r="B344" s="68">
        <v>345.0</v>
      </c>
      <c r="C344" s="68"/>
      <c r="D344" s="69" t="str">
        <f>CONCATENATE(PROPER('BIÑAN INFO'!$G344),", ",PROPER('BIÑAN INFO'!$E344)," ",PROPER('BIÑAN INFO'!$F344),"."," (",UPPER('BIÑAN INFO'!$H344),")")</f>
        <v>,  . ()</v>
      </c>
      <c r="E344" s="70"/>
      <c r="F344" s="70"/>
      <c r="G344" s="70"/>
      <c r="H344" s="69"/>
      <c r="I344" s="71">
        <v>0.12</v>
      </c>
      <c r="J344" s="72">
        <v>1000.0</v>
      </c>
      <c r="K344" s="73"/>
      <c r="L344" s="73"/>
      <c r="M344" s="73"/>
      <c r="N344" s="74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30.0" customHeight="1">
      <c r="A345" s="68"/>
      <c r="B345" s="68">
        <v>346.0</v>
      </c>
      <c r="C345" s="68"/>
      <c r="D345" s="69" t="str">
        <f>CONCATENATE(PROPER('BIÑAN INFO'!$G345),", ",PROPER('BIÑAN INFO'!$E345)," ",PROPER('BIÑAN INFO'!$F345),"."," (",UPPER('BIÑAN INFO'!$H345),")")</f>
        <v>Bayer, Erich . ()</v>
      </c>
      <c r="E345" s="70" t="s">
        <v>255</v>
      </c>
      <c r="F345" s="70"/>
      <c r="G345" s="70" t="s">
        <v>256</v>
      </c>
      <c r="H345" s="69"/>
      <c r="I345" s="71">
        <v>0.12</v>
      </c>
      <c r="J345" s="72">
        <v>1000.0</v>
      </c>
      <c r="K345" s="73"/>
      <c r="L345" s="73"/>
      <c r="M345" s="73"/>
      <c r="N345" s="74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30.0" customHeight="1">
      <c r="A346" s="68"/>
      <c r="B346" s="68">
        <v>347.0</v>
      </c>
      <c r="C346" s="68"/>
      <c r="D346" s="69" t="str">
        <f>CONCATENATE(PROPER('BIÑAN INFO'!$G346),", ",PROPER('BIÑAN INFO'!$E346)," ",PROPER('BIÑAN INFO'!$F346),"."," (",UPPER('BIÑAN INFO'!$H346),")")</f>
        <v>Bartolome, Rica . ()</v>
      </c>
      <c r="E346" s="70" t="s">
        <v>257</v>
      </c>
      <c r="F346" s="70"/>
      <c r="G346" s="70" t="s">
        <v>258</v>
      </c>
      <c r="H346" s="70"/>
      <c r="I346" s="71">
        <v>0.12</v>
      </c>
      <c r="J346" s="72">
        <v>1000.0</v>
      </c>
      <c r="K346" s="73"/>
      <c r="L346" s="73"/>
      <c r="M346" s="73"/>
      <c r="N346" s="74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30.0" customHeight="1">
      <c r="A347" s="68"/>
      <c r="B347" s="68">
        <v>348.0</v>
      </c>
      <c r="C347" s="68"/>
      <c r="D347" s="69" t="str">
        <f>CONCATENATE(PROPER('BIÑAN INFO'!$G347),", ",PROPER('BIÑAN INFO'!$E347)," ",PROPER('BIÑAN INFO'!$F347),"."," (",UPPER('BIÑAN INFO'!$H347),")")</f>
        <v>,  . ()</v>
      </c>
      <c r="E347" s="70"/>
      <c r="F347" s="70"/>
      <c r="G347" s="70"/>
      <c r="H347" s="70"/>
      <c r="I347" s="71">
        <v>0.12</v>
      </c>
      <c r="J347" s="72">
        <v>1000.0</v>
      </c>
      <c r="K347" s="73"/>
      <c r="L347" s="73"/>
      <c r="M347" s="73"/>
      <c r="N347" s="74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30.0" customHeight="1">
      <c r="A348" s="68"/>
      <c r="B348" s="68">
        <v>349.0</v>
      </c>
      <c r="C348" s="68"/>
      <c r="D348" s="69" t="str">
        <f>CONCATENATE(PROPER('BIÑAN INFO'!$G348),", ",PROPER('BIÑAN INFO'!$E348)," ",PROPER('BIÑAN INFO'!$F348),"."," (",UPPER('BIÑAN INFO'!$H348),")")</f>
        <v>,  . ()</v>
      </c>
      <c r="E348" s="70"/>
      <c r="F348" s="70"/>
      <c r="G348" s="70"/>
      <c r="H348" s="70"/>
      <c r="I348" s="71">
        <v>0.12</v>
      </c>
      <c r="J348" s="72">
        <v>1000.0</v>
      </c>
      <c r="K348" s="73"/>
      <c r="L348" s="73"/>
      <c r="M348" s="73"/>
      <c r="N348" s="74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30.0" customHeight="1">
      <c r="A349" s="68"/>
      <c r="B349" s="68">
        <v>350.0</v>
      </c>
      <c r="C349" s="68"/>
      <c r="D349" s="69" t="str">
        <f>CONCATENATE(PROPER('BIÑAN INFO'!$G349),", ",PROPER('BIÑAN INFO'!$E349)," ",PROPER('BIÑAN INFO'!$F349),"."," (",UPPER('BIÑAN INFO'!$H349),")")</f>
        <v>,  . ()</v>
      </c>
      <c r="E349" s="70"/>
      <c r="F349" s="70"/>
      <c r="G349" s="70"/>
      <c r="H349" s="69"/>
      <c r="I349" s="71">
        <v>0.12</v>
      </c>
      <c r="J349" s="72">
        <v>1000.0</v>
      </c>
      <c r="K349" s="73"/>
      <c r="L349" s="73"/>
      <c r="M349" s="73"/>
      <c r="N349" s="74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30.0" customHeight="1">
      <c r="A350" s="68"/>
      <c r="B350" s="68">
        <v>351.0</v>
      </c>
      <c r="C350" s="68"/>
      <c r="D350" s="69" t="str">
        <f>CONCATENATE(PROPER('BIÑAN INFO'!$G350),", ",PROPER('BIÑAN INFO'!$E350)," ",PROPER('BIÑAN INFO'!$F350),"."," (",UPPER('BIÑAN INFO'!$H350),")")</f>
        <v>,  . ()</v>
      </c>
      <c r="E350" s="70"/>
      <c r="F350" s="70"/>
      <c r="G350" s="70"/>
      <c r="H350" s="69"/>
      <c r="I350" s="71">
        <v>0.12</v>
      </c>
      <c r="J350" s="72">
        <v>1000.0</v>
      </c>
      <c r="K350" s="73"/>
      <c r="L350" s="73"/>
      <c r="M350" s="73"/>
      <c r="N350" s="74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30.0" customHeight="1">
      <c r="A351" s="68"/>
      <c r="B351" s="68">
        <v>352.0</v>
      </c>
      <c r="C351" s="68"/>
      <c r="D351" s="69" t="str">
        <f>CONCATENATE(PROPER('BIÑAN INFO'!$G351),", ",PROPER('BIÑAN INFO'!$E351)," ",PROPER('BIÑAN INFO'!$F351),"."," (",UPPER('BIÑAN INFO'!$H351),")")</f>
        <v>Oro, Jed R. ()</v>
      </c>
      <c r="E351" s="70" t="s">
        <v>259</v>
      </c>
      <c r="F351" s="70" t="s">
        <v>260</v>
      </c>
      <c r="G351" s="70" t="s">
        <v>261</v>
      </c>
      <c r="H351" s="69"/>
      <c r="I351" s="71">
        <v>0.05</v>
      </c>
      <c r="J351" s="72">
        <v>1000.0</v>
      </c>
      <c r="K351" s="73"/>
      <c r="L351" s="73"/>
      <c r="M351" s="73"/>
      <c r="N351" s="74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30.0" customHeight="1">
      <c r="A352" s="68"/>
      <c r="B352" s="68">
        <v>353.0</v>
      </c>
      <c r="C352" s="68"/>
      <c r="D352" s="69" t="str">
        <f>CONCATENATE(PROPER('BIÑAN INFO'!$G352),", ",PROPER('BIÑAN INFO'!$E352)," ",PROPER('BIÑAN INFO'!$F352),"."," (",UPPER('BIÑAN INFO'!$H352),")")</f>
        <v>,  . ()</v>
      </c>
      <c r="E352" s="70"/>
      <c r="F352" s="70"/>
      <c r="G352" s="70"/>
      <c r="H352" s="69"/>
      <c r="I352" s="71">
        <v>0.12</v>
      </c>
      <c r="J352" s="72">
        <v>1000.0</v>
      </c>
      <c r="K352" s="73"/>
      <c r="L352" s="73"/>
      <c r="M352" s="73"/>
      <c r="N352" s="74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30.0" customHeight="1">
      <c r="A353" s="68"/>
      <c r="B353" s="68">
        <v>354.0</v>
      </c>
      <c r="C353" s="68"/>
      <c r="D353" s="69" t="str">
        <f>CONCATENATE(PROPER('BIÑAN INFO'!$G353),", ",PROPER('BIÑAN INFO'!$E353)," ",PROPER('BIÑAN INFO'!$F353),"."," (",UPPER('BIÑAN INFO'!$H353),")")</f>
        <v>,  . ()</v>
      </c>
      <c r="E353" s="70"/>
      <c r="F353" s="70"/>
      <c r="G353" s="70"/>
      <c r="H353" s="69"/>
      <c r="I353" s="71">
        <v>0.12</v>
      </c>
      <c r="J353" s="72">
        <v>1000.0</v>
      </c>
      <c r="K353" s="73"/>
      <c r="L353" s="73"/>
      <c r="M353" s="73"/>
      <c r="N353" s="74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30.0" customHeight="1">
      <c r="A354" s="68"/>
      <c r="B354" s="68">
        <v>355.0</v>
      </c>
      <c r="C354" s="68"/>
      <c r="D354" s="69" t="str">
        <f>CONCATENATE(PROPER('BIÑAN INFO'!$G354),", ",PROPER('BIÑAN INFO'!$E354)," ",PROPER('BIÑAN INFO'!$F354),"."," (",UPPER('BIÑAN INFO'!$H354),")")</f>
        <v>,  . ()</v>
      </c>
      <c r="E354" s="70"/>
      <c r="F354" s="70"/>
      <c r="G354" s="70"/>
      <c r="H354" s="69"/>
      <c r="I354" s="71">
        <v>0.12</v>
      </c>
      <c r="J354" s="72">
        <v>1000.0</v>
      </c>
      <c r="K354" s="73"/>
      <c r="L354" s="73"/>
      <c r="M354" s="73"/>
      <c r="N354" s="74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30.0" customHeight="1">
      <c r="A355" s="68"/>
      <c r="B355" s="68">
        <v>356.0</v>
      </c>
      <c r="C355" s="68"/>
      <c r="D355" s="69" t="str">
        <f>CONCATENATE(PROPER('BIÑAN INFO'!$G355),", ",PROPER('BIÑAN INFO'!$E355)," ",PROPER('BIÑAN INFO'!$F355),"."," (",UPPER('BIÑAN INFO'!$H355),")")</f>
        <v>,  . ()</v>
      </c>
      <c r="E355" s="70"/>
      <c r="F355" s="70"/>
      <c r="G355" s="70"/>
      <c r="H355" s="69"/>
      <c r="I355" s="71">
        <v>0.12</v>
      </c>
      <c r="J355" s="72">
        <v>1000.0</v>
      </c>
      <c r="K355" s="73"/>
      <c r="L355" s="73"/>
      <c r="M355" s="73"/>
      <c r="N355" s="74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30.0" customHeight="1">
      <c r="A356" s="68"/>
      <c r="B356" s="68">
        <v>357.0</v>
      </c>
      <c r="C356" s="68"/>
      <c r="D356" s="69" t="str">
        <f>CONCATENATE(PROPER('BIÑAN INFO'!$G356),", ",PROPER('BIÑAN INFO'!$E356)," ",PROPER('BIÑAN INFO'!$F356),"."," (",UPPER('BIÑAN INFO'!$H356),")")</f>
        <v>,  . ()</v>
      </c>
      <c r="E356" s="70"/>
      <c r="F356" s="70"/>
      <c r="G356" s="70"/>
      <c r="H356" s="69"/>
      <c r="I356" s="71">
        <v>0.12</v>
      </c>
      <c r="J356" s="72">
        <v>1000.0</v>
      </c>
      <c r="K356" s="73"/>
      <c r="L356" s="73"/>
      <c r="M356" s="73"/>
      <c r="N356" s="74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30.0" customHeight="1">
      <c r="A357" s="68"/>
      <c r="B357" s="68">
        <v>358.0</v>
      </c>
      <c r="C357" s="68"/>
      <c r="D357" s="69" t="str">
        <f>CONCATENATE(PROPER('BIÑAN INFO'!$G357),", ",PROPER('BIÑAN INFO'!$E357)," ",PROPER('BIÑAN INFO'!$F357),"."," (",UPPER('BIÑAN INFO'!$H357),")")</f>
        <v>,  . ()</v>
      </c>
      <c r="E357" s="70"/>
      <c r="F357" s="70"/>
      <c r="G357" s="70"/>
      <c r="H357" s="69"/>
      <c r="I357" s="71">
        <v>0.12</v>
      </c>
      <c r="J357" s="72">
        <v>1000.0</v>
      </c>
      <c r="K357" s="73"/>
      <c r="L357" s="73"/>
      <c r="M357" s="73"/>
      <c r="N357" s="74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30.0" customHeight="1">
      <c r="A358" s="68"/>
      <c r="B358" s="68">
        <v>359.0</v>
      </c>
      <c r="C358" s="68"/>
      <c r="D358" s="69" t="str">
        <f>CONCATENATE(PROPER('BIÑAN INFO'!$G358),", ",PROPER('BIÑAN INFO'!$E358)," ",PROPER('BIÑAN INFO'!$F358),"."," (",UPPER('BIÑAN INFO'!$H358),")")</f>
        <v>,  . ()</v>
      </c>
      <c r="E358" s="70"/>
      <c r="F358" s="70"/>
      <c r="G358" s="70"/>
      <c r="H358" s="69"/>
      <c r="I358" s="71">
        <v>0.12</v>
      </c>
      <c r="J358" s="72">
        <v>1000.0</v>
      </c>
      <c r="K358" s="73"/>
      <c r="L358" s="73"/>
      <c r="M358" s="73"/>
      <c r="N358" s="74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30.0" customHeight="1">
      <c r="A359" s="68"/>
      <c r="B359" s="68">
        <v>360.0</v>
      </c>
      <c r="C359" s="68"/>
      <c r="D359" s="69" t="str">
        <f>CONCATENATE(PROPER('BIÑAN INFO'!$G359),", ",PROPER('BIÑAN INFO'!$E359)," ",PROPER('BIÑAN INFO'!$F359),"."," (",UPPER('BIÑAN INFO'!$H359),")")</f>
        <v>,  . ()</v>
      </c>
      <c r="E359" s="70"/>
      <c r="F359" s="70"/>
      <c r="G359" s="70"/>
      <c r="H359" s="69"/>
      <c r="I359" s="71">
        <v>0.12</v>
      </c>
      <c r="J359" s="72">
        <v>1000.0</v>
      </c>
      <c r="K359" s="73"/>
      <c r="L359" s="73"/>
      <c r="M359" s="73"/>
      <c r="N359" s="74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30.0" customHeight="1">
      <c r="A360" s="68"/>
      <c r="B360" s="68">
        <v>361.0</v>
      </c>
      <c r="C360" s="68"/>
      <c r="D360" s="69" t="str">
        <f>CONCATENATE(PROPER('BIÑAN INFO'!$G360),", ",PROPER('BIÑAN INFO'!$E360)," ",PROPER('BIÑAN INFO'!$F360),"."," (",UPPER('BIÑAN INFO'!$H360),")")</f>
        <v>,  . ()</v>
      </c>
      <c r="E360" s="70"/>
      <c r="F360" s="70"/>
      <c r="G360" s="70"/>
      <c r="H360" s="69"/>
      <c r="I360" s="71">
        <v>0.12</v>
      </c>
      <c r="J360" s="72">
        <v>1000.0</v>
      </c>
      <c r="K360" s="73"/>
      <c r="L360" s="73"/>
      <c r="M360" s="73"/>
      <c r="N360" s="74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30.0" customHeight="1">
      <c r="A361" s="68"/>
      <c r="B361" s="68">
        <v>362.0</v>
      </c>
      <c r="C361" s="68"/>
      <c r="D361" s="69" t="str">
        <f>CONCATENATE(PROPER('BIÑAN INFO'!$G361),", ",PROPER('BIÑAN INFO'!$E361)," ",PROPER('BIÑAN INFO'!$F361),"."," (",UPPER('BIÑAN INFO'!$H361),")")</f>
        <v>Brucal, Cipriano Jr. . ()</v>
      </c>
      <c r="E361" s="70" t="s">
        <v>262</v>
      </c>
      <c r="F361" s="70"/>
      <c r="G361" s="70" t="s">
        <v>263</v>
      </c>
      <c r="H361" s="69"/>
      <c r="I361" s="71">
        <v>0.12</v>
      </c>
      <c r="J361" s="72">
        <v>1000.0</v>
      </c>
      <c r="K361" s="73"/>
      <c r="L361" s="73"/>
      <c r="M361" s="73"/>
      <c r="N361" s="74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30.0" customHeight="1">
      <c r="A362" s="68"/>
      <c r="B362" s="68">
        <v>363.0</v>
      </c>
      <c r="C362" s="68"/>
      <c r="D362" s="69" t="str">
        <f>CONCATENATE(PROPER('BIÑAN INFO'!$G362),", ",PROPER('BIÑAN INFO'!$E362)," ",PROPER('BIÑAN INFO'!$F362),"."," (",UPPER('BIÑAN INFO'!$H362),")")</f>
        <v>Bendejo, Ed . ()</v>
      </c>
      <c r="E362" s="70" t="s">
        <v>264</v>
      </c>
      <c r="F362" s="70"/>
      <c r="G362" s="70" t="s">
        <v>265</v>
      </c>
      <c r="H362" s="69"/>
      <c r="I362" s="71">
        <v>0.12</v>
      </c>
      <c r="J362" s="72">
        <v>1000.0</v>
      </c>
      <c r="K362" s="73"/>
      <c r="L362" s="73"/>
      <c r="M362" s="73"/>
      <c r="N362" s="74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30.0" customHeight="1">
      <c r="A363" s="68"/>
      <c r="B363" s="68">
        <v>364.0</v>
      </c>
      <c r="C363" s="68"/>
      <c r="D363" s="69" t="str">
        <f>CONCATENATE(PROPER('BIÑAN INFO'!$G363),", ",PROPER('BIÑAN INFO'!$E363)," ",PROPER('BIÑAN INFO'!$F363),"."," (",UPPER('BIÑAN INFO'!$H363),")")</f>
        <v>,  . ()</v>
      </c>
      <c r="E363" s="70"/>
      <c r="F363" s="70"/>
      <c r="G363" s="70"/>
      <c r="H363" s="69"/>
      <c r="I363" s="71">
        <v>0.12</v>
      </c>
      <c r="J363" s="72">
        <v>1000.0</v>
      </c>
      <c r="K363" s="73"/>
      <c r="L363" s="73"/>
      <c r="M363" s="73"/>
      <c r="N363" s="74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30.0" customHeight="1">
      <c r="A364" s="68"/>
      <c r="B364" s="68">
        <v>365.0</v>
      </c>
      <c r="C364" s="68"/>
      <c r="D364" s="69" t="str">
        <f>CONCATENATE(PROPER('BIÑAN INFO'!$G364),", ",PROPER('BIÑAN INFO'!$E364)," ",PROPER('BIÑAN INFO'!$F364),"."," (",UPPER('BIÑAN INFO'!$H364),")")</f>
        <v>,  . ()</v>
      </c>
      <c r="E364" s="70"/>
      <c r="F364" s="70"/>
      <c r="G364" s="70"/>
      <c r="H364" s="69"/>
      <c r="I364" s="71">
        <v>0.12</v>
      </c>
      <c r="J364" s="72">
        <v>1000.0</v>
      </c>
      <c r="K364" s="73"/>
      <c r="L364" s="73"/>
      <c r="M364" s="73"/>
      <c r="N364" s="74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30.0" customHeight="1">
      <c r="A365" s="68"/>
      <c r="B365" s="68">
        <v>366.0</v>
      </c>
      <c r="C365" s="68"/>
      <c r="D365" s="69" t="str">
        <f>CONCATENATE(PROPER('BIÑAN INFO'!$G365),", ",PROPER('BIÑAN INFO'!$E365)," ",PROPER('BIÑAN INFO'!$F365),"."," (",UPPER('BIÑAN INFO'!$H365),")")</f>
        <v>,  . ()</v>
      </c>
      <c r="E365" s="70"/>
      <c r="F365" s="70"/>
      <c r="G365" s="70"/>
      <c r="H365" s="69"/>
      <c r="I365" s="71">
        <v>0.12</v>
      </c>
      <c r="J365" s="72">
        <v>1000.0</v>
      </c>
      <c r="K365" s="73"/>
      <c r="L365" s="73"/>
      <c r="M365" s="73"/>
      <c r="N365" s="74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30.0" customHeight="1">
      <c r="A366" s="68"/>
      <c r="B366" s="68">
        <v>367.0</v>
      </c>
      <c r="C366" s="68"/>
      <c r="D366" s="69" t="str">
        <f>CONCATENATE(PROPER('BIÑAN INFO'!$G366),", ",PROPER('BIÑAN INFO'!$E366)," ",PROPER('BIÑAN INFO'!$F366),"."," (",UPPER('BIÑAN INFO'!$H366),")")</f>
        <v>,  . ()</v>
      </c>
      <c r="E366" s="70"/>
      <c r="F366" s="70"/>
      <c r="G366" s="70"/>
      <c r="H366" s="69"/>
      <c r="I366" s="71">
        <v>0.12</v>
      </c>
      <c r="J366" s="72">
        <v>1000.0</v>
      </c>
      <c r="K366" s="73"/>
      <c r="L366" s="73"/>
      <c r="M366" s="73"/>
      <c r="N366" s="74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30.0" customHeight="1">
      <c r="A367" s="68"/>
      <c r="B367" s="68">
        <v>368.0</v>
      </c>
      <c r="C367" s="68"/>
      <c r="D367" s="69" t="str">
        <f>CONCATENATE(PROPER('BIÑAN INFO'!$G367),", ",PROPER('BIÑAN INFO'!$E367)," ",PROPER('BIÑAN INFO'!$F367),"."," (",UPPER('BIÑAN INFO'!$H367),")")</f>
        <v>,  . ()</v>
      </c>
      <c r="E367" s="70"/>
      <c r="F367" s="70"/>
      <c r="G367" s="70"/>
      <c r="H367" s="69"/>
      <c r="I367" s="71">
        <v>0.12</v>
      </c>
      <c r="J367" s="72">
        <v>1000.0</v>
      </c>
      <c r="K367" s="73"/>
      <c r="L367" s="73"/>
      <c r="M367" s="73"/>
      <c r="N367" s="74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30.0" customHeight="1">
      <c r="A368" s="68"/>
      <c r="B368" s="68">
        <v>369.0</v>
      </c>
      <c r="C368" s="68"/>
      <c r="D368" s="69" t="str">
        <f>CONCATENATE(PROPER('BIÑAN INFO'!$G368),", ",PROPER('BIÑAN INFO'!$E368)," ",PROPER('BIÑAN INFO'!$F368),"."," (",UPPER('BIÑAN INFO'!$H368),")")</f>
        <v>,  . ()</v>
      </c>
      <c r="E368" s="70"/>
      <c r="F368" s="70"/>
      <c r="G368" s="70"/>
      <c r="H368" s="69"/>
      <c r="I368" s="71">
        <v>0.12</v>
      </c>
      <c r="J368" s="72">
        <v>1000.0</v>
      </c>
      <c r="K368" s="73"/>
      <c r="L368" s="73"/>
      <c r="M368" s="73"/>
      <c r="N368" s="74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30.0" customHeight="1">
      <c r="A369" s="68"/>
      <c r="B369" s="68">
        <v>370.0</v>
      </c>
      <c r="C369" s="68"/>
      <c r="D369" s="69" t="str">
        <f>CONCATENATE(PROPER('BIÑAN INFO'!$G369),", ",PROPER('BIÑAN INFO'!$E369)," ",PROPER('BIÑAN INFO'!$F369),"."," (",UPPER('BIÑAN INFO'!$H369),")")</f>
        <v>,  . ()</v>
      </c>
      <c r="E369" s="70"/>
      <c r="F369" s="70"/>
      <c r="G369" s="70"/>
      <c r="H369" s="69"/>
      <c r="I369" s="71">
        <v>0.12</v>
      </c>
      <c r="J369" s="72">
        <v>1000.0</v>
      </c>
      <c r="K369" s="73"/>
      <c r="L369" s="73"/>
      <c r="M369" s="73"/>
      <c r="N369" s="74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30.0" customHeight="1">
      <c r="A370" s="68"/>
      <c r="B370" s="68">
        <v>371.0</v>
      </c>
      <c r="C370" s="68"/>
      <c r="D370" s="69" t="str">
        <f>CONCATENATE(PROPER('BIÑAN INFO'!$G370),", ",PROPER('BIÑAN INFO'!$E370)," ",PROPER('BIÑAN INFO'!$F370),"."," (",UPPER('BIÑAN INFO'!$H370),")")</f>
        <v>,  . ()</v>
      </c>
      <c r="E370" s="70"/>
      <c r="F370" s="70"/>
      <c r="G370" s="70"/>
      <c r="H370" s="69"/>
      <c r="I370" s="71">
        <v>0.12</v>
      </c>
      <c r="J370" s="72">
        <v>1000.0</v>
      </c>
      <c r="K370" s="73"/>
      <c r="L370" s="73"/>
      <c r="M370" s="73"/>
      <c r="N370" s="74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30.0" customHeight="1">
      <c r="A371" s="68"/>
      <c r="B371" s="68">
        <v>372.0</v>
      </c>
      <c r="C371" s="68"/>
      <c r="D371" s="69" t="str">
        <f>CONCATENATE(PROPER('BIÑAN INFO'!$G371),", ",PROPER('BIÑAN INFO'!$E371)," ",PROPER('BIÑAN INFO'!$F371),"."," (",UPPER('BIÑAN INFO'!$H371),")")</f>
        <v>,  . ()</v>
      </c>
      <c r="E371" s="70"/>
      <c r="F371" s="70"/>
      <c r="G371" s="70"/>
      <c r="H371" s="69"/>
      <c r="I371" s="71">
        <v>0.12</v>
      </c>
      <c r="J371" s="72">
        <v>1000.0</v>
      </c>
      <c r="K371" s="73"/>
      <c r="L371" s="73"/>
      <c r="M371" s="73"/>
      <c r="N371" s="74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30.0" customHeight="1">
      <c r="A372" s="68"/>
      <c r="B372" s="68">
        <v>373.0</v>
      </c>
      <c r="C372" s="68"/>
      <c r="D372" s="69" t="str">
        <f>CONCATENATE(PROPER('BIÑAN INFO'!$G372),", ",PROPER('BIÑAN INFO'!$E372)," ",PROPER('BIÑAN INFO'!$F372),"."," (",UPPER('BIÑAN INFO'!$H372),")")</f>
        <v>,  . ()</v>
      </c>
      <c r="E372" s="70"/>
      <c r="F372" s="70"/>
      <c r="G372" s="70"/>
      <c r="H372" s="69"/>
      <c r="I372" s="71">
        <v>0.12</v>
      </c>
      <c r="J372" s="72">
        <v>1000.0</v>
      </c>
      <c r="K372" s="73"/>
      <c r="L372" s="73"/>
      <c r="M372" s="73"/>
      <c r="N372" s="74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30.0" customHeight="1">
      <c r="A373" s="68"/>
      <c r="B373" s="68">
        <v>374.0</v>
      </c>
      <c r="C373" s="68"/>
      <c r="D373" s="69" t="str">
        <f>CONCATENATE(PROPER('BIÑAN INFO'!$G373),", ",PROPER('BIÑAN INFO'!$E373)," ",PROPER('BIÑAN INFO'!$F373),"."," (",UPPER('BIÑAN INFO'!$H373),")")</f>
        <v>,  . ()</v>
      </c>
      <c r="E373" s="70"/>
      <c r="F373" s="70"/>
      <c r="G373" s="70"/>
      <c r="H373" s="69"/>
      <c r="I373" s="71">
        <v>0.12</v>
      </c>
      <c r="J373" s="72">
        <v>1000.0</v>
      </c>
      <c r="K373" s="73"/>
      <c r="L373" s="73"/>
      <c r="M373" s="73"/>
      <c r="N373" s="74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30.0" customHeight="1">
      <c r="A374" s="68"/>
      <c r="B374" s="68">
        <v>375.0</v>
      </c>
      <c r="C374" s="68"/>
      <c r="D374" s="69" t="str">
        <f>CONCATENATE(PROPER('BIÑAN INFO'!$G374),", ",PROPER('BIÑAN INFO'!$E374)," ",PROPER('BIÑAN INFO'!$F374),"."," (",UPPER('BIÑAN INFO'!$H374),")")</f>
        <v>Abion, Omar . ()</v>
      </c>
      <c r="E374" s="70" t="s">
        <v>266</v>
      </c>
      <c r="F374" s="70"/>
      <c r="G374" s="70" t="s">
        <v>267</v>
      </c>
      <c r="H374" s="69"/>
      <c r="I374" s="71">
        <v>0.12</v>
      </c>
      <c r="J374" s="72">
        <v>1000.0</v>
      </c>
      <c r="K374" s="73"/>
      <c r="L374" s="73"/>
      <c r="M374" s="73"/>
      <c r="N374" s="74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30.0" customHeight="1">
      <c r="A375" s="68"/>
      <c r="B375" s="68">
        <v>376.0</v>
      </c>
      <c r="C375" s="68"/>
      <c r="D375" s="69" t="str">
        <f>CONCATENATE(PROPER('BIÑAN INFO'!$G375),", ",PROPER('BIÑAN INFO'!$E375)," ",PROPER('BIÑAN INFO'!$F375),"."," (",UPPER('BIÑAN INFO'!$H375),")")</f>
        <v>,  . ()</v>
      </c>
      <c r="E375" s="70"/>
      <c r="F375" s="70"/>
      <c r="G375" s="70"/>
      <c r="H375" s="69"/>
      <c r="I375" s="71">
        <v>0.12</v>
      </c>
      <c r="J375" s="72">
        <v>1000.0</v>
      </c>
      <c r="K375" s="73"/>
      <c r="L375" s="73"/>
      <c r="M375" s="73"/>
      <c r="N375" s="74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30.0" customHeight="1">
      <c r="A376" s="68"/>
      <c r="B376" s="68">
        <v>377.0</v>
      </c>
      <c r="C376" s="68"/>
      <c r="D376" s="69" t="str">
        <f>CONCATENATE(PROPER('BIÑAN INFO'!$G376),", ",PROPER('BIÑAN INFO'!$E376)," ",PROPER('BIÑAN INFO'!$F376),"."," (",UPPER('BIÑAN INFO'!$H376),")")</f>
        <v>,  . ()</v>
      </c>
      <c r="E376" s="70"/>
      <c r="F376" s="70"/>
      <c r="G376" s="70"/>
      <c r="H376" s="69"/>
      <c r="I376" s="71">
        <v>0.12</v>
      </c>
      <c r="J376" s="72">
        <v>1000.0</v>
      </c>
      <c r="K376" s="73"/>
      <c r="L376" s="73"/>
      <c r="M376" s="73"/>
      <c r="N376" s="74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30.0" customHeight="1">
      <c r="A377" s="68"/>
      <c r="B377" s="68">
        <v>378.0</v>
      </c>
      <c r="C377" s="68"/>
      <c r="D377" s="69" t="str">
        <f>CONCATENATE(PROPER('BIÑAN INFO'!$G377),", ",PROPER('BIÑAN INFO'!$E377)," ",PROPER('BIÑAN INFO'!$F377),"."," (",UPPER('BIÑAN INFO'!$H377),")")</f>
        <v>,  . ()</v>
      </c>
      <c r="E377" s="70"/>
      <c r="F377" s="70"/>
      <c r="G377" s="70"/>
      <c r="H377" s="69"/>
      <c r="I377" s="71">
        <v>0.12</v>
      </c>
      <c r="J377" s="72">
        <v>1000.0</v>
      </c>
      <c r="K377" s="73"/>
      <c r="L377" s="73"/>
      <c r="M377" s="73"/>
      <c r="N377" s="74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30.0" customHeight="1">
      <c r="A378" s="68"/>
      <c r="B378" s="68">
        <v>379.0</v>
      </c>
      <c r="C378" s="68"/>
      <c r="D378" s="69" t="str">
        <f>CONCATENATE(PROPER('BIÑAN INFO'!$G378),", ",PROPER('BIÑAN INFO'!$E378)," ",PROPER('BIÑAN INFO'!$F378),"."," (",UPPER('BIÑAN INFO'!$H378),")")</f>
        <v>,  . ()</v>
      </c>
      <c r="E378" s="70"/>
      <c r="F378" s="70"/>
      <c r="G378" s="70"/>
      <c r="H378" s="69"/>
      <c r="I378" s="71">
        <v>0.12</v>
      </c>
      <c r="J378" s="72">
        <v>1000.0</v>
      </c>
      <c r="K378" s="73"/>
      <c r="L378" s="73"/>
      <c r="M378" s="73"/>
      <c r="N378" s="74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30.0" customHeight="1">
      <c r="A379" s="68"/>
      <c r="B379" s="68">
        <v>380.0</v>
      </c>
      <c r="C379" s="68"/>
      <c r="D379" s="69" t="str">
        <f>CONCATENATE(PROPER('BIÑAN INFO'!$G379),", ",PROPER('BIÑAN INFO'!$E379)," ",PROPER('BIÑAN INFO'!$F379),"."," (",UPPER('BIÑAN INFO'!$H379),")")</f>
        <v>Banasta, Arrold . ()</v>
      </c>
      <c r="E379" s="70" t="s">
        <v>268</v>
      </c>
      <c r="F379" s="70"/>
      <c r="G379" s="70" t="s">
        <v>269</v>
      </c>
      <c r="H379" s="69"/>
      <c r="I379" s="71">
        <v>0.12</v>
      </c>
      <c r="J379" s="72">
        <v>1000.0</v>
      </c>
      <c r="K379" s="73"/>
      <c r="L379" s="73"/>
      <c r="M379" s="73"/>
      <c r="N379" s="74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30.0" customHeight="1">
      <c r="A380" s="68"/>
      <c r="B380" s="68">
        <v>381.0</v>
      </c>
      <c r="C380" s="68"/>
      <c r="D380" s="69" t="str">
        <f>CONCATENATE(PROPER('BIÑAN INFO'!$G380),", ",PROPER('BIÑAN INFO'!$E380)," ",PROPER('BIÑAN INFO'!$F380),"."," (",UPPER('BIÑAN INFO'!$H380),")")</f>
        <v>,  . ()</v>
      </c>
      <c r="E380" s="70"/>
      <c r="F380" s="70"/>
      <c r="G380" s="70"/>
      <c r="H380" s="69"/>
      <c r="I380" s="71">
        <v>0.12</v>
      </c>
      <c r="J380" s="72">
        <v>1000.0</v>
      </c>
      <c r="K380" s="73"/>
      <c r="L380" s="73"/>
      <c r="M380" s="73"/>
      <c r="N380" s="74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30.0" customHeight="1">
      <c r="A381" s="68"/>
      <c r="B381" s="68">
        <v>382.0</v>
      </c>
      <c r="C381" s="68"/>
      <c r="D381" s="69" t="str">
        <f>CONCATENATE(PROPER('BIÑAN INFO'!$G381),", ",PROPER('BIÑAN INFO'!$E381)," ",PROPER('BIÑAN INFO'!$F381),"."," (",UPPER('BIÑAN INFO'!$H381),")")</f>
        <v>Dilag, Reig . ()</v>
      </c>
      <c r="E381" s="70" t="s">
        <v>270</v>
      </c>
      <c r="F381" s="70"/>
      <c r="G381" s="70" t="s">
        <v>271</v>
      </c>
      <c r="H381" s="69"/>
      <c r="I381" s="71">
        <v>0.05</v>
      </c>
      <c r="J381" s="72">
        <v>1000.0</v>
      </c>
      <c r="K381" s="73"/>
      <c r="L381" s="73"/>
      <c r="M381" s="73"/>
      <c r="N381" s="74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30.0" customHeight="1">
      <c r="A382" s="68"/>
      <c r="B382" s="68">
        <v>383.0</v>
      </c>
      <c r="C382" s="68"/>
      <c r="D382" s="69" t="str">
        <f>CONCATENATE(PROPER('BIÑAN INFO'!$G382),", ",PROPER('BIÑAN INFO'!$E382)," ",PROPER('BIÑAN INFO'!$F382),"."," (",UPPER('BIÑAN INFO'!$H382),")")</f>
        <v>,  . ()</v>
      </c>
      <c r="E382" s="70"/>
      <c r="F382" s="70"/>
      <c r="G382" s="70"/>
      <c r="H382" s="69"/>
      <c r="I382" s="71">
        <v>0.12</v>
      </c>
      <c r="J382" s="72">
        <v>1000.0</v>
      </c>
      <c r="K382" s="73"/>
      <c r="L382" s="73"/>
      <c r="M382" s="73"/>
      <c r="N382" s="74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30.0" customHeight="1">
      <c r="A383" s="68"/>
      <c r="B383" s="68">
        <v>384.0</v>
      </c>
      <c r="C383" s="68"/>
      <c r="D383" s="69" t="str">
        <f>CONCATENATE(PROPER('BIÑAN INFO'!$G383),", ",PROPER('BIÑAN INFO'!$E383)," ",PROPER('BIÑAN INFO'!$F383),"."," (",UPPER('BIÑAN INFO'!$H383),")")</f>
        <v>Camagay, Jojo . ()</v>
      </c>
      <c r="E383" s="70" t="s">
        <v>272</v>
      </c>
      <c r="F383" s="70"/>
      <c r="G383" s="70" t="s">
        <v>273</v>
      </c>
      <c r="H383" s="69"/>
      <c r="I383" s="71">
        <v>0.12</v>
      </c>
      <c r="J383" s="72">
        <v>1000.0</v>
      </c>
      <c r="K383" s="73"/>
      <c r="L383" s="73"/>
      <c r="M383" s="73"/>
      <c r="N383" s="74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30.0" customHeight="1">
      <c r="A384" s="68"/>
      <c r="B384" s="68">
        <v>385.0</v>
      </c>
      <c r="C384" s="68"/>
      <c r="D384" s="69" t="str">
        <f>CONCATENATE(PROPER('BIÑAN INFO'!$G384),", ",PROPER('BIÑAN INFO'!$E384)," ",PROPER('BIÑAN INFO'!$F384),"."," (",UPPER('BIÑAN INFO'!$H384),")")</f>
        <v>,  . ()</v>
      </c>
      <c r="E384" s="70"/>
      <c r="F384" s="70"/>
      <c r="G384" s="70"/>
      <c r="H384" s="70"/>
      <c r="I384" s="71">
        <v>0.12</v>
      </c>
      <c r="J384" s="72">
        <v>1000.0</v>
      </c>
      <c r="K384" s="73"/>
      <c r="L384" s="73"/>
      <c r="M384" s="73"/>
      <c r="N384" s="74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30.0" customHeight="1">
      <c r="A385" s="68"/>
      <c r="B385" s="68">
        <v>386.0</v>
      </c>
      <c r="C385" s="68"/>
      <c r="D385" s="69" t="str">
        <f>CONCATENATE(PROPER('BIÑAN INFO'!$G385),", ",PROPER('BIÑAN INFO'!$E385)," ",PROPER('BIÑAN INFO'!$F385),"."," (",UPPER('BIÑAN INFO'!$H385),")")</f>
        <v>,  . ()</v>
      </c>
      <c r="E385" s="70"/>
      <c r="F385" s="70"/>
      <c r="G385" s="70"/>
      <c r="H385" s="69"/>
      <c r="I385" s="71">
        <v>0.12</v>
      </c>
      <c r="J385" s="72">
        <v>1000.0</v>
      </c>
      <c r="K385" s="73"/>
      <c r="L385" s="73"/>
      <c r="M385" s="73"/>
      <c r="N385" s="74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30.0" customHeight="1">
      <c r="A386" s="68"/>
      <c r="B386" s="68">
        <v>387.0</v>
      </c>
      <c r="C386" s="68"/>
      <c r="D386" s="69" t="str">
        <f>CONCATENATE(PROPER('BIÑAN INFO'!$G386),", ",PROPER('BIÑAN INFO'!$E386)," ",PROPER('BIÑAN INFO'!$F386),"."," (",UPPER('BIÑAN INFO'!$H386),")")</f>
        <v>,  . ()</v>
      </c>
      <c r="E386" s="70"/>
      <c r="F386" s="70"/>
      <c r="G386" s="70"/>
      <c r="H386" s="69"/>
      <c r="I386" s="71">
        <v>0.12</v>
      </c>
      <c r="J386" s="72">
        <v>1000.0</v>
      </c>
      <c r="K386" s="73"/>
      <c r="L386" s="73"/>
      <c r="M386" s="73"/>
      <c r="N386" s="74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30.0" customHeight="1">
      <c r="A387" s="68"/>
      <c r="B387" s="68">
        <v>388.0</v>
      </c>
      <c r="C387" s="68"/>
      <c r="D387" s="69" t="str">
        <f>CONCATENATE(PROPER('BIÑAN INFO'!$G387),", ",PROPER('BIÑAN INFO'!$E387)," ",PROPER('BIÑAN INFO'!$F387),"."," (",UPPER('BIÑAN INFO'!$H387),")")</f>
        <v>,  . ()</v>
      </c>
      <c r="E387" s="70"/>
      <c r="F387" s="70"/>
      <c r="G387" s="70"/>
      <c r="H387" s="69"/>
      <c r="I387" s="71">
        <v>0.12</v>
      </c>
      <c r="J387" s="72">
        <v>1000.0</v>
      </c>
      <c r="K387" s="73"/>
      <c r="L387" s="73"/>
      <c r="M387" s="73"/>
      <c r="N387" s="74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30.0" customHeight="1">
      <c r="A388" s="68"/>
      <c r="B388" s="68">
        <v>389.0</v>
      </c>
      <c r="C388" s="68"/>
      <c r="D388" s="69" t="str">
        <f>CONCATENATE(PROPER('BIÑAN INFO'!$G388),", ",PROPER('BIÑAN INFO'!$E388)," ",PROPER('BIÑAN INFO'!$F388),"."," (",UPPER('BIÑAN INFO'!$H388),")")</f>
        <v>Bautista, Mona . ()</v>
      </c>
      <c r="E388" s="70" t="s">
        <v>274</v>
      </c>
      <c r="F388" s="70"/>
      <c r="G388" s="70" t="s">
        <v>275</v>
      </c>
      <c r="H388" s="69"/>
      <c r="I388" s="71">
        <v>0.12</v>
      </c>
      <c r="J388" s="72">
        <v>1000.0</v>
      </c>
      <c r="K388" s="73"/>
      <c r="L388" s="73"/>
      <c r="M388" s="73"/>
      <c r="N388" s="74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30.0" customHeight="1">
      <c r="A389" s="68"/>
      <c r="B389" s="68">
        <v>390.0</v>
      </c>
      <c r="C389" s="68"/>
      <c r="D389" s="69" t="str">
        <f>CONCATENATE(PROPER('BIÑAN INFO'!$G389),", ",PROPER('BIÑAN INFO'!$E389)," ",PROPER('BIÑAN INFO'!$F389),"."," (",UPPER('BIÑAN INFO'!$H389),")")</f>
        <v>Borromeo, Lorna Bautista. ()</v>
      </c>
      <c r="E389" s="70" t="s">
        <v>276</v>
      </c>
      <c r="F389" s="70" t="s">
        <v>275</v>
      </c>
      <c r="G389" s="70" t="s">
        <v>277</v>
      </c>
      <c r="H389" s="69"/>
      <c r="I389" s="71">
        <v>0.12</v>
      </c>
      <c r="J389" s="72">
        <v>1000.0</v>
      </c>
      <c r="K389" s="73"/>
      <c r="L389" s="73"/>
      <c r="M389" s="73"/>
      <c r="N389" s="74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30.0" customHeight="1">
      <c r="A390" s="68"/>
      <c r="B390" s="68">
        <v>391.0</v>
      </c>
      <c r="C390" s="68"/>
      <c r="D390" s="69" t="str">
        <f>CONCATENATE(PROPER('BIÑAN INFO'!$G390),", ",PROPER('BIÑAN INFO'!$E390)," ",PROPER('BIÑAN INFO'!$F390),"."," (",UPPER('BIÑAN INFO'!$H390),")")</f>
        <v>,  . ()</v>
      </c>
      <c r="E390" s="70"/>
      <c r="F390" s="70"/>
      <c r="G390" s="70"/>
      <c r="H390" s="69"/>
      <c r="I390" s="71">
        <v>0.12</v>
      </c>
      <c r="J390" s="72">
        <v>1000.0</v>
      </c>
      <c r="K390" s="73"/>
      <c r="L390" s="73"/>
      <c r="M390" s="73"/>
      <c r="N390" s="74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30.0" customHeight="1">
      <c r="A391" s="68"/>
      <c r="B391" s="68">
        <v>392.0</v>
      </c>
      <c r="C391" s="68"/>
      <c r="D391" s="69" t="str">
        <f>CONCATENATE(PROPER('BIÑAN INFO'!$G391),", ",PROPER('BIÑAN INFO'!$E391)," ",PROPER('BIÑAN INFO'!$F391),"."," (",UPPER('BIÑAN INFO'!$H391),")")</f>
        <v>,  . ()</v>
      </c>
      <c r="E391" s="70"/>
      <c r="F391" s="70"/>
      <c r="G391" s="70"/>
      <c r="H391" s="69"/>
      <c r="I391" s="71">
        <v>0.12</v>
      </c>
      <c r="J391" s="72">
        <v>1000.0</v>
      </c>
      <c r="K391" s="73"/>
      <c r="L391" s="73"/>
      <c r="M391" s="73"/>
      <c r="N391" s="74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30.0" customHeight="1">
      <c r="A392" s="68"/>
      <c r="B392" s="68">
        <v>393.0</v>
      </c>
      <c r="C392" s="68"/>
      <c r="D392" s="69" t="str">
        <f>CONCATENATE(PROPER('BIÑAN INFO'!$G392),", ",PROPER('BIÑAN INFO'!$E392)," ",PROPER('BIÑAN INFO'!$F392),"."," (",UPPER('BIÑAN INFO'!$H392),")")</f>
        <v>Alonte, Abigael . ()</v>
      </c>
      <c r="E392" s="70" t="s">
        <v>278</v>
      </c>
      <c r="F392" s="70"/>
      <c r="G392" s="70" t="s">
        <v>279</v>
      </c>
      <c r="H392" s="69"/>
      <c r="I392" s="71">
        <v>0.12</v>
      </c>
      <c r="J392" s="72">
        <v>1000.0</v>
      </c>
      <c r="K392" s="73"/>
      <c r="L392" s="73"/>
      <c r="M392" s="73"/>
      <c r="N392" s="74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30.0" customHeight="1">
      <c r="A393" s="68"/>
      <c r="B393" s="68">
        <v>394.0</v>
      </c>
      <c r="C393" s="68"/>
      <c r="D393" s="69" t="str">
        <f>CONCATENATE(PROPER('BIÑAN INFO'!$G393),", ",PROPER('BIÑAN INFO'!$E393)," ",PROPER('BIÑAN INFO'!$F393),"."," (",UPPER('BIÑAN INFO'!$H393),")")</f>
        <v>Bagobe, Julieta . ()</v>
      </c>
      <c r="E393" s="70" t="s">
        <v>280</v>
      </c>
      <c r="F393" s="70"/>
      <c r="G393" s="70" t="s">
        <v>281</v>
      </c>
      <c r="H393" s="69"/>
      <c r="I393" s="71">
        <v>0.05</v>
      </c>
      <c r="J393" s="72">
        <v>1000.0</v>
      </c>
      <c r="K393" s="73"/>
      <c r="L393" s="73"/>
      <c r="M393" s="73"/>
      <c r="N393" s="74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30.0" customHeight="1">
      <c r="A394" s="68"/>
      <c r="B394" s="68">
        <v>395.0</v>
      </c>
      <c r="C394" s="68"/>
      <c r="D394" s="69" t="str">
        <f>CONCATENATE(PROPER('BIÑAN INFO'!$G394),", ",PROPER('BIÑAN INFO'!$E394)," ",PROPER('BIÑAN INFO'!$F394),"."," (",UPPER('BIÑAN INFO'!$H394),")")</f>
        <v>,  . ()</v>
      </c>
      <c r="E394" s="70"/>
      <c r="F394" s="70"/>
      <c r="G394" s="70"/>
      <c r="H394" s="69"/>
      <c r="I394" s="71">
        <v>0.12</v>
      </c>
      <c r="J394" s="72">
        <v>1000.0</v>
      </c>
      <c r="K394" s="73"/>
      <c r="L394" s="73"/>
      <c r="M394" s="73"/>
      <c r="N394" s="74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30.0" customHeight="1">
      <c r="A395" s="68"/>
      <c r="B395" s="68">
        <v>396.0</v>
      </c>
      <c r="C395" s="68"/>
      <c r="D395" s="69" t="str">
        <f>CONCATENATE(PROPER('BIÑAN INFO'!$G395),", ",PROPER('BIÑAN INFO'!$E395)," ",PROPER('BIÑAN INFO'!$F395),"."," (",UPPER('BIÑAN INFO'!$H395),")")</f>
        <v>Berroya, Romina . ()</v>
      </c>
      <c r="E395" s="70" t="s">
        <v>282</v>
      </c>
      <c r="F395" s="70"/>
      <c r="G395" s="70" t="s">
        <v>283</v>
      </c>
      <c r="H395" s="69"/>
      <c r="I395" s="71">
        <v>0.12</v>
      </c>
      <c r="J395" s="72">
        <v>1000.0</v>
      </c>
      <c r="K395" s="73"/>
      <c r="L395" s="73"/>
      <c r="M395" s="73"/>
      <c r="N395" s="74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30.0" customHeight="1">
      <c r="A396" s="68"/>
      <c r="B396" s="68">
        <v>397.0</v>
      </c>
      <c r="C396" s="68"/>
      <c r="D396" s="69" t="str">
        <f>CONCATENATE(PROPER('BIÑAN INFO'!$G396),", ",PROPER('BIÑAN INFO'!$E396)," ",PROPER('BIÑAN INFO'!$F396),"."," (",UPPER('BIÑAN INFO'!$H396),")")</f>
        <v>Amil, Rowena . ()</v>
      </c>
      <c r="E396" s="70" t="s">
        <v>284</v>
      </c>
      <c r="F396" s="70"/>
      <c r="G396" s="70" t="s">
        <v>285</v>
      </c>
      <c r="H396" s="69"/>
      <c r="I396" s="71">
        <v>0.12</v>
      </c>
      <c r="J396" s="72">
        <v>1000.0</v>
      </c>
      <c r="K396" s="73"/>
      <c r="L396" s="73"/>
      <c r="M396" s="73"/>
      <c r="N396" s="74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30.0" customHeight="1">
      <c r="A397" s="68"/>
      <c r="B397" s="68">
        <v>398.0</v>
      </c>
      <c r="C397" s="68"/>
      <c r="D397" s="69" t="str">
        <f>CONCATENATE(PROPER('BIÑAN INFO'!$G397),", ",PROPER('BIÑAN INFO'!$E397)," ",PROPER('BIÑAN INFO'!$F397),"."," (",UPPER('BIÑAN INFO'!$H397),")")</f>
        <v>,  . ()</v>
      </c>
      <c r="E397" s="70"/>
      <c r="F397" s="70"/>
      <c r="G397" s="70"/>
      <c r="H397" s="69"/>
      <c r="I397" s="71">
        <v>0.12</v>
      </c>
      <c r="J397" s="72">
        <v>1000.0</v>
      </c>
      <c r="K397" s="73"/>
      <c r="L397" s="73"/>
      <c r="M397" s="73"/>
      <c r="N397" s="74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30.0" customHeight="1">
      <c r="A398" s="68"/>
      <c r="B398" s="68">
        <v>399.0</v>
      </c>
      <c r="C398" s="68"/>
      <c r="D398" s="69" t="str">
        <f>CONCATENATE(PROPER('BIÑAN INFO'!$G398),", ",PROPER('BIÑAN INFO'!$E398)," ",PROPER('BIÑAN INFO'!$F398),"."," (",UPPER('BIÑAN INFO'!$H398),")")</f>
        <v>Aguilar, Jorge . ()</v>
      </c>
      <c r="E398" s="70" t="s">
        <v>286</v>
      </c>
      <c r="F398" s="70"/>
      <c r="G398" s="70" t="s">
        <v>287</v>
      </c>
      <c r="H398" s="69"/>
      <c r="I398" s="71">
        <v>0.12</v>
      </c>
      <c r="J398" s="72">
        <v>1000.0</v>
      </c>
      <c r="K398" s="73"/>
      <c r="L398" s="73"/>
      <c r="M398" s="73"/>
      <c r="N398" s="74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30.0" customHeight="1">
      <c r="A399" s="68"/>
      <c r="B399" s="68">
        <v>400.0</v>
      </c>
      <c r="C399" s="68"/>
      <c r="D399" s="69" t="str">
        <f>CONCATENATE(PROPER('BIÑAN INFO'!$G399),", ",PROPER('BIÑAN INFO'!$E399)," ",PROPER('BIÑAN INFO'!$F399),"."," (",UPPER('BIÑAN INFO'!$H399),")")</f>
        <v>Benedito, Anacel . ()</v>
      </c>
      <c r="E399" s="70" t="s">
        <v>288</v>
      </c>
      <c r="F399" s="70"/>
      <c r="G399" s="70" t="s">
        <v>289</v>
      </c>
      <c r="H399" s="69"/>
      <c r="I399" s="71">
        <v>0.12</v>
      </c>
      <c r="J399" s="72">
        <v>1000.0</v>
      </c>
      <c r="K399" s="73"/>
      <c r="L399" s="73"/>
      <c r="M399" s="73"/>
      <c r="N399" s="74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30.0" customHeight="1">
      <c r="A400" s="68"/>
      <c r="B400" s="68">
        <v>401.0</v>
      </c>
      <c r="C400" s="68"/>
      <c r="D400" s="69" t="str">
        <f>CONCATENATE(PROPER('BIÑAN INFO'!$G400),", ",PROPER('BIÑAN INFO'!$E400)," ",PROPER('BIÑAN INFO'!$F400),"."," (",UPPER('BIÑAN INFO'!$H400),")")</f>
        <v>,  . ()</v>
      </c>
      <c r="E400" s="70"/>
      <c r="F400" s="70"/>
      <c r="G400" s="70"/>
      <c r="H400" s="69"/>
      <c r="I400" s="71">
        <v>0.12</v>
      </c>
      <c r="J400" s="72">
        <v>1000.0</v>
      </c>
      <c r="K400" s="73"/>
      <c r="L400" s="73"/>
      <c r="M400" s="73"/>
      <c r="N400" s="74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30.0" customHeight="1">
      <c r="A401" s="68"/>
      <c r="B401" s="68">
        <v>402.0</v>
      </c>
      <c r="C401" s="68"/>
      <c r="D401" s="69" t="str">
        <f>CONCATENATE(PROPER('BIÑAN INFO'!$G401),", ",PROPER('BIÑAN INFO'!$E401)," ",PROPER('BIÑAN INFO'!$F401),"."," (",UPPER('BIÑAN INFO'!$H401),")")</f>
        <v>Brimueza, Jocelyn . ()</v>
      </c>
      <c r="E401" s="70" t="s">
        <v>290</v>
      </c>
      <c r="F401" s="70"/>
      <c r="G401" s="70" t="s">
        <v>291</v>
      </c>
      <c r="H401" s="69"/>
      <c r="I401" s="71">
        <v>0.12</v>
      </c>
      <c r="J401" s="72">
        <v>1000.0</v>
      </c>
      <c r="K401" s="73"/>
      <c r="L401" s="73"/>
      <c r="M401" s="73"/>
      <c r="N401" s="74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30.0" customHeight="1">
      <c r="A402" s="68"/>
      <c r="B402" s="68">
        <v>403.0</v>
      </c>
      <c r="C402" s="68"/>
      <c r="D402" s="69" t="str">
        <f>CONCATENATE(PROPER('BIÑAN INFO'!$G402),", ",PROPER('BIÑAN INFO'!$E402)," ",PROPER('BIÑAN INFO'!$F402),"."," (",UPPER('BIÑAN INFO'!$H402),")")</f>
        <v>,  . ()</v>
      </c>
      <c r="E402" s="70"/>
      <c r="F402" s="70"/>
      <c r="G402" s="70"/>
      <c r="H402" s="69"/>
      <c r="I402" s="71">
        <v>0.12</v>
      </c>
      <c r="J402" s="72">
        <v>1000.0</v>
      </c>
      <c r="K402" s="73"/>
      <c r="L402" s="73"/>
      <c r="M402" s="73"/>
      <c r="N402" s="74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30.0" customHeight="1">
      <c r="A403" s="68"/>
      <c r="B403" s="68">
        <v>404.0</v>
      </c>
      <c r="C403" s="68"/>
      <c r="D403" s="69" t="str">
        <f>CONCATENATE(PROPER('BIÑAN INFO'!$G403),", ",PROPER('BIÑAN INFO'!$E403)," ",PROPER('BIÑAN INFO'!$F403),"."," (",UPPER('BIÑAN INFO'!$H403),")")</f>
        <v>,  . ()</v>
      </c>
      <c r="E403" s="70"/>
      <c r="F403" s="70"/>
      <c r="G403" s="70"/>
      <c r="H403" s="69"/>
      <c r="I403" s="71">
        <v>0.12</v>
      </c>
      <c r="J403" s="72">
        <v>1000.0</v>
      </c>
      <c r="K403" s="73"/>
      <c r="L403" s="73"/>
      <c r="M403" s="73"/>
      <c r="N403" s="74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30.0" customHeight="1">
      <c r="A404" s="68"/>
      <c r="B404" s="68">
        <v>405.0</v>
      </c>
      <c r="C404" s="68"/>
      <c r="D404" s="69" t="str">
        <f>CONCATENATE(PROPER('BIÑAN INFO'!$G404),", ",PROPER('BIÑAN INFO'!$E404)," ",PROPER('BIÑAN INFO'!$F404),"."," (",UPPER('BIÑAN INFO'!$H404),")")</f>
        <v>,  . ()</v>
      </c>
      <c r="E404" s="70"/>
      <c r="F404" s="70"/>
      <c r="G404" s="70"/>
      <c r="H404" s="69"/>
      <c r="I404" s="71">
        <v>0.12</v>
      </c>
      <c r="J404" s="72">
        <v>1000.0</v>
      </c>
      <c r="K404" s="73"/>
      <c r="L404" s="73"/>
      <c r="M404" s="73"/>
      <c r="N404" s="74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30.0" customHeight="1">
      <c r="A405" s="68"/>
      <c r="B405" s="68">
        <v>406.0</v>
      </c>
      <c r="C405" s="68"/>
      <c r="D405" s="69" t="str">
        <f>CONCATENATE(PROPER('BIÑAN INFO'!$G405),", ",PROPER('BIÑAN INFO'!$E405)," ",PROPER('BIÑAN INFO'!$F405),"."," (",UPPER('BIÑAN INFO'!$H405),")")</f>
        <v>,  . ()</v>
      </c>
      <c r="E405" s="70"/>
      <c r="F405" s="70"/>
      <c r="G405" s="70"/>
      <c r="H405" s="69"/>
      <c r="I405" s="71">
        <v>0.12</v>
      </c>
      <c r="J405" s="72">
        <v>1000.0</v>
      </c>
      <c r="K405" s="73"/>
      <c r="L405" s="73"/>
      <c r="M405" s="73"/>
      <c r="N405" s="74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30.0" customHeight="1">
      <c r="A406" s="68"/>
      <c r="B406" s="68">
        <v>407.0</v>
      </c>
      <c r="C406" s="68"/>
      <c r="D406" s="69" t="str">
        <f>CONCATENATE(PROPER('BIÑAN INFO'!$G406),", ",PROPER('BIÑAN INFO'!$E406)," ",PROPER('BIÑAN INFO'!$F406),"."," (",UPPER('BIÑAN INFO'!$H406),")")</f>
        <v>,  . ()</v>
      </c>
      <c r="E406" s="70"/>
      <c r="F406" s="70"/>
      <c r="G406" s="70"/>
      <c r="H406" s="69"/>
      <c r="I406" s="71">
        <v>0.12</v>
      </c>
      <c r="J406" s="72">
        <v>1000.0</v>
      </c>
      <c r="K406" s="73"/>
      <c r="L406" s="73"/>
      <c r="M406" s="73"/>
      <c r="N406" s="74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30.0" customHeight="1">
      <c r="A407" s="68"/>
      <c r="B407" s="68">
        <v>408.0</v>
      </c>
      <c r="C407" s="68"/>
      <c r="D407" s="69" t="str">
        <f>CONCATENATE(PROPER('BIÑAN INFO'!$G407),", ",PROPER('BIÑAN INFO'!$E407)," ",PROPER('BIÑAN INFO'!$F407),"."," (",UPPER('BIÑAN INFO'!$H407),")")</f>
        <v>,  . ()</v>
      </c>
      <c r="E407" s="70"/>
      <c r="F407" s="70"/>
      <c r="G407" s="70"/>
      <c r="H407" s="69"/>
      <c r="I407" s="71">
        <v>0.12</v>
      </c>
      <c r="J407" s="72">
        <v>1000.0</v>
      </c>
      <c r="K407" s="73"/>
      <c r="L407" s="73"/>
      <c r="M407" s="73"/>
      <c r="N407" s="74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30.0" customHeight="1">
      <c r="A408" s="68"/>
      <c r="B408" s="68">
        <v>409.0</v>
      </c>
      <c r="C408" s="68"/>
      <c r="D408" s="69" t="str">
        <f>CONCATENATE(PROPER('BIÑAN INFO'!$G408),", ",PROPER('BIÑAN INFO'!$E408)," ",PROPER('BIÑAN INFO'!$F408),"."," (",UPPER('BIÑAN INFO'!$H408),")")</f>
        <v>,  . ()</v>
      </c>
      <c r="E408" s="70"/>
      <c r="F408" s="70"/>
      <c r="G408" s="70"/>
      <c r="H408" s="69"/>
      <c r="I408" s="71">
        <v>0.12</v>
      </c>
      <c r="J408" s="72">
        <v>1000.0</v>
      </c>
      <c r="K408" s="73"/>
      <c r="L408" s="73"/>
      <c r="M408" s="73"/>
      <c r="N408" s="74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30.0" customHeight="1">
      <c r="A409" s="68"/>
      <c r="B409" s="68">
        <v>410.0</v>
      </c>
      <c r="C409" s="68"/>
      <c r="D409" s="69" t="str">
        <f>CONCATENATE(PROPER('BIÑAN INFO'!$G409),", ",PROPER('BIÑAN INFO'!$E409)," ",PROPER('BIÑAN INFO'!$F409),"."," (",UPPER('BIÑAN INFO'!$H409),")")</f>
        <v>,  . ()</v>
      </c>
      <c r="E409" s="70"/>
      <c r="F409" s="70"/>
      <c r="G409" s="70"/>
      <c r="H409" s="69"/>
      <c r="I409" s="71">
        <v>0.12</v>
      </c>
      <c r="J409" s="72">
        <v>1000.0</v>
      </c>
      <c r="K409" s="73"/>
      <c r="L409" s="73"/>
      <c r="M409" s="73"/>
      <c r="N409" s="74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30.0" customHeight="1">
      <c r="A410" s="68"/>
      <c r="B410" s="68">
        <v>411.0</v>
      </c>
      <c r="C410" s="68"/>
      <c r="D410" s="69" t="str">
        <f>CONCATENATE(PROPER('BIÑAN INFO'!$G410),", ",PROPER('BIÑAN INFO'!$E410)," ",PROPER('BIÑAN INFO'!$F410),"."," (",UPPER('BIÑAN INFO'!$H410),")")</f>
        <v>Lauren, Randy . ()</v>
      </c>
      <c r="E410" s="70" t="s">
        <v>145</v>
      </c>
      <c r="F410" s="70"/>
      <c r="G410" s="70" t="s">
        <v>292</v>
      </c>
      <c r="H410" s="69"/>
      <c r="I410" s="71">
        <v>0.05</v>
      </c>
      <c r="J410" s="72">
        <v>1000.0</v>
      </c>
      <c r="K410" s="73" t="s">
        <v>50</v>
      </c>
      <c r="L410" s="73"/>
      <c r="M410" s="73"/>
      <c r="N410" s="74" t="s">
        <v>293</v>
      </c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30.0" customHeight="1">
      <c r="A411" s="68"/>
      <c r="B411" s="68">
        <v>412.0</v>
      </c>
      <c r="C411" s="68"/>
      <c r="D411" s="69" t="str">
        <f>CONCATENATE(PROPER('BIÑAN INFO'!$G411),", ",PROPER('BIÑAN INFO'!$E411)," ",PROPER('BIÑAN INFO'!$F411),"."," (",UPPER('BIÑAN INFO'!$H411),")")</f>
        <v>Austria, Cristina . ()</v>
      </c>
      <c r="E411" s="70" t="s">
        <v>294</v>
      </c>
      <c r="F411" s="70"/>
      <c r="G411" s="70" t="s">
        <v>295</v>
      </c>
      <c r="H411" s="69"/>
      <c r="I411" s="71">
        <v>0.05</v>
      </c>
      <c r="J411" s="72">
        <v>1000.0</v>
      </c>
      <c r="K411" s="73"/>
      <c r="L411" s="73"/>
      <c r="M411" s="73"/>
      <c r="N411" s="74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30.0" customHeight="1">
      <c r="A412" s="68"/>
      <c r="B412" s="68">
        <v>413.0</v>
      </c>
      <c r="C412" s="68"/>
      <c r="D412" s="69" t="str">
        <f>CONCATENATE(PROPER('BIÑAN INFO'!$G412),", ",PROPER('BIÑAN INFO'!$E412)," ",PROPER('BIÑAN INFO'!$F412),"."," (",UPPER('BIÑAN INFO'!$H412),")")</f>
        <v>Yu, Nito . ()</v>
      </c>
      <c r="E412" s="70" t="s">
        <v>296</v>
      </c>
      <c r="F412" s="70"/>
      <c r="G412" s="70" t="s">
        <v>297</v>
      </c>
      <c r="H412" s="69"/>
      <c r="I412" s="71">
        <v>0.12</v>
      </c>
      <c r="J412" s="72">
        <v>1000.0</v>
      </c>
      <c r="K412" s="73"/>
      <c r="L412" s="73"/>
      <c r="M412" s="73"/>
      <c r="N412" s="74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30.0" customHeight="1">
      <c r="A413" s="68"/>
      <c r="B413" s="68">
        <v>414.0</v>
      </c>
      <c r="C413" s="68"/>
      <c r="D413" s="69" t="str">
        <f>CONCATENATE(PROPER('BIÑAN INFO'!$G413),", ",PROPER('BIÑAN INFO'!$E413)," ",PROPER('BIÑAN INFO'!$F413),"."," (",UPPER('BIÑAN INFO'!$H413),")")</f>
        <v>,  . ()</v>
      </c>
      <c r="E413" s="70"/>
      <c r="F413" s="70"/>
      <c r="G413" s="70"/>
      <c r="H413" s="69"/>
      <c r="I413" s="71">
        <v>0.12</v>
      </c>
      <c r="J413" s="72">
        <v>1000.0</v>
      </c>
      <c r="K413" s="73"/>
      <c r="L413" s="73"/>
      <c r="M413" s="73"/>
      <c r="N413" s="74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30.0" customHeight="1">
      <c r="A414" s="68"/>
      <c r="B414" s="68">
        <v>415.0</v>
      </c>
      <c r="C414" s="68"/>
      <c r="D414" s="69" t="str">
        <f>CONCATENATE(PROPER('BIÑAN INFO'!$G414),", ",PROPER('BIÑAN INFO'!$E414)," ",PROPER('BIÑAN INFO'!$F414),"."," (",UPPER('BIÑAN INFO'!$H414),")")</f>
        <v>Ruiz, Aileen E. ()</v>
      </c>
      <c r="E414" s="70" t="s">
        <v>298</v>
      </c>
      <c r="F414" s="70" t="s">
        <v>299</v>
      </c>
      <c r="G414" s="70" t="s">
        <v>300</v>
      </c>
      <c r="H414" s="69"/>
      <c r="I414" s="71">
        <v>0.05</v>
      </c>
      <c r="J414" s="72">
        <v>1000.0</v>
      </c>
      <c r="K414" s="73"/>
      <c r="L414" s="73"/>
      <c r="M414" s="73"/>
      <c r="N414" s="74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30.0" customHeight="1">
      <c r="A415" s="68"/>
      <c r="B415" s="68">
        <v>416.0</v>
      </c>
      <c r="C415" s="68"/>
      <c r="D415" s="69" t="str">
        <f>CONCATENATE(PROPER('BIÑAN INFO'!$G415),", ",PROPER('BIÑAN INFO'!$E415)," ",PROPER('BIÑAN INFO'!$F415),"."," (",UPPER('BIÑAN INFO'!$H415),")")</f>
        <v>Ariqola, Fernan . ()</v>
      </c>
      <c r="E415" s="70" t="s">
        <v>301</v>
      </c>
      <c r="F415" s="70"/>
      <c r="G415" s="70" t="s">
        <v>302</v>
      </c>
      <c r="H415" s="69"/>
      <c r="I415" s="71">
        <v>0.12</v>
      </c>
      <c r="J415" s="72">
        <v>1000.0</v>
      </c>
      <c r="K415" s="73"/>
      <c r="L415" s="73"/>
      <c r="M415" s="73"/>
      <c r="N415" s="74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30.0" customHeight="1">
      <c r="A416" s="68"/>
      <c r="B416" s="68">
        <v>417.0</v>
      </c>
      <c r="C416" s="68"/>
      <c r="D416" s="69" t="str">
        <f>CONCATENATE(PROPER('BIÑAN INFO'!$G416),", ",PROPER('BIÑAN INFO'!$E416)," ",PROPER('BIÑAN INFO'!$F416),"."," (",UPPER('BIÑAN INFO'!$H416),")")</f>
        <v>Camaong, Jose . ()</v>
      </c>
      <c r="E416" s="70" t="s">
        <v>303</v>
      </c>
      <c r="F416" s="70"/>
      <c r="G416" s="70" t="s">
        <v>304</v>
      </c>
      <c r="H416" s="69"/>
      <c r="I416" s="71">
        <v>0.12</v>
      </c>
      <c r="J416" s="72">
        <v>1000.0</v>
      </c>
      <c r="K416" s="73"/>
      <c r="L416" s="73"/>
      <c r="M416" s="73"/>
      <c r="N416" s="74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30.0" customHeight="1">
      <c r="A417" s="68"/>
      <c r="B417" s="68">
        <v>418.0</v>
      </c>
      <c r="C417" s="68"/>
      <c r="D417" s="69" t="str">
        <f>CONCATENATE(PROPER('BIÑAN INFO'!$G417),", ",PROPER('BIÑAN INFO'!$E417)," ",PROPER('BIÑAN INFO'!$F417),"."," (",UPPER('BIÑAN INFO'!$H417),")")</f>
        <v>Berroya, Romira . ()</v>
      </c>
      <c r="E417" s="70" t="s">
        <v>305</v>
      </c>
      <c r="F417" s="70"/>
      <c r="G417" s="70" t="s">
        <v>283</v>
      </c>
      <c r="H417" s="69"/>
      <c r="I417" s="71">
        <v>0.12</v>
      </c>
      <c r="J417" s="72">
        <v>1000.0</v>
      </c>
      <c r="K417" s="73"/>
      <c r="L417" s="73"/>
      <c r="M417" s="73"/>
      <c r="N417" s="74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30.0" customHeight="1">
      <c r="A418" s="68"/>
      <c r="B418" s="68">
        <v>419.0</v>
      </c>
      <c r="C418" s="68"/>
      <c r="D418" s="69" t="str">
        <f>CONCATENATE(PROPER('BIÑAN INFO'!$G418),", ",PROPER('BIÑAN INFO'!$E418)," ",PROPER('BIÑAN INFO'!$F418),"."," (",UPPER('BIÑAN INFO'!$H418),")")</f>
        <v>,  . ()</v>
      </c>
      <c r="E418" s="70"/>
      <c r="F418" s="70"/>
      <c r="G418" s="70"/>
      <c r="H418" s="69"/>
      <c r="I418" s="71">
        <v>0.12</v>
      </c>
      <c r="J418" s="72">
        <v>1000.0</v>
      </c>
      <c r="K418" s="73"/>
      <c r="L418" s="73"/>
      <c r="M418" s="73"/>
      <c r="N418" s="74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30.0" customHeight="1">
      <c r="A419" s="68"/>
      <c r="B419" s="68">
        <v>420.0</v>
      </c>
      <c r="C419" s="68"/>
      <c r="D419" s="69" t="str">
        <f>CONCATENATE(PROPER('BIÑAN INFO'!$G419),", ",PROPER('BIÑAN INFO'!$E419)," ",PROPER('BIÑAN INFO'!$F419),"."," (",UPPER('BIÑAN INFO'!$H419),")")</f>
        <v>Caoile, Cecilia . ()</v>
      </c>
      <c r="E419" s="70" t="s">
        <v>306</v>
      </c>
      <c r="F419" s="70"/>
      <c r="G419" s="70" t="s">
        <v>307</v>
      </c>
      <c r="H419" s="69"/>
      <c r="I419" s="71">
        <v>0.05</v>
      </c>
      <c r="J419" s="72">
        <v>5000.0</v>
      </c>
      <c r="K419" s="73"/>
      <c r="L419" s="73"/>
      <c r="M419" s="73"/>
      <c r="N419" s="74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30.0" customHeight="1">
      <c r="A420" s="68"/>
      <c r="B420" s="68">
        <v>421.0</v>
      </c>
      <c r="C420" s="68"/>
      <c r="D420" s="69" t="str">
        <f>CONCATENATE(PROPER('BIÑAN INFO'!$G420),", ",PROPER('BIÑAN INFO'!$E420)," ",PROPER('BIÑAN INFO'!$F420),"."," (",UPPER('BIÑAN INFO'!$H420),")")</f>
        <v>,  . ()</v>
      </c>
      <c r="E420" s="70"/>
      <c r="F420" s="70"/>
      <c r="G420" s="70"/>
      <c r="H420" s="69"/>
      <c r="I420" s="71">
        <v>0.12</v>
      </c>
      <c r="J420" s="72">
        <v>1000.0</v>
      </c>
      <c r="K420" s="73"/>
      <c r="L420" s="73"/>
      <c r="M420" s="73"/>
      <c r="N420" s="74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30.0" customHeight="1">
      <c r="A421" s="68"/>
      <c r="B421" s="68">
        <v>422.0</v>
      </c>
      <c r="C421" s="68"/>
      <c r="D421" s="69" t="str">
        <f>CONCATENATE(PROPER('BIÑAN INFO'!$G421),", ",PROPER('BIÑAN INFO'!$E421)," ",PROPER('BIÑAN INFO'!$F421),"."," (",UPPER('BIÑAN INFO'!$H421),")")</f>
        <v>,  . ()</v>
      </c>
      <c r="E421" s="70"/>
      <c r="F421" s="70"/>
      <c r="G421" s="70"/>
      <c r="H421" s="69"/>
      <c r="I421" s="71">
        <v>0.12</v>
      </c>
      <c r="J421" s="72">
        <v>1000.0</v>
      </c>
      <c r="K421" s="73"/>
      <c r="L421" s="73"/>
      <c r="M421" s="73"/>
      <c r="N421" s="74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30.0" customHeight="1">
      <c r="A422" s="68"/>
      <c r="B422" s="68">
        <v>423.0</v>
      </c>
      <c r="C422" s="68"/>
      <c r="D422" s="69" t="str">
        <f>CONCATENATE(PROPER('BIÑAN INFO'!$G422),", ",PROPER('BIÑAN INFO'!$E422)," ",PROPER('BIÑAN INFO'!$F422),"."," (",UPPER('BIÑAN INFO'!$H422),")")</f>
        <v>,  . ()</v>
      </c>
      <c r="E422" s="70"/>
      <c r="F422" s="70"/>
      <c r="G422" s="70"/>
      <c r="H422" s="69"/>
      <c r="I422" s="71">
        <v>0.12</v>
      </c>
      <c r="J422" s="72">
        <v>1000.0</v>
      </c>
      <c r="K422" s="73"/>
      <c r="L422" s="73"/>
      <c r="M422" s="73"/>
      <c r="N422" s="74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30.0" customHeight="1">
      <c r="A423" s="68"/>
      <c r="B423" s="68">
        <v>424.0</v>
      </c>
      <c r="C423" s="68"/>
      <c r="D423" s="69" t="str">
        <f>CONCATENATE(PROPER('BIÑAN INFO'!$G423),", ",PROPER('BIÑAN INFO'!$E423)," ",PROPER('BIÑAN INFO'!$F423),"."," (",UPPER('BIÑAN INFO'!$H423),")")</f>
        <v>Almenanza, Ma. Nymfa . ()</v>
      </c>
      <c r="E423" s="70" t="s">
        <v>308</v>
      </c>
      <c r="F423" s="70"/>
      <c r="G423" s="70" t="s">
        <v>54</v>
      </c>
      <c r="H423" s="69"/>
      <c r="I423" s="71">
        <v>0.12</v>
      </c>
      <c r="J423" s="72">
        <v>1000.0</v>
      </c>
      <c r="K423" s="73"/>
      <c r="L423" s="73"/>
      <c r="M423" s="73"/>
      <c r="N423" s="74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30.0" customHeight="1">
      <c r="A424" s="68"/>
      <c r="B424" s="68">
        <v>425.0</v>
      </c>
      <c r="C424" s="68"/>
      <c r="D424" s="69" t="str">
        <f>CONCATENATE(PROPER('BIÑAN INFO'!$G424),", ",PROPER('BIÑAN INFO'!$E424)," ",PROPER('BIÑAN INFO'!$F424),"."," (",UPPER('BIÑAN INFO'!$H424),")")</f>
        <v>Betoy, Naden . ()</v>
      </c>
      <c r="E424" s="70" t="s">
        <v>309</v>
      </c>
      <c r="F424" s="70"/>
      <c r="G424" s="70" t="s">
        <v>310</v>
      </c>
      <c r="H424" s="69"/>
      <c r="I424" s="71">
        <v>0.12</v>
      </c>
      <c r="J424" s="72">
        <v>1000.0</v>
      </c>
      <c r="K424" s="73"/>
      <c r="L424" s="73"/>
      <c r="M424" s="73"/>
      <c r="N424" s="74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30.0" customHeight="1">
      <c r="A425" s="68"/>
      <c r="B425" s="68">
        <v>426.0</v>
      </c>
      <c r="C425" s="68"/>
      <c r="D425" s="69" t="str">
        <f>CONCATENATE(PROPER('BIÑAN INFO'!$G425),", ",PROPER('BIÑAN INFO'!$E425)," ",PROPER('BIÑAN INFO'!$F425),"."," (",UPPER('BIÑAN INFO'!$H425),")")</f>
        <v>,  . ()</v>
      </c>
      <c r="E425" s="70"/>
      <c r="F425" s="70"/>
      <c r="G425" s="70"/>
      <c r="H425" s="69"/>
      <c r="I425" s="71">
        <v>0.12</v>
      </c>
      <c r="J425" s="72">
        <v>1000.0</v>
      </c>
      <c r="K425" s="73"/>
      <c r="L425" s="73"/>
      <c r="M425" s="73"/>
      <c r="N425" s="74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30.0" customHeight="1">
      <c r="A426" s="68"/>
      <c r="B426" s="68">
        <v>427.0</v>
      </c>
      <c r="C426" s="68"/>
      <c r="D426" s="69" t="str">
        <f>CONCATENATE(PROPER('BIÑAN INFO'!$G426),", ",PROPER('BIÑAN INFO'!$E426)," ",PROPER('BIÑAN INFO'!$F426),"."," (",UPPER('BIÑAN INFO'!$H426),")")</f>
        <v>Agcaoili, Roberto . ()</v>
      </c>
      <c r="E426" s="70" t="s">
        <v>197</v>
      </c>
      <c r="F426" s="70"/>
      <c r="G426" s="70" t="s">
        <v>127</v>
      </c>
      <c r="H426" s="69"/>
      <c r="I426" s="71">
        <v>0.12</v>
      </c>
      <c r="J426" s="72">
        <v>1000.0</v>
      </c>
      <c r="K426" s="73"/>
      <c r="L426" s="73"/>
      <c r="M426" s="73"/>
      <c r="N426" s="74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30.0" customHeight="1">
      <c r="A427" s="68"/>
      <c r="B427" s="68">
        <v>428.0</v>
      </c>
      <c r="C427" s="68"/>
      <c r="D427" s="69" t="str">
        <f>CONCATENATE(PROPER('BIÑAN INFO'!$G427),", ",PROPER('BIÑAN INFO'!$E427)," ",PROPER('BIÑAN INFO'!$F427),"."," (",UPPER('BIÑAN INFO'!$H427),")")</f>
        <v>,  . ()</v>
      </c>
      <c r="E427" s="70"/>
      <c r="F427" s="70"/>
      <c r="G427" s="70"/>
      <c r="H427" s="69"/>
      <c r="I427" s="71">
        <v>0.12</v>
      </c>
      <c r="J427" s="72">
        <v>1000.0</v>
      </c>
      <c r="K427" s="73"/>
      <c r="L427" s="73"/>
      <c r="M427" s="73"/>
      <c r="N427" s="74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30.0" customHeight="1">
      <c r="A428" s="68"/>
      <c r="B428" s="68">
        <v>429.0</v>
      </c>
      <c r="C428" s="68"/>
      <c r="D428" s="69" t="str">
        <f>CONCATENATE(PROPER('BIÑAN INFO'!$G428),", ",PROPER('BIÑAN INFO'!$E428)," ",PROPER('BIÑAN INFO'!$F428),"."," (",UPPER('BIÑAN INFO'!$H428),")")</f>
        <v>,  . ()</v>
      </c>
      <c r="E428" s="70"/>
      <c r="F428" s="70"/>
      <c r="G428" s="70"/>
      <c r="H428" s="69"/>
      <c r="I428" s="71">
        <v>0.12</v>
      </c>
      <c r="J428" s="72">
        <v>1000.0</v>
      </c>
      <c r="K428" s="73"/>
      <c r="L428" s="73"/>
      <c r="M428" s="73"/>
      <c r="N428" s="74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30.0" customHeight="1">
      <c r="A429" s="68"/>
      <c r="B429" s="68">
        <v>430.0</v>
      </c>
      <c r="C429" s="68"/>
      <c r="D429" s="69" t="str">
        <f>CONCATENATE(PROPER('BIÑAN INFO'!$G429),", ",PROPER('BIÑAN INFO'!$E429)," ",PROPER('BIÑAN INFO'!$F429),"."," (",UPPER('BIÑAN INFO'!$H429),")")</f>
        <v>Alano, Eunice . ()</v>
      </c>
      <c r="E429" s="70" t="s">
        <v>113</v>
      </c>
      <c r="F429" s="70"/>
      <c r="G429" s="70" t="s">
        <v>114</v>
      </c>
      <c r="H429" s="69"/>
      <c r="I429" s="71">
        <v>0.12</v>
      </c>
      <c r="J429" s="72">
        <v>1000.0</v>
      </c>
      <c r="K429" s="73"/>
      <c r="L429" s="73"/>
      <c r="M429" s="73"/>
      <c r="N429" s="74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30.0" customHeight="1">
      <c r="A430" s="68"/>
      <c r="B430" s="68">
        <v>431.0</v>
      </c>
      <c r="C430" s="68"/>
      <c r="D430" s="69" t="str">
        <f>CONCATENATE(PROPER('BIÑAN INFO'!$G430),", ",PROPER('BIÑAN INFO'!$E430)," ",PROPER('BIÑAN INFO'!$F430),"."," (",UPPER('BIÑAN INFO'!$H430),")")</f>
        <v>,  . ()</v>
      </c>
      <c r="E430" s="70"/>
      <c r="F430" s="70"/>
      <c r="G430" s="70"/>
      <c r="H430" s="69"/>
      <c r="I430" s="71">
        <v>0.12</v>
      </c>
      <c r="J430" s="72">
        <v>1000.0</v>
      </c>
      <c r="K430" s="73"/>
      <c r="L430" s="73"/>
      <c r="M430" s="73"/>
      <c r="N430" s="74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30.0" customHeight="1">
      <c r="A431" s="68"/>
      <c r="B431" s="68">
        <v>432.0</v>
      </c>
      <c r="C431" s="68"/>
      <c r="D431" s="69" t="str">
        <f>CONCATENATE(PROPER('BIÑAN INFO'!$G431),", ",PROPER('BIÑAN INFO'!$E431)," ",PROPER('BIÑAN INFO'!$F431),"."," (",UPPER('BIÑAN INFO'!$H431),")")</f>
        <v>,  . ()</v>
      </c>
      <c r="E431" s="70"/>
      <c r="F431" s="70"/>
      <c r="G431" s="70"/>
      <c r="H431" s="69"/>
      <c r="I431" s="71">
        <v>0.12</v>
      </c>
      <c r="J431" s="72">
        <v>1000.0</v>
      </c>
      <c r="K431" s="73"/>
      <c r="L431" s="73"/>
      <c r="M431" s="73"/>
      <c r="N431" s="74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30.0" customHeight="1">
      <c r="A432" s="68"/>
      <c r="B432" s="68">
        <v>433.0</v>
      </c>
      <c r="C432" s="68"/>
      <c r="D432" s="69" t="str">
        <f>CONCATENATE(PROPER('BIÑAN INFO'!$G432),", ",PROPER('BIÑAN INFO'!$E432)," ",PROPER('BIÑAN INFO'!$F432),"."," (",UPPER('BIÑAN INFO'!$H432),")")</f>
        <v>,  . ()</v>
      </c>
      <c r="E432" s="70"/>
      <c r="F432" s="70"/>
      <c r="G432" s="70"/>
      <c r="H432" s="69"/>
      <c r="I432" s="71">
        <v>0.12</v>
      </c>
      <c r="J432" s="72">
        <v>1000.0</v>
      </c>
      <c r="K432" s="73"/>
      <c r="L432" s="73"/>
      <c r="M432" s="73"/>
      <c r="N432" s="74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30.0" customHeight="1">
      <c r="A433" s="68"/>
      <c r="B433" s="68">
        <v>434.0</v>
      </c>
      <c r="C433" s="68"/>
      <c r="D433" s="69" t="str">
        <f>CONCATENATE(PROPER('BIÑAN INFO'!$G433),", ",PROPER('BIÑAN INFO'!$E433)," ",PROPER('BIÑAN INFO'!$F433),"."," (",UPPER('BIÑAN INFO'!$H433),")")</f>
        <v>,  . ()</v>
      </c>
      <c r="E433" s="70"/>
      <c r="F433" s="70"/>
      <c r="G433" s="70"/>
      <c r="H433" s="69"/>
      <c r="I433" s="71">
        <v>0.12</v>
      </c>
      <c r="J433" s="72">
        <v>1000.0</v>
      </c>
      <c r="K433" s="73"/>
      <c r="L433" s="73"/>
      <c r="M433" s="73"/>
      <c r="N433" s="74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30.0" customHeight="1">
      <c r="A434" s="68"/>
      <c r="B434" s="68">
        <v>435.0</v>
      </c>
      <c r="C434" s="68"/>
      <c r="D434" s="69" t="str">
        <f>CONCATENATE(PROPER('BIÑAN INFO'!$G434),", ",PROPER('BIÑAN INFO'!$E434)," ",PROPER('BIÑAN INFO'!$F434),"."," (",UPPER('BIÑAN INFO'!$H434),")")</f>
        <v>Angcaya, Jonathan . ()</v>
      </c>
      <c r="E434" s="70" t="s">
        <v>311</v>
      </c>
      <c r="F434" s="70"/>
      <c r="G434" s="70" t="s">
        <v>312</v>
      </c>
      <c r="H434" s="69"/>
      <c r="I434" s="71">
        <v>0.12</v>
      </c>
      <c r="J434" s="72">
        <v>1000.0</v>
      </c>
      <c r="K434" s="73"/>
      <c r="L434" s="73"/>
      <c r="M434" s="73"/>
      <c r="N434" s="74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30.0" customHeight="1">
      <c r="A435" s="68"/>
      <c r="B435" s="68">
        <v>436.0</v>
      </c>
      <c r="C435" s="68"/>
      <c r="D435" s="69" t="str">
        <f>CONCATENATE(PROPER('BIÑAN INFO'!$G435),", ",PROPER('BIÑAN INFO'!$E435)," ",PROPER('BIÑAN INFO'!$F435),"."," (",UPPER('BIÑAN INFO'!$H435),")")</f>
        <v>,  . ()</v>
      </c>
      <c r="E435" s="70"/>
      <c r="F435" s="70"/>
      <c r="G435" s="70"/>
      <c r="H435" s="69"/>
      <c r="I435" s="71">
        <v>0.12</v>
      </c>
      <c r="J435" s="72">
        <v>1000.0</v>
      </c>
      <c r="K435" s="73"/>
      <c r="L435" s="73"/>
      <c r="M435" s="73"/>
      <c r="N435" s="74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30.0" customHeight="1">
      <c r="A436" s="68"/>
      <c r="B436" s="68">
        <v>437.0</v>
      </c>
      <c r="C436" s="68"/>
      <c r="D436" s="69" t="str">
        <f>CONCATENATE(PROPER('BIÑAN INFO'!$G436),", ",PROPER('BIÑAN INFO'!$E436)," ",PROPER('BIÑAN INFO'!$F436),"."," (",UPPER('BIÑAN INFO'!$H436),")")</f>
        <v>,  . ()</v>
      </c>
      <c r="E436" s="70"/>
      <c r="F436" s="70"/>
      <c r="G436" s="70"/>
      <c r="H436" s="69"/>
      <c r="I436" s="71">
        <v>0.12</v>
      </c>
      <c r="J436" s="72">
        <v>1000.0</v>
      </c>
      <c r="K436" s="73"/>
      <c r="L436" s="73"/>
      <c r="M436" s="73"/>
      <c r="N436" s="74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30.0" customHeight="1">
      <c r="A437" s="68"/>
      <c r="B437" s="68">
        <v>438.0</v>
      </c>
      <c r="C437" s="68"/>
      <c r="D437" s="69" t="str">
        <f>CONCATENATE(PROPER('BIÑAN INFO'!$G437),", ",PROPER('BIÑAN INFO'!$E437)," ",PROPER('BIÑAN INFO'!$F437),"."," (",UPPER('BIÑAN INFO'!$H437),")")</f>
        <v>,  . ()</v>
      </c>
      <c r="E437" s="70"/>
      <c r="F437" s="70"/>
      <c r="G437" s="70"/>
      <c r="H437" s="69"/>
      <c r="I437" s="71">
        <v>0.12</v>
      </c>
      <c r="J437" s="72">
        <v>1000.0</v>
      </c>
      <c r="K437" s="73"/>
      <c r="L437" s="73"/>
      <c r="M437" s="73"/>
      <c r="N437" s="74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30.0" customHeight="1">
      <c r="A438" s="68"/>
      <c r="B438" s="68">
        <v>439.0</v>
      </c>
      <c r="C438" s="68"/>
      <c r="D438" s="69" t="str">
        <f>CONCATENATE(PROPER('BIÑAN INFO'!$G438),", ",PROPER('BIÑAN INFO'!$E438)," ",PROPER('BIÑAN INFO'!$F438),"."," (",UPPER('BIÑAN INFO'!$H438),")")</f>
        <v>,  . ()</v>
      </c>
      <c r="E438" s="70"/>
      <c r="F438" s="70"/>
      <c r="G438" s="70"/>
      <c r="H438" s="69"/>
      <c r="I438" s="71">
        <v>0.12</v>
      </c>
      <c r="J438" s="72">
        <v>1000.0</v>
      </c>
      <c r="K438" s="73"/>
      <c r="L438" s="73"/>
      <c r="M438" s="73"/>
      <c r="N438" s="74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30.0" customHeight="1">
      <c r="A439" s="68"/>
      <c r="B439" s="68">
        <v>440.0</v>
      </c>
      <c r="C439" s="68"/>
      <c r="D439" s="69" t="str">
        <f>CONCATENATE(PROPER('BIÑAN INFO'!$G439),", ",PROPER('BIÑAN INFO'!$E439)," ",PROPER('BIÑAN INFO'!$F439),"."," (",UPPER('BIÑAN INFO'!$H439),")")</f>
        <v>,  . ()</v>
      </c>
      <c r="E439" s="70"/>
      <c r="F439" s="70"/>
      <c r="G439" s="70"/>
      <c r="H439" s="69"/>
      <c r="I439" s="71">
        <v>0.05</v>
      </c>
      <c r="J439" s="72">
        <v>1000.0</v>
      </c>
      <c r="K439" s="73"/>
      <c r="L439" s="73"/>
      <c r="M439" s="73"/>
      <c r="N439" s="74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30.0" customHeight="1">
      <c r="A440" s="68"/>
      <c r="B440" s="68">
        <v>441.0</v>
      </c>
      <c r="C440" s="68"/>
      <c r="D440" s="69" t="str">
        <f>CONCATENATE(PROPER('BIÑAN INFO'!$G440),", ",PROPER('BIÑAN INFO'!$E440)," ",PROPER('BIÑAN INFO'!$F440),"."," (",UPPER('BIÑAN INFO'!$H440),")")</f>
        <v>,  . ()</v>
      </c>
      <c r="E440" s="70"/>
      <c r="F440" s="70"/>
      <c r="G440" s="70"/>
      <c r="H440" s="70"/>
      <c r="I440" s="71">
        <v>0.12</v>
      </c>
      <c r="J440" s="72">
        <v>1000.0</v>
      </c>
      <c r="K440" s="73"/>
      <c r="L440" s="73"/>
      <c r="M440" s="73"/>
      <c r="N440" s="74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30.0" customHeight="1">
      <c r="A441" s="68"/>
      <c r="B441" s="68">
        <v>446.0</v>
      </c>
      <c r="C441" s="68"/>
      <c r="D441" s="69" t="str">
        <f>CONCATENATE(PROPER('BIÑAN INFO'!$G441),", ",PROPER('BIÑAN INFO'!$E441)," ",PROPER('BIÑAN INFO'!$F441),"."," (",UPPER('BIÑAN INFO'!$H441),")")</f>
        <v>,  . ()</v>
      </c>
      <c r="E441" s="70"/>
      <c r="F441" s="70"/>
      <c r="G441" s="70"/>
      <c r="H441" s="69"/>
      <c r="I441" s="71">
        <v>0.12</v>
      </c>
      <c r="J441" s="72">
        <v>1000.0</v>
      </c>
      <c r="K441" s="73"/>
      <c r="L441" s="73"/>
      <c r="M441" s="73"/>
      <c r="N441" s="74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30.0" customHeight="1">
      <c r="A442" s="68"/>
      <c r="B442" s="68">
        <v>448.0</v>
      </c>
      <c r="C442" s="68"/>
      <c r="D442" s="69" t="str">
        <f>CONCATENATE(PROPER('BIÑAN INFO'!$G442),", ",PROPER('BIÑAN INFO'!$E442)," ",PROPER('BIÑAN INFO'!$F442),"."," (",UPPER('BIÑAN INFO'!$H442),")")</f>
        <v>,  . ()</v>
      </c>
      <c r="E442" s="70"/>
      <c r="F442" s="70"/>
      <c r="G442" s="70"/>
      <c r="H442" s="69"/>
      <c r="I442" s="71">
        <v>0.12</v>
      </c>
      <c r="J442" s="72">
        <v>1000.0</v>
      </c>
      <c r="K442" s="73"/>
      <c r="L442" s="73"/>
      <c r="M442" s="73"/>
      <c r="N442" s="74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30.0" customHeight="1">
      <c r="A443" s="68"/>
      <c r="B443" s="68">
        <v>449.0</v>
      </c>
      <c r="C443" s="68"/>
      <c r="D443" s="69" t="str">
        <f>CONCATENATE(PROPER('BIÑAN INFO'!$G443),", ",PROPER('BIÑAN INFO'!$E443)," ",PROPER('BIÑAN INFO'!$F443),"."," (",UPPER('BIÑAN INFO'!$H443),")")</f>
        <v>Avenido, Juluis . ()</v>
      </c>
      <c r="E443" s="70" t="s">
        <v>313</v>
      </c>
      <c r="F443" s="70"/>
      <c r="G443" s="70" t="s">
        <v>314</v>
      </c>
      <c r="H443" s="69"/>
      <c r="I443" s="71">
        <v>0.05</v>
      </c>
      <c r="J443" s="72">
        <v>1000.0</v>
      </c>
      <c r="K443" s="73"/>
      <c r="L443" s="73"/>
      <c r="M443" s="73"/>
      <c r="N443" s="74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30.0" customHeight="1">
      <c r="A444" s="68"/>
      <c r="B444" s="68">
        <v>451.0</v>
      </c>
      <c r="C444" s="68"/>
      <c r="D444" s="69" t="str">
        <f>CONCATENATE(PROPER('BIÑAN INFO'!$G444),", ",PROPER('BIÑAN INFO'!$E444)," ",PROPER('BIÑAN INFO'!$F444),"."," (",UPPER('BIÑAN INFO'!$H444),")")</f>
        <v>,  . ()</v>
      </c>
      <c r="E444" s="70"/>
      <c r="F444" s="70"/>
      <c r="G444" s="70"/>
      <c r="H444" s="70"/>
      <c r="I444" s="71">
        <v>0.12</v>
      </c>
      <c r="J444" s="72">
        <v>1000.0</v>
      </c>
      <c r="K444" s="73"/>
      <c r="L444" s="73"/>
      <c r="M444" s="73"/>
      <c r="N444" s="74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30.0" customHeight="1">
      <c r="A445" s="68"/>
      <c r="B445" s="68">
        <v>459.0</v>
      </c>
      <c r="C445" s="68"/>
      <c r="D445" s="69" t="str">
        <f>CONCATENATE(PROPER('BIÑAN INFO'!$G445),", ",PROPER('BIÑAN INFO'!$E445)," ",PROPER('BIÑAN INFO'!$F445),"."," (",UPPER('BIÑAN INFO'!$H445),")")</f>
        <v>Lopez, Joselito . ()</v>
      </c>
      <c r="E445" s="70" t="s">
        <v>315</v>
      </c>
      <c r="F445" s="70"/>
      <c r="G445" s="70" t="s">
        <v>316</v>
      </c>
      <c r="H445" s="70"/>
      <c r="I445" s="71">
        <v>0.05</v>
      </c>
      <c r="J445" s="72">
        <v>1000.0</v>
      </c>
      <c r="K445" s="73"/>
      <c r="L445" s="73"/>
      <c r="M445" s="73"/>
      <c r="N445" s="74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30.0" customHeight="1">
      <c r="A446" s="68"/>
      <c r="B446" s="68">
        <v>460.0</v>
      </c>
      <c r="C446" s="68"/>
      <c r="D446" s="69" t="str">
        <f>CONCATENATE(PROPER('BIÑAN INFO'!$G446),", ",PROPER('BIÑAN INFO'!$E446)," ",PROPER('BIÑAN INFO'!$F446),"."," (",UPPER('BIÑAN INFO'!$H446),")")</f>
        <v>Camarines, Leonard Lester C. ()</v>
      </c>
      <c r="E446" s="70" t="s">
        <v>317</v>
      </c>
      <c r="F446" s="70" t="s">
        <v>318</v>
      </c>
      <c r="G446" s="70" t="s">
        <v>319</v>
      </c>
      <c r="H446" s="70"/>
      <c r="I446" s="71">
        <v>0.12</v>
      </c>
      <c r="J446" s="72">
        <v>1000.0</v>
      </c>
      <c r="K446" s="73"/>
      <c r="L446" s="73"/>
      <c r="M446" s="73"/>
      <c r="N446" s="74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30.0" customHeight="1">
      <c r="A447" s="68"/>
      <c r="B447" s="68">
        <v>461.0</v>
      </c>
      <c r="C447" s="68"/>
      <c r="D447" s="69" t="str">
        <f>CONCATENATE(PROPER('BIÑAN INFO'!$G447),", ",PROPER('BIÑAN INFO'!$E447)," ",PROPER('BIÑAN INFO'!$F447),"."," (",UPPER('BIÑAN INFO'!$H447),")")</f>
        <v>,  . ()</v>
      </c>
      <c r="E447" s="70"/>
      <c r="F447" s="70"/>
      <c r="G447" s="69"/>
      <c r="H447" s="69"/>
      <c r="I447" s="71">
        <v>0.12</v>
      </c>
      <c r="J447" s="72">
        <v>1000.0</v>
      </c>
      <c r="K447" s="73"/>
      <c r="L447" s="73"/>
      <c r="M447" s="73"/>
      <c r="N447" s="74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30.0" customHeight="1">
      <c r="A448" s="68"/>
      <c r="B448" s="68">
        <v>462.0</v>
      </c>
      <c r="C448" s="68"/>
      <c r="D448" s="69" t="str">
        <f>CONCATENATE(PROPER('BIÑAN INFO'!$G448),", ",PROPER('BIÑAN INFO'!$E448)," ",PROPER('BIÑAN INFO'!$F448),"."," (",UPPER('BIÑAN INFO'!$H448),")")</f>
        <v>,  . ()</v>
      </c>
      <c r="E448" s="70"/>
      <c r="F448" s="70"/>
      <c r="G448" s="69"/>
      <c r="H448" s="69"/>
      <c r="I448" s="71">
        <v>0.12</v>
      </c>
      <c r="J448" s="72">
        <v>1000.0</v>
      </c>
      <c r="K448" s="73"/>
      <c r="L448" s="73"/>
      <c r="M448" s="73"/>
      <c r="N448" s="74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30.0" customHeight="1">
      <c r="A449" s="68"/>
      <c r="B449" s="68">
        <v>463.0</v>
      </c>
      <c r="C449" s="68"/>
      <c r="D449" s="69" t="str">
        <f>CONCATENATE(PROPER('BIÑAN INFO'!$G449),", ",PROPER('BIÑAN INFO'!$E449)," ",PROPER('BIÑAN INFO'!$F449),"."," (",UPPER('BIÑAN INFO'!$H449),")")</f>
        <v>,  . ()</v>
      </c>
      <c r="E449" s="70"/>
      <c r="F449" s="70"/>
      <c r="G449" s="69"/>
      <c r="H449" s="69"/>
      <c r="I449" s="71">
        <v>0.12</v>
      </c>
      <c r="J449" s="72">
        <v>1000.0</v>
      </c>
      <c r="K449" s="73"/>
      <c r="L449" s="73"/>
      <c r="M449" s="73"/>
      <c r="N449" s="74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30.0" customHeight="1">
      <c r="A450" s="68"/>
      <c r="B450" s="68">
        <v>464.0</v>
      </c>
      <c r="C450" s="68"/>
      <c r="D450" s="69" t="str">
        <f>CONCATENATE(PROPER('BIÑAN INFO'!$G450),", ",PROPER('BIÑAN INFO'!$E450)," ",PROPER('BIÑAN INFO'!$F450),"."," (",UPPER('BIÑAN INFO'!$H450),")")</f>
        <v>,  . ()</v>
      </c>
      <c r="E450" s="70"/>
      <c r="F450" s="70"/>
      <c r="G450" s="69"/>
      <c r="H450" s="69"/>
      <c r="I450" s="71">
        <v>0.12</v>
      </c>
      <c r="J450" s="72">
        <v>1000.0</v>
      </c>
      <c r="K450" s="73"/>
      <c r="L450" s="73"/>
      <c r="M450" s="73"/>
      <c r="N450" s="74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30.0" customHeight="1">
      <c r="A451" s="68"/>
      <c r="B451" s="68">
        <v>465.0</v>
      </c>
      <c r="C451" s="68"/>
      <c r="D451" s="69" t="str">
        <f>CONCATENATE(PROPER('BIÑAN INFO'!$G451),", ",PROPER('BIÑAN INFO'!$E451)," ",PROPER('BIÑAN INFO'!$F451),"."," (",UPPER('BIÑAN INFO'!$H451),")")</f>
        <v>,  . ()</v>
      </c>
      <c r="E451" s="70"/>
      <c r="F451" s="70"/>
      <c r="G451" s="69"/>
      <c r="H451" s="69"/>
      <c r="I451" s="71">
        <v>0.12</v>
      </c>
      <c r="J451" s="72">
        <v>1000.0</v>
      </c>
      <c r="K451" s="73"/>
      <c r="L451" s="73"/>
      <c r="M451" s="73"/>
      <c r="N451" s="74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30.0" customHeight="1">
      <c r="A452" s="68"/>
      <c r="B452" s="68">
        <v>466.0</v>
      </c>
      <c r="C452" s="68"/>
      <c r="D452" s="69" t="str">
        <f>CONCATENATE(PROPER('BIÑAN INFO'!$G452),", ",PROPER('BIÑAN INFO'!$E452)," ",PROPER('BIÑAN INFO'!$F452),"."," (",UPPER('BIÑAN INFO'!$H452),")")</f>
        <v>,  . ()</v>
      </c>
      <c r="E452" s="70"/>
      <c r="F452" s="70"/>
      <c r="G452" s="69"/>
      <c r="H452" s="69"/>
      <c r="I452" s="71">
        <v>0.12</v>
      </c>
      <c r="J452" s="72">
        <v>1000.0</v>
      </c>
      <c r="K452" s="73"/>
      <c r="L452" s="73"/>
      <c r="M452" s="73"/>
      <c r="N452" s="74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30.0" customHeight="1">
      <c r="A453" s="68"/>
      <c r="B453" s="68">
        <v>467.0</v>
      </c>
      <c r="C453" s="68"/>
      <c r="D453" s="69" t="str">
        <f>CONCATENATE(PROPER('BIÑAN INFO'!$G453),", ",PROPER('BIÑAN INFO'!$E453)," ",PROPER('BIÑAN INFO'!$F453),"."," (",UPPER('BIÑAN INFO'!$H453),")")</f>
        <v>,  . ()</v>
      </c>
      <c r="E453" s="70"/>
      <c r="F453" s="70"/>
      <c r="G453" s="69"/>
      <c r="H453" s="69"/>
      <c r="I453" s="71">
        <v>0.12</v>
      </c>
      <c r="J453" s="72">
        <v>1000.0</v>
      </c>
      <c r="K453" s="73"/>
      <c r="L453" s="73"/>
      <c r="M453" s="73"/>
      <c r="N453" s="74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30.0" customHeight="1">
      <c r="A454" s="68"/>
      <c r="B454" s="68">
        <v>468.0</v>
      </c>
      <c r="C454" s="68"/>
      <c r="D454" s="69" t="str">
        <f>CONCATENATE(PROPER('BIÑAN INFO'!$G454),", ",PROPER('BIÑAN INFO'!$E454)," ",PROPER('BIÑAN INFO'!$F454),"."," (",UPPER('BIÑAN INFO'!$H454),")")</f>
        <v>,  . ()</v>
      </c>
      <c r="E454" s="70"/>
      <c r="F454" s="70"/>
      <c r="G454" s="69"/>
      <c r="H454" s="69"/>
      <c r="I454" s="71">
        <v>0.12</v>
      </c>
      <c r="J454" s="72">
        <v>1000.0</v>
      </c>
      <c r="K454" s="73"/>
      <c r="L454" s="73"/>
      <c r="M454" s="73"/>
      <c r="N454" s="74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30.0" customHeight="1">
      <c r="A455" s="68"/>
      <c r="B455" s="68">
        <v>469.0</v>
      </c>
      <c r="C455" s="68"/>
      <c r="D455" s="69" t="str">
        <f>CONCATENATE(PROPER('BIÑAN INFO'!$G455),", ",PROPER('BIÑAN INFO'!$E455)," ",PROPER('BIÑAN INFO'!$F455),"."," (",UPPER('BIÑAN INFO'!$H455),")")</f>
        <v>,  . ()</v>
      </c>
      <c r="E455" s="70"/>
      <c r="F455" s="70"/>
      <c r="G455" s="69"/>
      <c r="H455" s="69"/>
      <c r="I455" s="71">
        <v>0.12</v>
      </c>
      <c r="J455" s="72">
        <v>1000.0</v>
      </c>
      <c r="K455" s="73"/>
      <c r="L455" s="73"/>
      <c r="M455" s="73"/>
      <c r="N455" s="74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30.0" customHeight="1">
      <c r="A456" s="68"/>
      <c r="B456" s="68">
        <v>470.0</v>
      </c>
      <c r="C456" s="68"/>
      <c r="D456" s="69" t="str">
        <f>CONCATENATE(PROPER('BIÑAN INFO'!$G456),", ",PROPER('BIÑAN INFO'!$E456)," ",PROPER('BIÑAN INFO'!$F456),"."," (",UPPER('BIÑAN INFO'!$H456),")")</f>
        <v>,  . ()</v>
      </c>
      <c r="E456" s="70"/>
      <c r="F456" s="70"/>
      <c r="G456" s="69"/>
      <c r="H456" s="69"/>
      <c r="I456" s="71">
        <v>0.12</v>
      </c>
      <c r="J456" s="72">
        <v>1000.0</v>
      </c>
      <c r="K456" s="73"/>
      <c r="L456" s="73"/>
      <c r="M456" s="73"/>
      <c r="N456" s="74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30.0" customHeight="1">
      <c r="A457" s="68"/>
      <c r="B457" s="68">
        <v>471.0</v>
      </c>
      <c r="C457" s="68"/>
      <c r="D457" s="69" t="str">
        <f>CONCATENATE(PROPER('BIÑAN INFO'!$G457),", ",PROPER('BIÑAN INFO'!$E457)," ",PROPER('BIÑAN INFO'!$F457),"."," (",UPPER('BIÑAN INFO'!$H457),")")</f>
        <v>Quinto, Robert . ()</v>
      </c>
      <c r="E457" s="70" t="s">
        <v>320</v>
      </c>
      <c r="F457" s="70"/>
      <c r="G457" s="69" t="s">
        <v>321</v>
      </c>
      <c r="H457" s="69"/>
      <c r="I457" s="71">
        <v>0.12</v>
      </c>
      <c r="J457" s="72">
        <v>1000.0</v>
      </c>
      <c r="K457" s="73"/>
      <c r="L457" s="73"/>
      <c r="M457" s="73"/>
      <c r="N457" s="74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30.0" customHeight="1">
      <c r="A458" s="68"/>
      <c r="B458" s="68">
        <v>472.0</v>
      </c>
      <c r="C458" s="68"/>
      <c r="D458" s="69" t="str">
        <f>CONCATENATE(PROPER('BIÑAN INFO'!$G458),", ",PROPER('BIÑAN INFO'!$E458)," ",PROPER('BIÑAN INFO'!$F458),"."," (",UPPER('BIÑAN INFO'!$H458),")")</f>
        <v>Bangcola, Ma Erma . ()</v>
      </c>
      <c r="E458" s="70" t="s">
        <v>322</v>
      </c>
      <c r="F458" s="70"/>
      <c r="G458" s="69" t="s">
        <v>323</v>
      </c>
      <c r="H458" s="69"/>
      <c r="I458" s="71">
        <v>0.05</v>
      </c>
      <c r="J458" s="72">
        <v>1000.0</v>
      </c>
      <c r="K458" s="73"/>
      <c r="L458" s="73"/>
      <c r="M458" s="73"/>
      <c r="N458" s="74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30.0" customHeight="1">
      <c r="A459" s="68"/>
      <c r="B459" s="68">
        <v>473.0</v>
      </c>
      <c r="C459" s="68"/>
      <c r="D459" s="69" t="str">
        <f>CONCATENATE(PROPER('BIÑAN INFO'!$G459),", ",PROPER('BIÑAN INFO'!$E459)," ",PROPER('BIÑAN INFO'!$F459),"."," (",UPPER('BIÑAN INFO'!$H459),")")</f>
        <v>,  . ()</v>
      </c>
      <c r="E459" s="70"/>
      <c r="F459" s="70"/>
      <c r="G459" s="69"/>
      <c r="H459" s="69"/>
      <c r="I459" s="71">
        <v>0.12</v>
      </c>
      <c r="J459" s="72">
        <v>1000.0</v>
      </c>
      <c r="K459" s="73"/>
      <c r="L459" s="73"/>
      <c r="M459" s="73"/>
      <c r="N459" s="74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30.0" customHeight="1">
      <c r="A460" s="68"/>
      <c r="B460" s="68">
        <v>474.0</v>
      </c>
      <c r="C460" s="68"/>
      <c r="D460" s="69" t="str">
        <f>CONCATENATE(PROPER('BIÑAN INFO'!$G460),", ",PROPER('BIÑAN INFO'!$E460)," ",PROPER('BIÑAN INFO'!$F460),"."," (",UPPER('BIÑAN INFO'!$H460),")")</f>
        <v>,  . ()</v>
      </c>
      <c r="E460" s="70"/>
      <c r="F460" s="70"/>
      <c r="G460" s="70"/>
      <c r="H460" s="70"/>
      <c r="I460" s="71">
        <v>0.12</v>
      </c>
      <c r="J460" s="72">
        <v>1000.0</v>
      </c>
      <c r="K460" s="73"/>
      <c r="L460" s="73"/>
      <c r="M460" s="73"/>
      <c r="N460" s="74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30.0" customHeight="1">
      <c r="A461" s="68"/>
      <c r="B461" s="68">
        <v>475.0</v>
      </c>
      <c r="C461" s="68"/>
      <c r="D461" s="69" t="str">
        <f>CONCATENATE(PROPER('BIÑAN INFO'!$G461),", ",PROPER('BIÑAN INFO'!$E461)," ",PROPER('BIÑAN INFO'!$F461),"."," (",UPPER('BIÑAN INFO'!$H461),")")</f>
        <v>,  . ()</v>
      </c>
      <c r="E461" s="70"/>
      <c r="F461" s="70"/>
      <c r="G461" s="70"/>
      <c r="H461" s="70"/>
      <c r="I461" s="71">
        <v>0.12</v>
      </c>
      <c r="J461" s="72">
        <v>1000.0</v>
      </c>
      <c r="K461" s="73"/>
      <c r="L461" s="73"/>
      <c r="M461" s="73"/>
      <c r="N461" s="74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30.0" customHeight="1">
      <c r="A462" s="68"/>
      <c r="B462" s="68">
        <v>476.0</v>
      </c>
      <c r="C462" s="68"/>
      <c r="D462" s="69" t="str">
        <f>CONCATENATE(PROPER('BIÑAN INFO'!$G462),", ",PROPER('BIÑAN INFO'!$E462)," ",PROPER('BIÑAN INFO'!$F462),"."," (",UPPER('BIÑAN INFO'!$H462),")")</f>
        <v>,  . ()</v>
      </c>
      <c r="E462" s="70"/>
      <c r="F462" s="70"/>
      <c r="G462" s="70"/>
      <c r="H462" s="70"/>
      <c r="I462" s="71">
        <v>0.12</v>
      </c>
      <c r="J462" s="72">
        <v>1000.0</v>
      </c>
      <c r="K462" s="73"/>
      <c r="L462" s="73"/>
      <c r="M462" s="73"/>
      <c r="N462" s="74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30.0" customHeight="1">
      <c r="A463" s="68"/>
      <c r="B463" s="68">
        <v>477.0</v>
      </c>
      <c r="C463" s="68"/>
      <c r="D463" s="69" t="str">
        <f>CONCATENATE(PROPER('BIÑAN INFO'!$G463),", ",PROPER('BIÑAN INFO'!$E463)," ",PROPER('BIÑAN INFO'!$F463),"."," (",UPPER('BIÑAN INFO'!$H463),")")</f>
        <v>,  . ()</v>
      </c>
      <c r="E463" s="75"/>
      <c r="F463" s="75"/>
      <c r="G463" s="76"/>
      <c r="H463" s="76"/>
      <c r="I463" s="71">
        <v>0.12</v>
      </c>
      <c r="J463" s="72">
        <v>1000.0</v>
      </c>
      <c r="K463" s="73"/>
      <c r="L463" s="73"/>
      <c r="M463" s="73"/>
      <c r="N463" s="74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30.0" customHeight="1">
      <c r="A464" s="68"/>
      <c r="B464" s="68">
        <v>478.0</v>
      </c>
      <c r="C464" s="68"/>
      <c r="D464" s="69" t="str">
        <f>CONCATENATE(PROPER('BIÑAN INFO'!$G464),", ",PROPER('BIÑAN INFO'!$E464)," ",PROPER('BIÑAN INFO'!$F464),"."," (",UPPER('BIÑAN INFO'!$H464),")")</f>
        <v>,  . ()</v>
      </c>
      <c r="E464" s="75"/>
      <c r="F464" s="75"/>
      <c r="G464" s="76"/>
      <c r="H464" s="76"/>
      <c r="I464" s="71">
        <v>0.12</v>
      </c>
      <c r="J464" s="72">
        <v>1000.0</v>
      </c>
      <c r="K464" s="73"/>
      <c r="L464" s="73"/>
      <c r="M464" s="73"/>
      <c r="N464" s="74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30.0" customHeight="1">
      <c r="A465" s="68"/>
      <c r="B465" s="68">
        <v>479.0</v>
      </c>
      <c r="C465" s="68"/>
      <c r="D465" s="69" t="str">
        <f>CONCATENATE(PROPER('BIÑAN INFO'!$G465),", ",PROPER('BIÑAN INFO'!$E465)," ",PROPER('BIÑAN INFO'!$F465),"."," (",UPPER('BIÑAN INFO'!$H465),")")</f>
        <v>,  . ()</v>
      </c>
      <c r="E465" s="75"/>
      <c r="F465" s="75"/>
      <c r="G465" s="76"/>
      <c r="H465" s="76"/>
      <c r="I465" s="71">
        <v>0.12</v>
      </c>
      <c r="J465" s="72">
        <v>1000.0</v>
      </c>
      <c r="K465" s="73"/>
      <c r="L465" s="73"/>
      <c r="M465" s="73"/>
      <c r="N465" s="74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30.0" customHeight="1">
      <c r="A466" s="68"/>
      <c r="B466" s="68">
        <v>480.0</v>
      </c>
      <c r="C466" s="68"/>
      <c r="D466" s="69" t="str">
        <f>CONCATENATE(PROPER('BIÑAN INFO'!$G466),", ",PROPER('BIÑAN INFO'!$E466)," ",PROPER('BIÑAN INFO'!$F466),"."," (",UPPER('BIÑAN INFO'!$H466),")")</f>
        <v>,  . ()</v>
      </c>
      <c r="E466" s="75"/>
      <c r="F466" s="75"/>
      <c r="G466" s="76"/>
      <c r="H466" s="76"/>
      <c r="I466" s="71">
        <v>0.12</v>
      </c>
      <c r="J466" s="72">
        <v>1000.0</v>
      </c>
      <c r="K466" s="73"/>
      <c r="L466" s="73"/>
      <c r="M466" s="73"/>
      <c r="N466" s="74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30.0" customHeight="1">
      <c r="A467" s="68"/>
      <c r="B467" s="68">
        <v>481.0</v>
      </c>
      <c r="C467" s="68"/>
      <c r="D467" s="69" t="str">
        <f>CONCATENATE(PROPER('BIÑAN INFO'!$G467),", ",PROPER('BIÑAN INFO'!$E467)," ",PROPER('BIÑAN INFO'!$F467),"."," (",UPPER('BIÑAN INFO'!$H467),")")</f>
        <v>,  . ()</v>
      </c>
      <c r="E467" s="75"/>
      <c r="F467" s="75"/>
      <c r="G467" s="76"/>
      <c r="H467" s="76"/>
      <c r="I467" s="71">
        <v>0.12</v>
      </c>
      <c r="J467" s="72">
        <v>1000.0</v>
      </c>
      <c r="K467" s="73"/>
      <c r="L467" s="73"/>
      <c r="M467" s="73"/>
      <c r="N467" s="74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30.0" customHeight="1">
      <c r="A468" s="68"/>
      <c r="B468" s="68">
        <v>482.0</v>
      </c>
      <c r="C468" s="68"/>
      <c r="D468" s="69" t="str">
        <f>CONCATENATE(PROPER('BIÑAN INFO'!$G468),", ",PROPER('BIÑAN INFO'!$E468)," ",PROPER('BIÑAN INFO'!$F468),"."," (",UPPER('BIÑAN INFO'!$H468),")")</f>
        <v>,  . ()</v>
      </c>
      <c r="E468" s="75"/>
      <c r="F468" s="75"/>
      <c r="G468" s="76"/>
      <c r="H468" s="76"/>
      <c r="I468" s="71">
        <v>0.12</v>
      </c>
      <c r="J468" s="72">
        <v>1000.0</v>
      </c>
      <c r="K468" s="73"/>
      <c r="L468" s="73"/>
      <c r="M468" s="73"/>
      <c r="N468" s="74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30.0" customHeight="1">
      <c r="A469" s="68"/>
      <c r="B469" s="68">
        <v>483.0</v>
      </c>
      <c r="C469" s="68"/>
      <c r="D469" s="69" t="str">
        <f>CONCATENATE(PROPER('BIÑAN INFO'!$G469),", ",PROPER('BIÑAN INFO'!$E469)," ",PROPER('BIÑAN INFO'!$F469),"."," (",UPPER('BIÑAN INFO'!$H469),")")</f>
        <v>,  . ()</v>
      </c>
      <c r="E469" s="75"/>
      <c r="F469" s="75"/>
      <c r="G469" s="76"/>
      <c r="H469" s="76"/>
      <c r="I469" s="71">
        <v>0.12</v>
      </c>
      <c r="J469" s="72">
        <v>1000.0</v>
      </c>
      <c r="K469" s="73"/>
      <c r="L469" s="73"/>
      <c r="M469" s="73"/>
      <c r="N469" s="74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30.0" customHeight="1">
      <c r="A470" s="68"/>
      <c r="B470" s="68">
        <v>484.0</v>
      </c>
      <c r="C470" s="68"/>
      <c r="D470" s="69" t="str">
        <f>CONCATENATE(PROPER('BIÑAN INFO'!$G470),", ",PROPER('BIÑAN INFO'!$E470)," ",PROPER('BIÑAN INFO'!$F470),"."," (",UPPER('BIÑAN INFO'!$H470),")")</f>
        <v>,  . ()</v>
      </c>
      <c r="E470" s="75"/>
      <c r="F470" s="75"/>
      <c r="G470" s="76"/>
      <c r="H470" s="76"/>
      <c r="I470" s="71">
        <v>0.12</v>
      </c>
      <c r="J470" s="72">
        <v>1000.0</v>
      </c>
      <c r="K470" s="73"/>
      <c r="L470" s="73"/>
      <c r="M470" s="73"/>
      <c r="N470" s="74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30.0" customHeight="1">
      <c r="A471" s="68"/>
      <c r="B471" s="68">
        <v>485.0</v>
      </c>
      <c r="C471" s="68"/>
      <c r="D471" s="69" t="str">
        <f>CONCATENATE(PROPER('BIÑAN INFO'!$G471),", ",PROPER('BIÑAN INFO'!$E471)," ",PROPER('BIÑAN INFO'!$F471),"."," (",UPPER('BIÑAN INFO'!$H471),")")</f>
        <v>,  . ()</v>
      </c>
      <c r="E471" s="75"/>
      <c r="F471" s="75"/>
      <c r="G471" s="76"/>
      <c r="H471" s="76"/>
      <c r="I471" s="71">
        <v>0.12</v>
      </c>
      <c r="J471" s="72">
        <v>1000.0</v>
      </c>
      <c r="K471" s="73"/>
      <c r="L471" s="73"/>
      <c r="M471" s="73"/>
      <c r="N471" s="74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30.0" customHeight="1">
      <c r="A472" s="68"/>
      <c r="B472" s="68">
        <v>486.0</v>
      </c>
      <c r="C472" s="68"/>
      <c r="D472" s="69" t="str">
        <f>CONCATENATE(PROPER('BIÑAN INFO'!$G472),", ",PROPER('BIÑAN INFO'!$E472)," ",PROPER('BIÑAN INFO'!$F472),"."," (",UPPER('BIÑAN INFO'!$H472),")")</f>
        <v>,  . ()</v>
      </c>
      <c r="E472" s="75"/>
      <c r="F472" s="75"/>
      <c r="G472" s="76"/>
      <c r="H472" s="76"/>
      <c r="I472" s="71">
        <v>0.12</v>
      </c>
      <c r="J472" s="72">
        <v>1000.0</v>
      </c>
      <c r="K472" s="73"/>
      <c r="L472" s="73"/>
      <c r="M472" s="73"/>
      <c r="N472" s="74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30.0" customHeight="1">
      <c r="A473" s="68"/>
      <c r="B473" s="68">
        <v>487.0</v>
      </c>
      <c r="C473" s="68"/>
      <c r="D473" s="69" t="str">
        <f>CONCATENATE(PROPER('BIÑAN INFO'!$G473),", ",PROPER('BIÑAN INFO'!$E473)," ",PROPER('BIÑAN INFO'!$F473),"."," (",UPPER('BIÑAN INFO'!$H473),")")</f>
        <v>,  . ()</v>
      </c>
      <c r="E473" s="75"/>
      <c r="F473" s="75"/>
      <c r="G473" s="76"/>
      <c r="H473" s="76"/>
      <c r="I473" s="71">
        <v>0.12</v>
      </c>
      <c r="J473" s="72">
        <v>1000.0</v>
      </c>
      <c r="K473" s="73"/>
      <c r="L473" s="73"/>
      <c r="M473" s="73"/>
      <c r="N473" s="74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30.0" customHeight="1">
      <c r="A474" s="68"/>
      <c r="B474" s="68">
        <v>488.0</v>
      </c>
      <c r="C474" s="68"/>
      <c r="D474" s="69" t="str">
        <f>CONCATENATE(PROPER('BIÑAN INFO'!$G474),", ",PROPER('BIÑAN INFO'!$E474)," ",PROPER('BIÑAN INFO'!$F474),"."," (",UPPER('BIÑAN INFO'!$H474),")")</f>
        <v>,  . ()</v>
      </c>
      <c r="E474" s="75"/>
      <c r="F474" s="75"/>
      <c r="G474" s="76"/>
      <c r="H474" s="76"/>
      <c r="I474" s="71">
        <v>0.12</v>
      </c>
      <c r="J474" s="72">
        <v>1000.0</v>
      </c>
      <c r="K474" s="73"/>
      <c r="L474" s="73"/>
      <c r="M474" s="73"/>
      <c r="N474" s="74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30.0" customHeight="1">
      <c r="A475" s="68"/>
      <c r="B475" s="68">
        <v>489.0</v>
      </c>
      <c r="C475" s="68"/>
      <c r="D475" s="69" t="str">
        <f>CONCATENATE(PROPER('BIÑAN INFO'!$G475),", ",PROPER('BIÑAN INFO'!$E475)," ",PROPER('BIÑAN INFO'!$F475),"."," (",UPPER('BIÑAN INFO'!$H475),")")</f>
        <v>,  . ()</v>
      </c>
      <c r="E475" s="75"/>
      <c r="F475" s="75"/>
      <c r="G475" s="76"/>
      <c r="H475" s="76"/>
      <c r="I475" s="71">
        <v>0.12</v>
      </c>
      <c r="J475" s="72">
        <v>1000.0</v>
      </c>
      <c r="K475" s="73"/>
      <c r="L475" s="73"/>
      <c r="M475" s="73"/>
      <c r="N475" s="74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30.0" customHeight="1">
      <c r="A476" s="68"/>
      <c r="B476" s="68">
        <v>490.0</v>
      </c>
      <c r="C476" s="68"/>
      <c r="D476" s="69" t="str">
        <f>CONCATENATE(PROPER('BIÑAN INFO'!$G476),", ",PROPER('BIÑAN INFO'!$E476)," ",PROPER('BIÑAN INFO'!$F476),"."," (",UPPER('BIÑAN INFO'!$H476),")")</f>
        <v>,  . ()</v>
      </c>
      <c r="E476" s="75"/>
      <c r="F476" s="75"/>
      <c r="G476" s="76"/>
      <c r="H476" s="76"/>
      <c r="I476" s="71">
        <v>0.12</v>
      </c>
      <c r="J476" s="72">
        <v>1000.0</v>
      </c>
      <c r="K476" s="73"/>
      <c r="L476" s="73"/>
      <c r="M476" s="73"/>
      <c r="N476" s="74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30.0" customHeight="1">
      <c r="A477" s="68"/>
      <c r="B477" s="68">
        <v>491.0</v>
      </c>
      <c r="C477" s="68"/>
      <c r="D477" s="69" t="str">
        <f>CONCATENATE(PROPER('BIÑAN INFO'!$G477),", ",PROPER('BIÑAN INFO'!$E477)," ",PROPER('BIÑAN INFO'!$F477),"."," (",UPPER('BIÑAN INFO'!$H477),")")</f>
        <v>,  . ()</v>
      </c>
      <c r="E477" s="75"/>
      <c r="F477" s="75"/>
      <c r="G477" s="76"/>
      <c r="H477" s="76"/>
      <c r="I477" s="71">
        <v>0.12</v>
      </c>
      <c r="J477" s="72">
        <v>1000.0</v>
      </c>
      <c r="K477" s="73"/>
      <c r="L477" s="73"/>
      <c r="M477" s="73"/>
      <c r="N477" s="74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30.0" customHeight="1">
      <c r="A478" s="68"/>
      <c r="B478" s="68">
        <v>492.0</v>
      </c>
      <c r="C478" s="68"/>
      <c r="D478" s="69" t="str">
        <f>CONCATENATE(PROPER('BIÑAN INFO'!$G478),", ",PROPER('BIÑAN INFO'!$E478)," ",PROPER('BIÑAN INFO'!$F478),"."," (",UPPER('BIÑAN INFO'!$H478),")")</f>
        <v>,  . ()</v>
      </c>
      <c r="E478" s="70"/>
      <c r="F478" s="70"/>
      <c r="G478" s="70"/>
      <c r="H478" s="69"/>
      <c r="I478" s="71">
        <v>0.12</v>
      </c>
      <c r="J478" s="72">
        <v>1000.0</v>
      </c>
      <c r="K478" s="73"/>
      <c r="L478" s="73"/>
      <c r="M478" s="73"/>
      <c r="N478" s="74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30.0" customHeight="1">
      <c r="A479" s="68"/>
      <c r="B479" s="68">
        <v>493.0</v>
      </c>
      <c r="C479" s="68"/>
      <c r="D479" s="69" t="str">
        <f>CONCATENATE(PROPER('BIÑAN INFO'!$G479),", ",PROPER('BIÑAN INFO'!$E479)," ",PROPER('BIÑAN INFO'!$F479),"."," (",UPPER('BIÑAN INFO'!$H479),")")</f>
        <v>,  . ()</v>
      </c>
      <c r="E479" s="70"/>
      <c r="F479" s="70"/>
      <c r="G479" s="70"/>
      <c r="H479" s="69"/>
      <c r="I479" s="71">
        <v>0.12</v>
      </c>
      <c r="J479" s="72">
        <v>1000.0</v>
      </c>
      <c r="K479" s="73"/>
      <c r="L479" s="73"/>
      <c r="M479" s="73"/>
      <c r="N479" s="74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30.0" customHeight="1">
      <c r="A480" s="68"/>
      <c r="B480" s="68">
        <v>494.0</v>
      </c>
      <c r="C480" s="68"/>
      <c r="D480" s="69" t="str">
        <f>CONCATENATE(PROPER('BIÑAN INFO'!$G480),", ",PROPER('BIÑAN INFO'!$E480)," ",PROPER('BIÑAN INFO'!$F480),"."," (",UPPER('BIÑAN INFO'!$H480),")")</f>
        <v>,  . ()</v>
      </c>
      <c r="E480" s="70"/>
      <c r="F480" s="70"/>
      <c r="G480" s="70"/>
      <c r="H480" s="69"/>
      <c r="I480" s="71">
        <v>0.12</v>
      </c>
      <c r="J480" s="72">
        <v>1000.0</v>
      </c>
      <c r="K480" s="73"/>
      <c r="L480" s="73"/>
      <c r="M480" s="73"/>
      <c r="N480" s="74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30.0" customHeight="1">
      <c r="A481" s="68"/>
      <c r="B481" s="68">
        <v>495.0</v>
      </c>
      <c r="C481" s="68"/>
      <c r="D481" s="69" t="str">
        <f>CONCATENATE(PROPER('BIÑAN INFO'!$G481),", ",PROPER('BIÑAN INFO'!$E481)," ",PROPER('BIÑAN INFO'!$F481),"."," (",UPPER('BIÑAN INFO'!$H481),")")</f>
        <v>,  . ()</v>
      </c>
      <c r="E481" s="70"/>
      <c r="F481" s="70"/>
      <c r="G481" s="70"/>
      <c r="H481" s="69"/>
      <c r="I481" s="71">
        <v>0.12</v>
      </c>
      <c r="J481" s="72">
        <v>1000.0</v>
      </c>
      <c r="K481" s="73"/>
      <c r="L481" s="73"/>
      <c r="M481" s="73"/>
      <c r="N481" s="74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30.0" customHeight="1">
      <c r="A482" s="68"/>
      <c r="B482" s="68">
        <v>496.0</v>
      </c>
      <c r="C482" s="68"/>
      <c r="D482" s="69" t="str">
        <f>CONCATENATE(PROPER('BIÑAN INFO'!$G482),", ",PROPER('BIÑAN INFO'!$E482)," ",PROPER('BIÑAN INFO'!$F482),"."," (",UPPER('BIÑAN INFO'!$H482),")")</f>
        <v>Bonoan, Abegail . ()</v>
      </c>
      <c r="E482" s="70" t="s">
        <v>324</v>
      </c>
      <c r="F482" s="70"/>
      <c r="G482" s="69" t="s">
        <v>325</v>
      </c>
      <c r="H482" s="69"/>
      <c r="I482" s="71">
        <v>0.12</v>
      </c>
      <c r="J482" s="72">
        <v>1000.0</v>
      </c>
      <c r="K482" s="73"/>
      <c r="L482" s="73"/>
      <c r="M482" s="73"/>
      <c r="N482" s="74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30.0" customHeight="1">
      <c r="A483" s="68"/>
      <c r="B483" s="68">
        <v>497.0</v>
      </c>
      <c r="C483" s="68"/>
      <c r="D483" s="69" t="str">
        <f>CONCATENATE(PROPER('BIÑAN INFO'!$G483),", ",PROPER('BIÑAN INFO'!$E483)," ",PROPER('BIÑAN INFO'!$F483),"."," (",UPPER('BIÑAN INFO'!$H483),")")</f>
        <v>,  . ()</v>
      </c>
      <c r="E483" s="70"/>
      <c r="F483" s="70"/>
      <c r="G483" s="69"/>
      <c r="H483" s="69"/>
      <c r="I483" s="71">
        <v>0.12</v>
      </c>
      <c r="J483" s="72">
        <v>1000.0</v>
      </c>
      <c r="K483" s="73"/>
      <c r="L483" s="73"/>
      <c r="M483" s="73"/>
      <c r="N483" s="74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30.0" customHeight="1">
      <c r="A484" s="68"/>
      <c r="B484" s="68">
        <v>498.0</v>
      </c>
      <c r="C484" s="68"/>
      <c r="D484" s="69" t="str">
        <f>CONCATENATE(PROPER('BIÑAN INFO'!$G484),", ",PROPER('BIÑAN INFO'!$E484)," ",PROPER('BIÑAN INFO'!$F484),"."," (",UPPER('BIÑAN INFO'!$H484),")")</f>
        <v>,  . ()</v>
      </c>
      <c r="E484" s="70"/>
      <c r="F484" s="70"/>
      <c r="G484" s="69"/>
      <c r="H484" s="69"/>
      <c r="I484" s="71">
        <v>0.12</v>
      </c>
      <c r="J484" s="72">
        <v>1000.0</v>
      </c>
      <c r="K484" s="73"/>
      <c r="L484" s="73"/>
      <c r="M484" s="73"/>
      <c r="N484" s="74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30.0" customHeight="1">
      <c r="A485" s="68"/>
      <c r="B485" s="68">
        <v>499.0</v>
      </c>
      <c r="C485" s="68"/>
      <c r="D485" s="69" t="str">
        <f>CONCATENATE(PROPER('BIÑAN INFO'!$G485),", ",PROPER('BIÑAN INFO'!$E485)," ",PROPER('BIÑAN INFO'!$F485),"."," (",UPPER('BIÑAN INFO'!$H485),")")</f>
        <v>,  . ()</v>
      </c>
      <c r="E485" s="70"/>
      <c r="F485" s="70"/>
      <c r="G485" s="69"/>
      <c r="H485" s="69"/>
      <c r="I485" s="71">
        <v>0.12</v>
      </c>
      <c r="J485" s="72">
        <v>1000.0</v>
      </c>
      <c r="K485" s="73"/>
      <c r="L485" s="73"/>
      <c r="M485" s="73"/>
      <c r="N485" s="74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30.0" customHeight="1">
      <c r="A486" s="68"/>
      <c r="B486" s="68">
        <v>500.0</v>
      </c>
      <c r="C486" s="68"/>
      <c r="D486" s="69" t="str">
        <f>CONCATENATE(PROPER('BIÑAN INFO'!$G486),", ",PROPER('BIÑAN INFO'!$E486)," ",PROPER('BIÑAN INFO'!$F486),"."," (",UPPER('BIÑAN INFO'!$H486),")")</f>
        <v>Calara, Christoper . ()</v>
      </c>
      <c r="E486" s="70" t="s">
        <v>326</v>
      </c>
      <c r="F486" s="70"/>
      <c r="G486" s="70" t="s">
        <v>327</v>
      </c>
      <c r="H486" s="69"/>
      <c r="I486" s="71">
        <v>0.12</v>
      </c>
      <c r="J486" s="72">
        <v>1000.0</v>
      </c>
      <c r="K486" s="73"/>
      <c r="L486" s="73"/>
      <c r="M486" s="73"/>
      <c r="N486" s="74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30.0" customHeight="1">
      <c r="A487" s="68"/>
      <c r="B487" s="68">
        <v>501.0</v>
      </c>
      <c r="C487" s="68"/>
      <c r="D487" s="69" t="str">
        <f>CONCATENATE(PROPER('BIÑAN INFO'!$G487),", ",PROPER('BIÑAN INFO'!$E487)," ",PROPER('BIÑAN INFO'!$F487),"."," (",UPPER('BIÑAN INFO'!$H487),")")</f>
        <v>,  . ()</v>
      </c>
      <c r="E487" s="70"/>
      <c r="F487" s="70"/>
      <c r="G487" s="70"/>
      <c r="H487" s="69"/>
      <c r="I487" s="71">
        <v>0.12</v>
      </c>
      <c r="J487" s="72">
        <v>1000.0</v>
      </c>
      <c r="K487" s="73"/>
      <c r="L487" s="73"/>
      <c r="M487" s="73"/>
      <c r="N487" s="74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30.0" customHeight="1">
      <c r="A488" s="68"/>
      <c r="B488" s="68">
        <v>502.0</v>
      </c>
      <c r="C488" s="68"/>
      <c r="D488" s="69" t="str">
        <f>CONCATENATE(PROPER('BIÑAN INFO'!$G488),", ",PROPER('BIÑAN INFO'!$E488)," ",PROPER('BIÑAN INFO'!$F488),"."," (",UPPER('BIÑAN INFO'!$H488),")")</f>
        <v>,  . ()</v>
      </c>
      <c r="E488" s="70"/>
      <c r="F488" s="70"/>
      <c r="G488" s="70"/>
      <c r="H488" s="69"/>
      <c r="I488" s="71">
        <v>0.12</v>
      </c>
      <c r="J488" s="72">
        <v>1000.0</v>
      </c>
      <c r="K488" s="73"/>
      <c r="L488" s="73"/>
      <c r="M488" s="73"/>
      <c r="N488" s="74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30.0" customHeight="1">
      <c r="A489" s="68"/>
      <c r="B489" s="68">
        <v>503.0</v>
      </c>
      <c r="C489" s="68"/>
      <c r="D489" s="69" t="str">
        <f>CONCATENATE(PROPER('BIÑAN INFO'!$G489),", ",PROPER('BIÑAN INFO'!$E489)," ",PROPER('BIÑAN INFO'!$F489),"."," (",UPPER('BIÑAN INFO'!$H489),")")</f>
        <v>,  . ()</v>
      </c>
      <c r="E489" s="70"/>
      <c r="F489" s="70"/>
      <c r="G489" s="70"/>
      <c r="H489" s="69"/>
      <c r="I489" s="71">
        <v>0.12</v>
      </c>
      <c r="J489" s="72">
        <v>1000.0</v>
      </c>
      <c r="K489" s="73"/>
      <c r="L489" s="73"/>
      <c r="M489" s="73"/>
      <c r="N489" s="74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30.0" customHeight="1">
      <c r="A490" s="68"/>
      <c r="B490" s="68">
        <v>504.0</v>
      </c>
      <c r="C490" s="68"/>
      <c r="D490" s="69" t="str">
        <f>CONCATENATE(PROPER('BIÑAN INFO'!$G490),", ",PROPER('BIÑAN INFO'!$E490)," ",PROPER('BIÑAN INFO'!$F490),"."," (",UPPER('BIÑAN INFO'!$H490),")")</f>
        <v>Madrid, Nerissa . ()</v>
      </c>
      <c r="E490" s="70" t="s">
        <v>328</v>
      </c>
      <c r="F490" s="70"/>
      <c r="G490" s="70" t="s">
        <v>329</v>
      </c>
      <c r="H490" s="69"/>
      <c r="I490" s="71">
        <v>0.12</v>
      </c>
      <c r="J490" s="72">
        <v>1000.0</v>
      </c>
      <c r="K490" s="73"/>
      <c r="L490" s="73"/>
      <c r="M490" s="73"/>
      <c r="N490" s="74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30.0" customHeight="1">
      <c r="A491" s="68"/>
      <c r="B491" s="68">
        <v>505.0</v>
      </c>
      <c r="C491" s="68"/>
      <c r="D491" s="69" t="str">
        <f>CONCATENATE(PROPER('BIÑAN INFO'!$G491),", ",PROPER('BIÑAN INFO'!$E491)," ",PROPER('BIÑAN INFO'!$F491),"."," (",UPPER('BIÑAN INFO'!$H491),")")</f>
        <v>,  . ()</v>
      </c>
      <c r="E491" s="70"/>
      <c r="F491" s="70"/>
      <c r="G491" s="70"/>
      <c r="H491" s="69"/>
      <c r="I491" s="71">
        <v>0.12</v>
      </c>
      <c r="J491" s="72">
        <v>1000.0</v>
      </c>
      <c r="K491" s="73"/>
      <c r="L491" s="73"/>
      <c r="M491" s="73"/>
      <c r="N491" s="74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30.0" customHeight="1">
      <c r="A492" s="68"/>
      <c r="B492" s="68">
        <v>506.0</v>
      </c>
      <c r="C492" s="68"/>
      <c r="D492" s="69" t="str">
        <f>CONCATENATE(PROPER('BIÑAN INFO'!$G492),", ",PROPER('BIÑAN INFO'!$E492)," ",PROPER('BIÑAN INFO'!$F492),"."," (",UPPER('BIÑAN INFO'!$H492),")")</f>
        <v>,  . ()</v>
      </c>
      <c r="E492" s="70"/>
      <c r="F492" s="70"/>
      <c r="G492" s="70"/>
      <c r="H492" s="69"/>
      <c r="I492" s="71">
        <v>0.12</v>
      </c>
      <c r="J492" s="72">
        <v>1000.0</v>
      </c>
      <c r="K492" s="73"/>
      <c r="L492" s="73"/>
      <c r="M492" s="73"/>
      <c r="N492" s="74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30.0" customHeight="1">
      <c r="A493" s="68"/>
      <c r="B493" s="68">
        <v>507.0</v>
      </c>
      <c r="C493" s="68"/>
      <c r="D493" s="69" t="str">
        <f>CONCATENATE(PROPER('BIÑAN INFO'!$G493),", ",PROPER('BIÑAN INFO'!$E493)," ",PROPER('BIÑAN INFO'!$F493),"."," (",UPPER('BIÑAN INFO'!$H493),")")</f>
        <v>Aquino, Benigno . ()</v>
      </c>
      <c r="E493" s="70" t="s">
        <v>330</v>
      </c>
      <c r="F493" s="70"/>
      <c r="G493" s="70" t="s">
        <v>331</v>
      </c>
      <c r="H493" s="69"/>
      <c r="I493" s="71">
        <v>0.12</v>
      </c>
      <c r="J493" s="72">
        <v>1000.0</v>
      </c>
      <c r="K493" s="73"/>
      <c r="L493" s="73"/>
      <c r="M493" s="73"/>
      <c r="N493" s="74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30.0" customHeight="1">
      <c r="A494" s="68"/>
      <c r="B494" s="68">
        <v>508.0</v>
      </c>
      <c r="C494" s="68"/>
      <c r="D494" s="69" t="str">
        <f>CONCATENATE(PROPER('BIÑAN INFO'!$G494),", ",PROPER('BIÑAN INFO'!$E494)," ",PROPER('BIÑAN INFO'!$F494),"."," (",UPPER('BIÑAN INFO'!$H494),")")</f>
        <v>,  . ()</v>
      </c>
      <c r="E494" s="70"/>
      <c r="F494" s="70"/>
      <c r="G494" s="70"/>
      <c r="H494" s="69"/>
      <c r="I494" s="71">
        <v>0.12</v>
      </c>
      <c r="J494" s="72">
        <v>1000.0</v>
      </c>
      <c r="K494" s="73"/>
      <c r="L494" s="73"/>
      <c r="M494" s="73"/>
      <c r="N494" s="74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30.0" customHeight="1">
      <c r="A495" s="68"/>
      <c r="B495" s="68">
        <v>509.0</v>
      </c>
      <c r="C495" s="68"/>
      <c r="D495" s="69" t="str">
        <f>CONCATENATE(PROPER('BIÑAN INFO'!$G495),", ",PROPER('BIÑAN INFO'!$E495)," ",PROPER('BIÑAN INFO'!$F495),"."," (",UPPER('BIÑAN INFO'!$H495),")")</f>
        <v>,  . ()</v>
      </c>
      <c r="E495" s="70"/>
      <c r="F495" s="70"/>
      <c r="G495" s="70"/>
      <c r="H495" s="69"/>
      <c r="I495" s="71">
        <v>0.12</v>
      </c>
      <c r="J495" s="72">
        <v>1000.0</v>
      </c>
      <c r="K495" s="73"/>
      <c r="L495" s="73"/>
      <c r="M495" s="73"/>
      <c r="N495" s="74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30.0" customHeight="1">
      <c r="A496" s="68"/>
      <c r="B496" s="68">
        <v>510.0</v>
      </c>
      <c r="C496" s="68"/>
      <c r="D496" s="69" t="str">
        <f>CONCATENATE(PROPER('BIÑAN INFO'!$G496),", ",PROPER('BIÑAN INFO'!$E496)," ",PROPER('BIÑAN INFO'!$F496),"."," (",UPPER('BIÑAN INFO'!$H496),")")</f>
        <v>,  . ()</v>
      </c>
      <c r="E496" s="70"/>
      <c r="F496" s="70"/>
      <c r="G496" s="70"/>
      <c r="H496" s="69"/>
      <c r="I496" s="71">
        <v>0.12</v>
      </c>
      <c r="J496" s="72">
        <v>1000.0</v>
      </c>
      <c r="K496" s="73"/>
      <c r="L496" s="73"/>
      <c r="M496" s="73"/>
      <c r="N496" s="74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30.0" customHeight="1">
      <c r="A497" s="68"/>
      <c r="B497" s="68">
        <v>511.0</v>
      </c>
      <c r="C497" s="68"/>
      <c r="D497" s="69" t="str">
        <f>CONCATENATE(PROPER('BIÑAN INFO'!$G497),", ",PROPER('BIÑAN INFO'!$E497)," ",PROPER('BIÑAN INFO'!$F497),"."," (",UPPER('BIÑAN INFO'!$H497),")")</f>
        <v>,  . ()</v>
      </c>
      <c r="E497" s="70"/>
      <c r="F497" s="70"/>
      <c r="G497" s="70"/>
      <c r="H497" s="69"/>
      <c r="I497" s="71">
        <v>0.12</v>
      </c>
      <c r="J497" s="72">
        <v>1000.0</v>
      </c>
      <c r="K497" s="73"/>
      <c r="L497" s="73"/>
      <c r="M497" s="73"/>
      <c r="N497" s="74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30.0" customHeight="1">
      <c r="A498" s="68"/>
      <c r="B498" s="68">
        <v>512.0</v>
      </c>
      <c r="C498" s="68"/>
      <c r="D498" s="69" t="str">
        <f>CONCATENATE(PROPER('BIÑAN INFO'!$G498),", ",PROPER('BIÑAN INFO'!$E498)," ",PROPER('BIÑAN INFO'!$F498),"."," (",UPPER('BIÑAN INFO'!$H498),")")</f>
        <v>,  . ()</v>
      </c>
      <c r="E498" s="70"/>
      <c r="F498" s="70"/>
      <c r="G498" s="70"/>
      <c r="H498" s="69"/>
      <c r="I498" s="71">
        <v>0.12</v>
      </c>
      <c r="J498" s="72">
        <v>1000.0</v>
      </c>
      <c r="K498" s="73"/>
      <c r="L498" s="73"/>
      <c r="M498" s="73"/>
      <c r="N498" s="74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30.0" customHeight="1">
      <c r="A499" s="68"/>
      <c r="B499" s="68">
        <v>513.0</v>
      </c>
      <c r="C499" s="68"/>
      <c r="D499" s="69" t="str">
        <f>CONCATENATE(PROPER('BIÑAN INFO'!$G499),", ",PROPER('BIÑAN INFO'!$E499)," ",PROPER('BIÑAN INFO'!$F499),"."," (",UPPER('BIÑAN INFO'!$H499),")")</f>
        <v>,  . ()</v>
      </c>
      <c r="E499" s="70"/>
      <c r="F499" s="70"/>
      <c r="G499" s="70"/>
      <c r="H499" s="69"/>
      <c r="I499" s="71">
        <v>0.12</v>
      </c>
      <c r="J499" s="72">
        <v>1000.0</v>
      </c>
      <c r="K499" s="73"/>
      <c r="L499" s="73"/>
      <c r="M499" s="73"/>
      <c r="N499" s="74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30.0" customHeight="1">
      <c r="A500" s="68"/>
      <c r="B500" s="68">
        <v>514.0</v>
      </c>
      <c r="C500" s="68"/>
      <c r="D500" s="69" t="str">
        <f>CONCATENATE(PROPER('BIÑAN INFO'!$G500),", ",PROPER('BIÑAN INFO'!$E500)," ",PROPER('BIÑAN INFO'!$F500),"."," (",UPPER('BIÑAN INFO'!$H500),")")</f>
        <v>,  . ()</v>
      </c>
      <c r="E500" s="70"/>
      <c r="F500" s="70"/>
      <c r="G500" s="70"/>
      <c r="H500" s="69"/>
      <c r="I500" s="71">
        <v>0.12</v>
      </c>
      <c r="J500" s="72">
        <v>1000.0</v>
      </c>
      <c r="K500" s="73"/>
      <c r="L500" s="73"/>
      <c r="M500" s="73"/>
      <c r="N500" s="74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30.0" customHeight="1">
      <c r="A501" s="68"/>
      <c r="B501" s="68">
        <v>515.0</v>
      </c>
      <c r="C501" s="68"/>
      <c r="D501" s="69" t="str">
        <f>CONCATENATE(PROPER('BIÑAN INFO'!$G501),", ",PROPER('BIÑAN INFO'!$E501)," ",PROPER('BIÑAN INFO'!$F501),"."," (",UPPER('BIÑAN INFO'!$H501),")")</f>
        <v>,  . ()</v>
      </c>
      <c r="E501" s="70"/>
      <c r="F501" s="70"/>
      <c r="G501" s="70"/>
      <c r="H501" s="69"/>
      <c r="I501" s="71">
        <v>0.12</v>
      </c>
      <c r="J501" s="72">
        <v>1000.0</v>
      </c>
      <c r="K501" s="73"/>
      <c r="L501" s="73"/>
      <c r="M501" s="73"/>
      <c r="N501" s="74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30.0" customHeight="1">
      <c r="A502" s="68"/>
      <c r="B502" s="68">
        <v>516.0</v>
      </c>
      <c r="C502" s="68"/>
      <c r="D502" s="69" t="str">
        <f>CONCATENATE(PROPER('BIÑAN INFO'!$G502),", ",PROPER('BIÑAN INFO'!$E502)," ",PROPER('BIÑAN INFO'!$F502),"."," (",UPPER('BIÑAN INFO'!$H502),")")</f>
        <v>,  . ()</v>
      </c>
      <c r="E502" s="70"/>
      <c r="F502" s="70"/>
      <c r="G502" s="70"/>
      <c r="H502" s="69"/>
      <c r="I502" s="71">
        <v>0.12</v>
      </c>
      <c r="J502" s="72">
        <v>1000.0</v>
      </c>
      <c r="K502" s="73"/>
      <c r="L502" s="73"/>
      <c r="M502" s="73"/>
      <c r="N502" s="74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30.0" customHeight="1">
      <c r="A503" s="68"/>
      <c r="B503" s="68">
        <v>517.0</v>
      </c>
      <c r="C503" s="68"/>
      <c r="D503" s="69" t="str">
        <f>CONCATENATE(PROPER('BIÑAN INFO'!$G503),", ",PROPER('BIÑAN INFO'!$E503)," ",PROPER('BIÑAN INFO'!$F503),"."," (",UPPER('BIÑAN INFO'!$H503),")")</f>
        <v>,  . ()</v>
      </c>
      <c r="E503" s="70"/>
      <c r="F503" s="70"/>
      <c r="G503" s="70"/>
      <c r="H503" s="69"/>
      <c r="I503" s="71">
        <v>0.12</v>
      </c>
      <c r="J503" s="72">
        <v>1000.0</v>
      </c>
      <c r="K503" s="73"/>
      <c r="L503" s="73"/>
      <c r="M503" s="73"/>
      <c r="N503" s="74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30.0" customHeight="1">
      <c r="A504" s="68"/>
      <c r="B504" s="68">
        <v>518.0</v>
      </c>
      <c r="C504" s="68"/>
      <c r="D504" s="69" t="str">
        <f>CONCATENATE(PROPER('BIÑAN INFO'!$G504),", ",PROPER('BIÑAN INFO'!$E504)," ",PROPER('BIÑAN INFO'!$F504),"."," (",UPPER('BIÑAN INFO'!$H504),")")</f>
        <v>,  . ()</v>
      </c>
      <c r="E504" s="70"/>
      <c r="F504" s="70"/>
      <c r="G504" s="70"/>
      <c r="H504" s="69"/>
      <c r="I504" s="71">
        <v>0.12</v>
      </c>
      <c r="J504" s="72">
        <v>1000.0</v>
      </c>
      <c r="K504" s="73"/>
      <c r="L504" s="73"/>
      <c r="M504" s="73"/>
      <c r="N504" s="74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30.0" customHeight="1">
      <c r="A505" s="68"/>
      <c r="B505" s="68">
        <v>519.0</v>
      </c>
      <c r="C505" s="68"/>
      <c r="D505" s="69" t="str">
        <f>CONCATENATE(PROPER('BIÑAN INFO'!$G505),", ",PROPER('BIÑAN INFO'!$E505)," ",PROPER('BIÑAN INFO'!$F505),"."," (",UPPER('BIÑAN INFO'!$H505),")")</f>
        <v>,  . ()</v>
      </c>
      <c r="E505" s="70"/>
      <c r="F505" s="70"/>
      <c r="G505" s="70"/>
      <c r="H505" s="69"/>
      <c r="I505" s="71">
        <v>0.12</v>
      </c>
      <c r="J505" s="72">
        <v>1000.0</v>
      </c>
      <c r="K505" s="73"/>
      <c r="L505" s="73"/>
      <c r="M505" s="73"/>
      <c r="N505" s="74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30.0" customHeight="1">
      <c r="A506" s="68"/>
      <c r="B506" s="68">
        <v>520.0</v>
      </c>
      <c r="C506" s="68"/>
      <c r="D506" s="69" t="str">
        <f>CONCATENATE(PROPER('BIÑAN INFO'!$G506),", ",PROPER('BIÑAN INFO'!$E506)," ",PROPER('BIÑAN INFO'!$F506),"."," (",UPPER('BIÑAN INFO'!$H506),")")</f>
        <v>,  . ()</v>
      </c>
      <c r="E506" s="70"/>
      <c r="F506" s="70"/>
      <c r="G506" s="70"/>
      <c r="H506" s="69"/>
      <c r="I506" s="71">
        <v>0.12</v>
      </c>
      <c r="J506" s="72">
        <v>1000.0</v>
      </c>
      <c r="K506" s="73"/>
      <c r="L506" s="73"/>
      <c r="M506" s="73"/>
      <c r="N506" s="74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30.0" customHeight="1">
      <c r="A507" s="68"/>
      <c r="B507" s="68">
        <v>521.0</v>
      </c>
      <c r="C507" s="68"/>
      <c r="D507" s="69" t="str">
        <f>CONCATENATE(PROPER('BIÑAN INFO'!$G507),", ",PROPER('BIÑAN INFO'!$E507)," ",PROPER('BIÑAN INFO'!$F507),"."," (",UPPER('BIÑAN INFO'!$H507),")")</f>
        <v>,  . ()</v>
      </c>
      <c r="E507" s="70"/>
      <c r="F507" s="70"/>
      <c r="G507" s="70"/>
      <c r="H507" s="69"/>
      <c r="I507" s="71">
        <v>0.12</v>
      </c>
      <c r="J507" s="72">
        <v>1000.0</v>
      </c>
      <c r="K507" s="73"/>
      <c r="L507" s="73"/>
      <c r="M507" s="73"/>
      <c r="N507" s="74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30.0" customHeight="1">
      <c r="A508" s="68"/>
      <c r="B508" s="68">
        <v>522.0</v>
      </c>
      <c r="C508" s="68"/>
      <c r="D508" s="69" t="str">
        <f>CONCATENATE(PROPER('BIÑAN INFO'!$G508),", ",PROPER('BIÑAN INFO'!$E508)," ",PROPER('BIÑAN INFO'!$F508),"."," (",UPPER('BIÑAN INFO'!$H508),")")</f>
        <v>,  . ()</v>
      </c>
      <c r="E508" s="70"/>
      <c r="F508" s="70"/>
      <c r="G508" s="70"/>
      <c r="H508" s="69"/>
      <c r="I508" s="71">
        <v>0.12</v>
      </c>
      <c r="J508" s="72">
        <v>1000.0</v>
      </c>
      <c r="K508" s="73"/>
      <c r="L508" s="73"/>
      <c r="M508" s="73"/>
      <c r="N508" s="74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30.0" customHeight="1">
      <c r="A509" s="68"/>
      <c r="B509" s="68">
        <v>523.0</v>
      </c>
      <c r="C509" s="68"/>
      <c r="D509" s="69" t="str">
        <f>CONCATENATE(PROPER('BIÑAN INFO'!$G509),", ",PROPER('BIÑAN INFO'!$E509)," ",PROPER('BIÑAN INFO'!$F509),"."," (",UPPER('BIÑAN INFO'!$H509),")")</f>
        <v>,  . ()</v>
      </c>
      <c r="E509" s="70"/>
      <c r="F509" s="70"/>
      <c r="G509" s="70"/>
      <c r="H509" s="69"/>
      <c r="I509" s="71">
        <v>0.12</v>
      </c>
      <c r="J509" s="72">
        <v>1000.0</v>
      </c>
      <c r="K509" s="73"/>
      <c r="L509" s="73"/>
      <c r="M509" s="73"/>
      <c r="N509" s="74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30.0" customHeight="1">
      <c r="A510" s="68"/>
      <c r="B510" s="68">
        <v>524.0</v>
      </c>
      <c r="C510" s="68"/>
      <c r="D510" s="69" t="str">
        <f>CONCATENATE(PROPER('BIÑAN INFO'!$G510),", ",PROPER('BIÑAN INFO'!$E510)," ",PROPER('BIÑAN INFO'!$F510),"."," (",UPPER('BIÑAN INFO'!$H510),")")</f>
        <v>,  . ()</v>
      </c>
      <c r="E510" s="70"/>
      <c r="F510" s="70"/>
      <c r="G510" s="70"/>
      <c r="H510" s="69"/>
      <c r="I510" s="71">
        <v>0.12</v>
      </c>
      <c r="J510" s="72">
        <v>1000.0</v>
      </c>
      <c r="K510" s="73"/>
      <c r="L510" s="73"/>
      <c r="M510" s="73"/>
      <c r="N510" s="74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30.0" customHeight="1">
      <c r="A511" s="68"/>
      <c r="B511" s="68">
        <v>525.0</v>
      </c>
      <c r="C511" s="68"/>
      <c r="D511" s="69" t="str">
        <f>CONCATENATE(PROPER('BIÑAN INFO'!$G511),", ",PROPER('BIÑAN INFO'!$E511)," ",PROPER('BIÑAN INFO'!$F511),"."," (",UPPER('BIÑAN INFO'!$H511),")")</f>
        <v>Ignacio, Verginaia . ()</v>
      </c>
      <c r="E511" s="70" t="s">
        <v>332</v>
      </c>
      <c r="F511" s="70"/>
      <c r="G511" s="70" t="s">
        <v>333</v>
      </c>
      <c r="H511" s="69"/>
      <c r="I511" s="71">
        <v>0.05</v>
      </c>
      <c r="J511" s="72">
        <v>1000.0</v>
      </c>
      <c r="K511" s="73"/>
      <c r="L511" s="73"/>
      <c r="M511" s="73"/>
      <c r="N511" s="74" t="s">
        <v>334</v>
      </c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30.0" customHeight="1">
      <c r="A512" s="68"/>
      <c r="B512" s="68">
        <v>526.0</v>
      </c>
      <c r="C512" s="68"/>
      <c r="D512" s="69" t="str">
        <f>CONCATENATE(PROPER('BIÑAN INFO'!$G512),", ",PROPER('BIÑAN INFO'!$E512)," ",PROPER('BIÑAN INFO'!$F512),"."," (",UPPER('BIÑAN INFO'!$H512),")")</f>
        <v>,  . ()</v>
      </c>
      <c r="E512" s="70"/>
      <c r="F512" s="70"/>
      <c r="G512" s="70"/>
      <c r="H512" s="69"/>
      <c r="I512" s="71">
        <v>0.12</v>
      </c>
      <c r="J512" s="72">
        <v>1000.0</v>
      </c>
      <c r="K512" s="73"/>
      <c r="L512" s="73"/>
      <c r="M512" s="73"/>
      <c r="N512" s="74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30.0" customHeight="1">
      <c r="A513" s="68"/>
      <c r="B513" s="68">
        <v>527.0</v>
      </c>
      <c r="C513" s="68"/>
      <c r="D513" s="69" t="str">
        <f>CONCATENATE(PROPER('BIÑAN INFO'!$G513),", ",PROPER('BIÑAN INFO'!$E513)," ",PROPER('BIÑAN INFO'!$F513),"."," (",UPPER('BIÑAN INFO'!$H513),")")</f>
        <v>,  . ()</v>
      </c>
      <c r="E513" s="70"/>
      <c r="F513" s="70"/>
      <c r="G513" s="70"/>
      <c r="H513" s="69"/>
      <c r="I513" s="71">
        <v>0.12</v>
      </c>
      <c r="J513" s="72">
        <v>1000.0</v>
      </c>
      <c r="K513" s="73"/>
      <c r="L513" s="73"/>
      <c r="M513" s="73"/>
      <c r="N513" s="74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30.0" customHeight="1">
      <c r="A514" s="68"/>
      <c r="B514" s="68">
        <v>528.0</v>
      </c>
      <c r="C514" s="68"/>
      <c r="D514" s="69" t="str">
        <f>CONCATENATE(PROPER('BIÑAN INFO'!$G514),", ",PROPER('BIÑAN INFO'!$E514)," ",PROPER('BIÑAN INFO'!$F514),"."," (",UPPER('BIÑAN INFO'!$H514),")")</f>
        <v>,  . ()</v>
      </c>
      <c r="E514" s="70"/>
      <c r="F514" s="70"/>
      <c r="G514" s="70"/>
      <c r="H514" s="69"/>
      <c r="I514" s="71">
        <v>0.12</v>
      </c>
      <c r="J514" s="72">
        <v>1000.0</v>
      </c>
      <c r="K514" s="73"/>
      <c r="L514" s="73"/>
      <c r="M514" s="73"/>
      <c r="N514" s="74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30.0" customHeight="1">
      <c r="A515" s="68"/>
      <c r="B515" s="68">
        <v>529.0</v>
      </c>
      <c r="C515" s="68"/>
      <c r="D515" s="69" t="str">
        <f>CONCATENATE(PROPER('BIÑAN INFO'!$G515),", ",PROPER('BIÑAN INFO'!$E515)," ",PROPER('BIÑAN INFO'!$F515),"."," (",UPPER('BIÑAN INFO'!$H515),")")</f>
        <v>,  . ()</v>
      </c>
      <c r="E515" s="70"/>
      <c r="F515" s="70"/>
      <c r="G515" s="70"/>
      <c r="H515" s="69"/>
      <c r="I515" s="71">
        <v>0.12</v>
      </c>
      <c r="J515" s="72">
        <v>1000.0</v>
      </c>
      <c r="K515" s="73"/>
      <c r="L515" s="73"/>
      <c r="M515" s="73"/>
      <c r="N515" s="74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30.0" customHeight="1">
      <c r="A516" s="68"/>
      <c r="B516" s="68">
        <v>530.0</v>
      </c>
      <c r="C516" s="68"/>
      <c r="D516" s="69" t="str">
        <f>CONCATENATE(PROPER('BIÑAN INFO'!$G516),", ",PROPER('BIÑAN INFO'!$E516)," ",PROPER('BIÑAN INFO'!$F516),"."," (",UPPER('BIÑAN INFO'!$H516),")")</f>
        <v>,  . ()</v>
      </c>
      <c r="E516" s="70"/>
      <c r="F516" s="70"/>
      <c r="G516" s="70"/>
      <c r="H516" s="69"/>
      <c r="I516" s="71">
        <v>0.12</v>
      </c>
      <c r="J516" s="72">
        <v>1000.0</v>
      </c>
      <c r="K516" s="73"/>
      <c r="L516" s="73"/>
      <c r="M516" s="73"/>
      <c r="N516" s="74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30.0" customHeight="1">
      <c r="A517" s="68"/>
      <c r="B517" s="68">
        <v>531.0</v>
      </c>
      <c r="C517" s="68"/>
      <c r="D517" s="69" t="str">
        <f>CONCATENATE(PROPER('BIÑAN INFO'!$G517),", ",PROPER('BIÑAN INFO'!$E517)," ",PROPER('BIÑAN INFO'!$F517),"."," (",UPPER('BIÑAN INFO'!$H517),")")</f>
        <v>,  . ()</v>
      </c>
      <c r="E517" s="70"/>
      <c r="F517" s="70"/>
      <c r="G517" s="70"/>
      <c r="H517" s="69"/>
      <c r="I517" s="71">
        <v>0.12</v>
      </c>
      <c r="J517" s="72">
        <v>1000.0</v>
      </c>
      <c r="K517" s="73"/>
      <c r="L517" s="73"/>
      <c r="M517" s="73"/>
      <c r="N517" s="74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30.0" customHeight="1">
      <c r="A518" s="68"/>
      <c r="B518" s="68">
        <v>532.0</v>
      </c>
      <c r="C518" s="68"/>
      <c r="D518" s="69" t="str">
        <f>CONCATENATE(PROPER('BIÑAN INFO'!$G518),", ",PROPER('BIÑAN INFO'!$E518)," ",PROPER('BIÑAN INFO'!$F518),"."," (",UPPER('BIÑAN INFO'!$H518),")")</f>
        <v>,  . ()</v>
      </c>
      <c r="E518" s="70"/>
      <c r="F518" s="70"/>
      <c r="G518" s="70"/>
      <c r="H518" s="69"/>
      <c r="I518" s="71">
        <v>0.12</v>
      </c>
      <c r="J518" s="72">
        <v>1000.0</v>
      </c>
      <c r="K518" s="73"/>
      <c r="L518" s="73"/>
      <c r="M518" s="73"/>
      <c r="N518" s="74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30.0" customHeight="1">
      <c r="A519" s="68"/>
      <c r="B519" s="68">
        <v>533.0</v>
      </c>
      <c r="C519" s="68"/>
      <c r="D519" s="69" t="str">
        <f>CONCATENATE(PROPER('BIÑAN INFO'!$G519),", ",PROPER('BIÑAN INFO'!$E519)," ",PROPER('BIÑAN INFO'!$F519),"."," (",UPPER('BIÑAN INFO'!$H519),")")</f>
        <v>,  . ()</v>
      </c>
      <c r="E519" s="70"/>
      <c r="F519" s="70"/>
      <c r="G519" s="70"/>
      <c r="H519" s="69"/>
      <c r="I519" s="71">
        <v>0.12</v>
      </c>
      <c r="J519" s="72">
        <v>1000.0</v>
      </c>
      <c r="K519" s="73"/>
      <c r="L519" s="73"/>
      <c r="M519" s="73"/>
      <c r="N519" s="74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30.0" customHeight="1">
      <c r="A520" s="68"/>
      <c r="B520" s="68">
        <v>534.0</v>
      </c>
      <c r="C520" s="68"/>
      <c r="D520" s="69" t="str">
        <f>CONCATENATE(PROPER('BIÑAN INFO'!$G520),", ",PROPER('BIÑAN INFO'!$E520)," ",PROPER('BIÑAN INFO'!$F520),"."," (",UPPER('BIÑAN INFO'!$H520),")")</f>
        <v>,  . ()</v>
      </c>
      <c r="E520" s="70"/>
      <c r="F520" s="70"/>
      <c r="G520" s="70"/>
      <c r="H520" s="69"/>
      <c r="I520" s="71">
        <v>0.12</v>
      </c>
      <c r="J520" s="72">
        <v>1000.0</v>
      </c>
      <c r="K520" s="73"/>
      <c r="L520" s="73"/>
      <c r="M520" s="73"/>
      <c r="N520" s="74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30.0" customHeight="1">
      <c r="A521" s="68"/>
      <c r="B521" s="68">
        <v>535.0</v>
      </c>
      <c r="C521" s="68"/>
      <c r="D521" s="69" t="str">
        <f>CONCATENATE(PROPER('BIÑAN INFO'!$G521),", ",PROPER('BIÑAN INFO'!$E521)," ",PROPER('BIÑAN INFO'!$F521),"."," (",UPPER('BIÑAN INFO'!$H521),")")</f>
        <v>Barbosa, Lorena . ()</v>
      </c>
      <c r="E521" s="70" t="s">
        <v>335</v>
      </c>
      <c r="F521" s="70"/>
      <c r="G521" s="70" t="s">
        <v>336</v>
      </c>
      <c r="H521" s="69"/>
      <c r="I521" s="71">
        <v>0.12</v>
      </c>
      <c r="J521" s="72">
        <v>1000.0</v>
      </c>
      <c r="K521" s="73"/>
      <c r="L521" s="73"/>
      <c r="M521" s="73"/>
      <c r="N521" s="74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30.0" customHeight="1">
      <c r="A522" s="68"/>
      <c r="B522" s="68">
        <v>536.0</v>
      </c>
      <c r="C522" s="68"/>
      <c r="D522" s="69" t="str">
        <f>CONCATENATE(PROPER('BIÑAN INFO'!$G522),", ",PROPER('BIÑAN INFO'!$E522)," ",PROPER('BIÑAN INFO'!$F522),"."," (",UPPER('BIÑAN INFO'!$H522),")")</f>
        <v>Custodio, Rolando . ()</v>
      </c>
      <c r="E522" s="70" t="s">
        <v>337</v>
      </c>
      <c r="F522" s="70"/>
      <c r="G522" s="70" t="s">
        <v>338</v>
      </c>
      <c r="H522" s="69"/>
      <c r="I522" s="71">
        <v>0.12</v>
      </c>
      <c r="J522" s="72">
        <v>1000.0</v>
      </c>
      <c r="K522" s="73"/>
      <c r="L522" s="73"/>
      <c r="M522" s="73"/>
      <c r="N522" s="74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30.0" customHeight="1">
      <c r="A523" s="68"/>
      <c r="B523" s="68">
        <v>537.0</v>
      </c>
      <c r="C523" s="68"/>
      <c r="D523" s="69" t="str">
        <f>CONCATENATE(PROPER('BIÑAN INFO'!$G523),", ",PROPER('BIÑAN INFO'!$E523)," ",PROPER('BIÑAN INFO'!$F523),"."," (",UPPER('BIÑAN INFO'!$H523),")")</f>
        <v>Balbuena, Girly . ()</v>
      </c>
      <c r="E523" s="70" t="s">
        <v>339</v>
      </c>
      <c r="F523" s="70"/>
      <c r="G523" s="70" t="s">
        <v>340</v>
      </c>
      <c r="H523" s="69"/>
      <c r="I523" s="71">
        <v>0.12</v>
      </c>
      <c r="J523" s="72">
        <v>1000.0</v>
      </c>
      <c r="K523" s="73"/>
      <c r="L523" s="73"/>
      <c r="M523" s="73"/>
      <c r="N523" s="74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30.0" customHeight="1">
      <c r="A524" s="68"/>
      <c r="B524" s="68">
        <v>538.0</v>
      </c>
      <c r="C524" s="68"/>
      <c r="D524" s="69" t="str">
        <f>CONCATENATE(PROPER('BIÑAN INFO'!$G524),", ",PROPER('BIÑAN INFO'!$E524)," ",PROPER('BIÑAN INFO'!$F524),"."," (",UPPER('BIÑAN INFO'!$H524),")")</f>
        <v>,  . ()</v>
      </c>
      <c r="E524" s="70"/>
      <c r="F524" s="70"/>
      <c r="G524" s="70"/>
      <c r="H524" s="69"/>
      <c r="I524" s="71">
        <v>0.12</v>
      </c>
      <c r="J524" s="72">
        <v>1000.0</v>
      </c>
      <c r="K524" s="73"/>
      <c r="L524" s="73"/>
      <c r="M524" s="73"/>
      <c r="N524" s="74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30.0" customHeight="1">
      <c r="A525" s="68"/>
      <c r="B525" s="68">
        <v>539.0</v>
      </c>
      <c r="C525" s="68"/>
      <c r="D525" s="69" t="str">
        <f>CONCATENATE(PROPER('BIÑAN INFO'!$G525),", ",PROPER('BIÑAN INFO'!$E525)," ",PROPER('BIÑAN INFO'!$F525),"."," (",UPPER('BIÑAN INFO'!$H525),")")</f>
        <v>,  . ()</v>
      </c>
      <c r="E525" s="70"/>
      <c r="F525" s="70"/>
      <c r="G525" s="70"/>
      <c r="H525" s="69"/>
      <c r="I525" s="71">
        <v>0.12</v>
      </c>
      <c r="J525" s="72">
        <v>1000.0</v>
      </c>
      <c r="K525" s="73"/>
      <c r="L525" s="73"/>
      <c r="M525" s="73"/>
      <c r="N525" s="74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30.0" customHeight="1">
      <c r="A526" s="68"/>
      <c r="B526" s="68">
        <v>540.0</v>
      </c>
      <c r="C526" s="68"/>
      <c r="D526" s="69" t="str">
        <f>CONCATENATE(PROPER('BIÑAN INFO'!$G526),", ",PROPER('BIÑAN INFO'!$E526)," ",PROPER('BIÑAN INFO'!$F526),"."," (",UPPER('BIÑAN INFO'!$H526),")")</f>
        <v>,  . ()</v>
      </c>
      <c r="E526" s="70"/>
      <c r="F526" s="70"/>
      <c r="G526" s="70"/>
      <c r="H526" s="69"/>
      <c r="I526" s="71">
        <v>0.12</v>
      </c>
      <c r="J526" s="72">
        <v>1000.0</v>
      </c>
      <c r="K526" s="73"/>
      <c r="L526" s="73"/>
      <c r="M526" s="73"/>
      <c r="N526" s="74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30.0" customHeight="1">
      <c r="A527" s="68"/>
      <c r="B527" s="68">
        <v>541.0</v>
      </c>
      <c r="C527" s="68"/>
      <c r="D527" s="69" t="str">
        <f>CONCATENATE(PROPER('BIÑAN INFO'!$G527),", ",PROPER('BIÑAN INFO'!$E527)," ",PROPER('BIÑAN INFO'!$F527),"."," (",UPPER('BIÑAN INFO'!$H527),")")</f>
        <v>,  . ()</v>
      </c>
      <c r="E527" s="70"/>
      <c r="F527" s="70"/>
      <c r="G527" s="70"/>
      <c r="H527" s="69"/>
      <c r="I527" s="71">
        <v>0.12</v>
      </c>
      <c r="J527" s="72">
        <v>1000.0</v>
      </c>
      <c r="K527" s="73"/>
      <c r="L527" s="73"/>
      <c r="M527" s="73"/>
      <c r="N527" s="74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30.0" customHeight="1">
      <c r="A528" s="68"/>
      <c r="B528" s="68">
        <v>542.0</v>
      </c>
      <c r="C528" s="68"/>
      <c r="D528" s="69" t="str">
        <f>CONCATENATE(PROPER('BIÑAN INFO'!$G528),", ",PROPER('BIÑAN INFO'!$E528)," ",PROPER('BIÑAN INFO'!$F528),"."," (",UPPER('BIÑAN INFO'!$H528),")")</f>
        <v>,  . ()</v>
      </c>
      <c r="E528" s="70"/>
      <c r="F528" s="70"/>
      <c r="G528" s="70"/>
      <c r="H528" s="69"/>
      <c r="I528" s="71">
        <v>0.12</v>
      </c>
      <c r="J528" s="72">
        <v>1000.0</v>
      </c>
      <c r="K528" s="73"/>
      <c r="L528" s="73"/>
      <c r="M528" s="73"/>
      <c r="N528" s="74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30.0" customHeight="1">
      <c r="A529" s="68"/>
      <c r="B529" s="68">
        <v>543.0</v>
      </c>
      <c r="C529" s="68"/>
      <c r="D529" s="69" t="str">
        <f>CONCATENATE(PROPER('BIÑAN INFO'!$G529),", ",PROPER('BIÑAN INFO'!$E529)," ",PROPER('BIÑAN INFO'!$F529),"."," (",UPPER('BIÑAN INFO'!$H529),")")</f>
        <v>,  . ()</v>
      </c>
      <c r="E529" s="70"/>
      <c r="F529" s="70"/>
      <c r="G529" s="70"/>
      <c r="H529" s="69"/>
      <c r="I529" s="71">
        <v>0.12</v>
      </c>
      <c r="J529" s="72">
        <v>1000.0</v>
      </c>
      <c r="K529" s="73"/>
      <c r="L529" s="73"/>
      <c r="M529" s="73"/>
      <c r="N529" s="74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30.0" customHeight="1">
      <c r="A530" s="68"/>
      <c r="B530" s="68">
        <v>544.0</v>
      </c>
      <c r="C530" s="68"/>
      <c r="D530" s="69" t="str">
        <f>CONCATENATE(PROPER('BIÑAN INFO'!$G530),", ",PROPER('BIÑAN INFO'!$E530)," ",PROPER('BIÑAN INFO'!$F530),"."," (",UPPER('BIÑAN INFO'!$H530),")")</f>
        <v>Torres, Crisanta S. ()</v>
      </c>
      <c r="E530" s="70" t="s">
        <v>341</v>
      </c>
      <c r="F530" s="70" t="s">
        <v>342</v>
      </c>
      <c r="G530" s="70" t="s">
        <v>343</v>
      </c>
      <c r="H530" s="69"/>
      <c r="I530" s="71">
        <v>0.12</v>
      </c>
      <c r="J530" s="72">
        <v>1000.0</v>
      </c>
      <c r="K530" s="73"/>
      <c r="L530" s="73"/>
      <c r="M530" s="73"/>
      <c r="N530" s="74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30.0" customHeight="1">
      <c r="A531" s="68"/>
      <c r="B531" s="68">
        <v>545.0</v>
      </c>
      <c r="C531" s="68"/>
      <c r="D531" s="69" t="str">
        <f>CONCATENATE(PROPER('BIÑAN INFO'!$G531),", ",PROPER('BIÑAN INFO'!$E531)," ",PROPER('BIÑAN INFO'!$F531),"."," (",UPPER('BIÑAN INFO'!$H531),")")</f>
        <v>,  . ()</v>
      </c>
      <c r="E531" s="70"/>
      <c r="F531" s="70"/>
      <c r="G531" s="70"/>
      <c r="H531" s="69"/>
      <c r="I531" s="71">
        <v>0.12</v>
      </c>
      <c r="J531" s="72">
        <v>1000.0</v>
      </c>
      <c r="K531" s="73"/>
      <c r="L531" s="73"/>
      <c r="M531" s="73"/>
      <c r="N531" s="74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30.0" customHeight="1">
      <c r="A532" s="68"/>
      <c r="B532" s="68">
        <v>546.0</v>
      </c>
      <c r="C532" s="68"/>
      <c r="D532" s="69" t="str">
        <f>CONCATENATE(PROPER('BIÑAN INFO'!$G532),", ",PROPER('BIÑAN INFO'!$E532)," ",PROPER('BIÑAN INFO'!$F532),"."," (",UPPER('BIÑAN INFO'!$H532),")")</f>
        <v>,  . ()</v>
      </c>
      <c r="E532" s="70"/>
      <c r="F532" s="70"/>
      <c r="G532" s="70"/>
      <c r="H532" s="69"/>
      <c r="I532" s="71">
        <v>0.12</v>
      </c>
      <c r="J532" s="72">
        <v>1000.0</v>
      </c>
      <c r="K532" s="73"/>
      <c r="L532" s="73"/>
      <c r="M532" s="73"/>
      <c r="N532" s="74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30.0" customHeight="1">
      <c r="A533" s="68"/>
      <c r="B533" s="68">
        <v>547.0</v>
      </c>
      <c r="C533" s="68"/>
      <c r="D533" s="69" t="str">
        <f>CONCATENATE(PROPER('BIÑAN INFO'!$G533),", ",PROPER('BIÑAN INFO'!$E533)," ",PROPER('BIÑAN INFO'!$F533),"."," (",UPPER('BIÑAN INFO'!$H533),")")</f>
        <v>,  . ()</v>
      </c>
      <c r="E533" s="70"/>
      <c r="F533" s="70"/>
      <c r="G533" s="70"/>
      <c r="H533" s="69"/>
      <c r="I533" s="71">
        <v>0.12</v>
      </c>
      <c r="J533" s="72">
        <v>1000.0</v>
      </c>
      <c r="K533" s="73"/>
      <c r="L533" s="73"/>
      <c r="M533" s="73"/>
      <c r="N533" s="74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30.0" customHeight="1">
      <c r="A534" s="68"/>
      <c r="B534" s="68">
        <v>548.0</v>
      </c>
      <c r="C534" s="68"/>
      <c r="D534" s="69" t="str">
        <f>CONCATENATE(PROPER('BIÑAN INFO'!$G534),", ",PROPER('BIÑAN INFO'!$E534)," ",PROPER('BIÑAN INFO'!$F534),"."," (",UPPER('BIÑAN INFO'!$H534),")")</f>
        <v>,  . ()</v>
      </c>
      <c r="E534" s="70"/>
      <c r="F534" s="70"/>
      <c r="G534" s="70"/>
      <c r="H534" s="69"/>
      <c r="I534" s="71">
        <v>0.12</v>
      </c>
      <c r="J534" s="72">
        <v>1000.0</v>
      </c>
      <c r="K534" s="73"/>
      <c r="L534" s="73"/>
      <c r="M534" s="73"/>
      <c r="N534" s="74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30.0" customHeight="1">
      <c r="A535" s="68"/>
      <c r="B535" s="68">
        <v>549.0</v>
      </c>
      <c r="C535" s="68"/>
      <c r="D535" s="69" t="str">
        <f>CONCATENATE(PROPER('BIÑAN INFO'!$G535),", ",PROPER('BIÑAN INFO'!$E535)," ",PROPER('BIÑAN INFO'!$F535),"."," (",UPPER('BIÑAN INFO'!$H535),")")</f>
        <v>,  . ()</v>
      </c>
      <c r="E535" s="70"/>
      <c r="F535" s="70"/>
      <c r="G535" s="70"/>
      <c r="H535" s="69"/>
      <c r="I535" s="71">
        <v>0.12</v>
      </c>
      <c r="J535" s="72">
        <v>1000.0</v>
      </c>
      <c r="K535" s="73"/>
      <c r="L535" s="73"/>
      <c r="M535" s="73"/>
      <c r="N535" s="74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30.0" customHeight="1">
      <c r="A536" s="68"/>
      <c r="B536" s="68">
        <v>550.0</v>
      </c>
      <c r="C536" s="68"/>
      <c r="D536" s="69" t="str">
        <f>CONCATENATE(PROPER('BIÑAN INFO'!$G536),", ",PROPER('BIÑAN INFO'!$E536)," ",PROPER('BIÑAN INFO'!$F536),"."," (",UPPER('BIÑAN INFO'!$H536),")")</f>
        <v>,  . ()</v>
      </c>
      <c r="E536" s="70"/>
      <c r="F536" s="70"/>
      <c r="G536" s="70"/>
      <c r="H536" s="69"/>
      <c r="I536" s="71">
        <v>0.12</v>
      </c>
      <c r="J536" s="72">
        <v>1000.0</v>
      </c>
      <c r="K536" s="73"/>
      <c r="L536" s="73"/>
      <c r="M536" s="73"/>
      <c r="N536" s="74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30.0" customHeight="1">
      <c r="A537" s="68"/>
      <c r="B537" s="68">
        <v>551.0</v>
      </c>
      <c r="C537" s="68"/>
      <c r="D537" s="69" t="str">
        <f>CONCATENATE(PROPER('BIÑAN INFO'!$G537),", ",PROPER('BIÑAN INFO'!$E537)," ",PROPER('BIÑAN INFO'!$F537),"."," (",UPPER('BIÑAN INFO'!$H537),")")</f>
        <v>,  . ()</v>
      </c>
      <c r="E537" s="70"/>
      <c r="F537" s="70"/>
      <c r="G537" s="70"/>
      <c r="H537" s="69"/>
      <c r="I537" s="71">
        <v>0.12</v>
      </c>
      <c r="J537" s="72">
        <v>1000.0</v>
      </c>
      <c r="K537" s="73"/>
      <c r="L537" s="73"/>
      <c r="M537" s="73"/>
      <c r="N537" s="74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30.0" customHeight="1">
      <c r="A538" s="68"/>
      <c r="B538" s="68">
        <v>552.0</v>
      </c>
      <c r="C538" s="68"/>
      <c r="D538" s="69" t="str">
        <f>CONCATENATE(PROPER('BIÑAN INFO'!$G538),", ",PROPER('BIÑAN INFO'!$E538)," ",PROPER('BIÑAN INFO'!$F538),"."," (",UPPER('BIÑAN INFO'!$H538),")")</f>
        <v>Calma, Armando . ()</v>
      </c>
      <c r="E538" s="70" t="s">
        <v>174</v>
      </c>
      <c r="F538" s="70"/>
      <c r="G538" s="70" t="s">
        <v>344</v>
      </c>
      <c r="H538" s="69"/>
      <c r="I538" s="71">
        <v>0.12</v>
      </c>
      <c r="J538" s="72">
        <v>1000.0</v>
      </c>
      <c r="K538" s="73"/>
      <c r="L538" s="73"/>
      <c r="M538" s="73"/>
      <c r="N538" s="74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30.0" customHeight="1">
      <c r="A539" s="68"/>
      <c r="B539" s="68">
        <v>553.0</v>
      </c>
      <c r="C539" s="68"/>
      <c r="D539" s="69" t="str">
        <f>CONCATENATE(PROPER('BIÑAN INFO'!$G539),", ",PROPER('BIÑAN INFO'!$E539)," ",PROPER('BIÑAN INFO'!$F539),"."," (",UPPER('BIÑAN INFO'!$H539),")")</f>
        <v>,  . ()</v>
      </c>
      <c r="E539" s="70"/>
      <c r="F539" s="70"/>
      <c r="G539" s="70"/>
      <c r="H539" s="69"/>
      <c r="I539" s="71">
        <v>0.12</v>
      </c>
      <c r="J539" s="72">
        <v>1000.0</v>
      </c>
      <c r="K539" s="73"/>
      <c r="L539" s="73"/>
      <c r="M539" s="73"/>
      <c r="N539" s="74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30.0" customHeight="1">
      <c r="A540" s="68"/>
      <c r="B540" s="68">
        <v>554.0</v>
      </c>
      <c r="C540" s="68"/>
      <c r="D540" s="69" t="str">
        <f>CONCATENATE(PROPER('BIÑAN INFO'!$G540),", ",PROPER('BIÑAN INFO'!$E540)," ",PROPER('BIÑAN INFO'!$F540),"."," (",UPPER('BIÑAN INFO'!$H540),")")</f>
        <v>,  . ()</v>
      </c>
      <c r="E540" s="70"/>
      <c r="F540" s="70"/>
      <c r="G540" s="70"/>
      <c r="H540" s="69"/>
      <c r="I540" s="71">
        <v>0.12</v>
      </c>
      <c r="J540" s="72">
        <v>1000.0</v>
      </c>
      <c r="K540" s="73"/>
      <c r="L540" s="73"/>
      <c r="M540" s="73"/>
      <c r="N540" s="74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30.0" customHeight="1">
      <c r="A541" s="68"/>
      <c r="B541" s="68">
        <v>555.0</v>
      </c>
      <c r="C541" s="68"/>
      <c r="D541" s="69" t="str">
        <f>CONCATENATE(PROPER('BIÑAN INFO'!$G541),", ",PROPER('BIÑAN INFO'!$E541)," ",PROPER('BIÑAN INFO'!$F541),"."," (",UPPER('BIÑAN INFO'!$H541),")")</f>
        <v>,  . ()</v>
      </c>
      <c r="E541" s="70"/>
      <c r="F541" s="70"/>
      <c r="G541" s="70"/>
      <c r="H541" s="69"/>
      <c r="I541" s="71">
        <v>0.12</v>
      </c>
      <c r="J541" s="72">
        <v>1000.0</v>
      </c>
      <c r="K541" s="73"/>
      <c r="L541" s="73"/>
      <c r="M541" s="73"/>
      <c r="N541" s="74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30.0" customHeight="1">
      <c r="A542" s="68"/>
      <c r="B542" s="68">
        <v>556.0</v>
      </c>
      <c r="C542" s="68"/>
      <c r="D542" s="69" t="str">
        <f>CONCATENATE(PROPER('BIÑAN INFO'!$G542),", ",PROPER('BIÑAN INFO'!$E542)," ",PROPER('BIÑAN INFO'!$F542),"."," (",UPPER('BIÑAN INFO'!$H542),")")</f>
        <v>,  . ()</v>
      </c>
      <c r="E542" s="70"/>
      <c r="F542" s="70"/>
      <c r="G542" s="70"/>
      <c r="H542" s="69"/>
      <c r="I542" s="71">
        <v>0.12</v>
      </c>
      <c r="J542" s="72">
        <v>1000.0</v>
      </c>
      <c r="K542" s="73"/>
      <c r="L542" s="73"/>
      <c r="M542" s="73"/>
      <c r="N542" s="74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30.0" customHeight="1">
      <c r="A543" s="68"/>
      <c r="B543" s="68">
        <v>557.0</v>
      </c>
      <c r="C543" s="68"/>
      <c r="D543" s="69" t="str">
        <f>CONCATENATE(PROPER('BIÑAN INFO'!$G543),", ",PROPER('BIÑAN INFO'!$E543)," ",PROPER('BIÑAN INFO'!$F543),"."," (",UPPER('BIÑAN INFO'!$H543),")")</f>
        <v>Delos Santos, Doreen . ()</v>
      </c>
      <c r="E543" s="70" t="s">
        <v>345</v>
      </c>
      <c r="F543" s="70"/>
      <c r="G543" s="70" t="s">
        <v>346</v>
      </c>
      <c r="H543" s="69"/>
      <c r="I543" s="71">
        <v>0.05</v>
      </c>
      <c r="J543" s="72">
        <v>1000.0</v>
      </c>
      <c r="K543" s="73"/>
      <c r="L543" s="73"/>
      <c r="M543" s="73"/>
      <c r="N543" s="74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30.0" customHeight="1">
      <c r="A544" s="68"/>
      <c r="B544" s="68">
        <v>558.0</v>
      </c>
      <c r="C544" s="68"/>
      <c r="D544" s="69" t="str">
        <f>CONCATENATE(PROPER('BIÑAN INFO'!$G544),", ",PROPER('BIÑAN INFO'!$E544)," ",PROPER('BIÑAN INFO'!$F544),"."," (",UPPER('BIÑAN INFO'!$H544),")")</f>
        <v>,  . ()</v>
      </c>
      <c r="E544" s="70"/>
      <c r="F544" s="70"/>
      <c r="G544" s="70"/>
      <c r="H544" s="69"/>
      <c r="I544" s="71">
        <v>0.12</v>
      </c>
      <c r="J544" s="72">
        <v>1000.0</v>
      </c>
      <c r="K544" s="73"/>
      <c r="L544" s="73"/>
      <c r="M544" s="73"/>
      <c r="N544" s="74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30.0" customHeight="1">
      <c r="A545" s="68"/>
      <c r="B545" s="68">
        <v>559.0</v>
      </c>
      <c r="C545" s="68"/>
      <c r="D545" s="69" t="str">
        <f>CONCATENATE(PROPER('BIÑAN INFO'!$G545),", ",PROPER('BIÑAN INFO'!$E545)," ",PROPER('BIÑAN INFO'!$F545),"."," (",UPPER('BIÑAN INFO'!$H545),")")</f>
        <v>Bucalan, Angelo . ()</v>
      </c>
      <c r="E545" s="70" t="s">
        <v>347</v>
      </c>
      <c r="F545" s="70"/>
      <c r="G545" s="70" t="s">
        <v>348</v>
      </c>
      <c r="H545" s="69"/>
      <c r="I545" s="71">
        <v>0.12</v>
      </c>
      <c r="J545" s="72">
        <v>1000.0</v>
      </c>
      <c r="K545" s="73"/>
      <c r="L545" s="73"/>
      <c r="M545" s="73"/>
      <c r="N545" s="74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30.0" customHeight="1">
      <c r="A546" s="68"/>
      <c r="B546" s="68">
        <v>560.0</v>
      </c>
      <c r="C546" s="68"/>
      <c r="D546" s="69" t="str">
        <f>CONCATENATE(PROPER('BIÑAN INFO'!$G546),", ",PROPER('BIÑAN INFO'!$E546)," ",PROPER('BIÑAN INFO'!$F546),"."," (",UPPER('BIÑAN INFO'!$H546),")")</f>
        <v>Antazo, Oliver . ()</v>
      </c>
      <c r="E546" s="70" t="s">
        <v>349</v>
      </c>
      <c r="F546" s="70"/>
      <c r="G546" s="70" t="s">
        <v>350</v>
      </c>
      <c r="H546" s="69"/>
      <c r="I546" s="71">
        <v>0.12</v>
      </c>
      <c r="J546" s="72">
        <v>1000.0</v>
      </c>
      <c r="K546" s="73"/>
      <c r="L546" s="73"/>
      <c r="M546" s="73"/>
      <c r="N546" s="74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30.0" customHeight="1">
      <c r="A547" s="68"/>
      <c r="B547" s="68">
        <v>561.0</v>
      </c>
      <c r="C547" s="68"/>
      <c r="D547" s="69" t="str">
        <f>CONCATENATE(PROPER('BIÑAN INFO'!$G547),", ",PROPER('BIÑAN INFO'!$E547)," ",PROPER('BIÑAN INFO'!$F547),"."," (",UPPER('BIÑAN INFO'!$H547),")")</f>
        <v>,  . ()</v>
      </c>
      <c r="E547" s="70"/>
      <c r="F547" s="70"/>
      <c r="G547" s="70"/>
      <c r="H547" s="69"/>
      <c r="I547" s="71">
        <v>0.12</v>
      </c>
      <c r="J547" s="72">
        <v>1000.0</v>
      </c>
      <c r="K547" s="73"/>
      <c r="L547" s="73"/>
      <c r="M547" s="73"/>
      <c r="N547" s="74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30.0" customHeight="1">
      <c r="A548" s="68"/>
      <c r="B548" s="68">
        <v>562.0</v>
      </c>
      <c r="C548" s="68"/>
      <c r="D548" s="69" t="str">
        <f>CONCATENATE(PROPER('BIÑAN INFO'!$G548),", ",PROPER('BIÑAN INFO'!$E548)," ",PROPER('BIÑAN INFO'!$F548),"."," (",UPPER('BIÑAN INFO'!$H548),")")</f>
        <v>Bayot, Mary Jane . ()</v>
      </c>
      <c r="E548" s="70" t="s">
        <v>351</v>
      </c>
      <c r="F548" s="70"/>
      <c r="G548" s="70" t="s">
        <v>352</v>
      </c>
      <c r="H548" s="69"/>
      <c r="I548" s="71">
        <v>0.12</v>
      </c>
      <c r="J548" s="72">
        <v>1000.0</v>
      </c>
      <c r="K548" s="73"/>
      <c r="L548" s="73"/>
      <c r="M548" s="73"/>
      <c r="N548" s="74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30.0" customHeight="1">
      <c r="A549" s="68"/>
      <c r="B549" s="68">
        <v>563.0</v>
      </c>
      <c r="C549" s="68"/>
      <c r="D549" s="69" t="str">
        <f>CONCATENATE(PROPER('BIÑAN INFO'!$G549),", ",PROPER('BIÑAN INFO'!$E549)," ",PROPER('BIÑAN INFO'!$F549),"."," (",UPPER('BIÑAN INFO'!$H549),")")</f>
        <v>,  . ()</v>
      </c>
      <c r="E549" s="70"/>
      <c r="F549" s="70"/>
      <c r="G549" s="70"/>
      <c r="H549" s="69"/>
      <c r="I549" s="71">
        <v>0.12</v>
      </c>
      <c r="J549" s="72">
        <v>1000.0</v>
      </c>
      <c r="K549" s="73"/>
      <c r="L549" s="73"/>
      <c r="M549" s="73"/>
      <c r="N549" s="74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30.0" customHeight="1">
      <c r="A550" s="68"/>
      <c r="B550" s="68">
        <v>564.0</v>
      </c>
      <c r="C550" s="68"/>
      <c r="D550" s="69" t="str">
        <f>CONCATENATE(PROPER('BIÑAN INFO'!$G550),", ",PROPER('BIÑAN INFO'!$E550)," ",PROPER('BIÑAN INFO'!$F550),"."," (",UPPER('BIÑAN INFO'!$H550),")")</f>
        <v>,  . ()</v>
      </c>
      <c r="E550" s="70"/>
      <c r="F550" s="70"/>
      <c r="G550" s="70"/>
      <c r="H550" s="69"/>
      <c r="I550" s="71">
        <v>0.12</v>
      </c>
      <c r="J550" s="72">
        <v>1000.0</v>
      </c>
      <c r="K550" s="73"/>
      <c r="L550" s="73"/>
      <c r="M550" s="73"/>
      <c r="N550" s="74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30.0" customHeight="1">
      <c r="A551" s="68"/>
      <c r="B551" s="68">
        <v>565.0</v>
      </c>
      <c r="C551" s="68"/>
      <c r="D551" s="69" t="str">
        <f>CONCATENATE(PROPER('BIÑAN INFO'!$G551),", ",PROPER('BIÑAN INFO'!$E551)," ",PROPER('BIÑAN INFO'!$F551),"."," (",UPPER('BIÑAN INFO'!$H551),")")</f>
        <v>,  . ()</v>
      </c>
      <c r="E551" s="70"/>
      <c r="F551" s="70"/>
      <c r="G551" s="70"/>
      <c r="H551" s="69"/>
      <c r="I551" s="71">
        <v>0.12</v>
      </c>
      <c r="J551" s="72">
        <v>1000.0</v>
      </c>
      <c r="K551" s="73"/>
      <c r="L551" s="73"/>
      <c r="M551" s="73"/>
      <c r="N551" s="74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30.0" customHeight="1">
      <c r="A552" s="68"/>
      <c r="B552" s="68">
        <v>566.0</v>
      </c>
      <c r="C552" s="68"/>
      <c r="D552" s="69" t="str">
        <f>CONCATENATE(PROPER('BIÑAN INFO'!$G552),", ",PROPER('BIÑAN INFO'!$E552)," ",PROPER('BIÑAN INFO'!$F552),"."," (",UPPER('BIÑAN INFO'!$H552),")")</f>
        <v>Comia, Felicisima . ()</v>
      </c>
      <c r="E552" s="70" t="s">
        <v>353</v>
      </c>
      <c r="F552" s="70"/>
      <c r="G552" s="70" t="s">
        <v>354</v>
      </c>
      <c r="H552" s="69"/>
      <c r="I552" s="71">
        <v>0.05</v>
      </c>
      <c r="J552" s="72">
        <v>1000.0</v>
      </c>
      <c r="K552" s="73" t="s">
        <v>50</v>
      </c>
      <c r="L552" s="73"/>
      <c r="M552" s="73"/>
      <c r="N552" s="74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30.0" customHeight="1">
      <c r="A553" s="68"/>
      <c r="B553" s="68">
        <v>567.0</v>
      </c>
      <c r="C553" s="68"/>
      <c r="D553" s="69" t="str">
        <f>CONCATENATE(PROPER('BIÑAN INFO'!$G553),", ",PROPER('BIÑAN INFO'!$E553)," ",PROPER('BIÑAN INFO'!$F553),"."," (",UPPER('BIÑAN INFO'!$H553),")")</f>
        <v>,  . ()</v>
      </c>
      <c r="E553" s="70"/>
      <c r="F553" s="70"/>
      <c r="G553" s="70"/>
      <c r="H553" s="69"/>
      <c r="I553" s="71">
        <v>0.12</v>
      </c>
      <c r="J553" s="72">
        <v>1000.0</v>
      </c>
      <c r="K553" s="73"/>
      <c r="L553" s="73"/>
      <c r="M553" s="73"/>
      <c r="N553" s="74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30.0" customHeight="1">
      <c r="A554" s="68"/>
      <c r="B554" s="68">
        <v>568.0</v>
      </c>
      <c r="C554" s="68"/>
      <c r="D554" s="69" t="str">
        <f>CONCATENATE(PROPER('BIÑAN INFO'!$G554),", ",PROPER('BIÑAN INFO'!$E554)," ",PROPER('BIÑAN INFO'!$F554),"."," (",UPPER('BIÑAN INFO'!$H554),")")</f>
        <v>,  . ()</v>
      </c>
      <c r="E554" s="70"/>
      <c r="F554" s="70"/>
      <c r="G554" s="70"/>
      <c r="H554" s="69"/>
      <c r="I554" s="71">
        <v>0.12</v>
      </c>
      <c r="J554" s="72">
        <v>1000.0</v>
      </c>
      <c r="K554" s="73"/>
      <c r="L554" s="73"/>
      <c r="M554" s="73"/>
      <c r="N554" s="74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30.0" customHeight="1">
      <c r="A555" s="68"/>
      <c r="B555" s="68">
        <v>569.0</v>
      </c>
      <c r="C555" s="68"/>
      <c r="D555" s="69" t="str">
        <f>CONCATENATE(PROPER('BIÑAN INFO'!$G555),", ",PROPER('BIÑAN INFO'!$E555)," ",PROPER('BIÑAN INFO'!$F555),"."," (",UPPER('BIÑAN INFO'!$H555),")")</f>
        <v>,  . ()</v>
      </c>
      <c r="E555" s="70"/>
      <c r="F555" s="70"/>
      <c r="G555" s="70"/>
      <c r="H555" s="69"/>
      <c r="I555" s="71">
        <v>0.12</v>
      </c>
      <c r="J555" s="72">
        <v>1000.0</v>
      </c>
      <c r="K555" s="73"/>
      <c r="L555" s="73"/>
      <c r="M555" s="73"/>
      <c r="N555" s="74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30.0" customHeight="1">
      <c r="A556" s="68"/>
      <c r="B556" s="68">
        <v>570.0</v>
      </c>
      <c r="C556" s="68"/>
      <c r="D556" s="69" t="str">
        <f>CONCATENATE(PROPER('BIÑAN INFO'!$G556),", ",PROPER('BIÑAN INFO'!$E556)," ",PROPER('BIÑAN INFO'!$F556),"."," (",UPPER('BIÑAN INFO'!$H556),")")</f>
        <v>,  . ()</v>
      </c>
      <c r="E556" s="70"/>
      <c r="F556" s="70"/>
      <c r="G556" s="70"/>
      <c r="H556" s="69"/>
      <c r="I556" s="71">
        <v>0.12</v>
      </c>
      <c r="J556" s="72">
        <v>1000.0</v>
      </c>
      <c r="K556" s="73"/>
      <c r="L556" s="73"/>
      <c r="M556" s="73"/>
      <c r="N556" s="74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30.0" customHeight="1">
      <c r="A557" s="68"/>
      <c r="B557" s="68">
        <v>571.0</v>
      </c>
      <c r="C557" s="68"/>
      <c r="D557" s="69" t="str">
        <f>CONCATENATE(PROPER('BIÑAN INFO'!$G557),", ",PROPER('BIÑAN INFO'!$E557)," ",PROPER('BIÑAN INFO'!$F557),"."," (",UPPER('BIÑAN INFO'!$H557),")")</f>
        <v>,  . ()</v>
      </c>
      <c r="E557" s="70"/>
      <c r="F557" s="70"/>
      <c r="G557" s="70"/>
      <c r="H557" s="70"/>
      <c r="I557" s="71">
        <v>0.12</v>
      </c>
      <c r="J557" s="72">
        <v>1000.0</v>
      </c>
      <c r="K557" s="73"/>
      <c r="L557" s="73"/>
      <c r="M557" s="73"/>
      <c r="N557" s="74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30.0" customHeight="1">
      <c r="A558" s="68"/>
      <c r="B558" s="68">
        <v>572.0</v>
      </c>
      <c r="C558" s="68"/>
      <c r="D558" s="69" t="str">
        <f>CONCATENATE(PROPER('BIÑAN INFO'!$G558),", ",PROPER('BIÑAN INFO'!$E558)," ",PROPER('BIÑAN INFO'!$F558),"."," (",UPPER('BIÑAN INFO'!$H558),")")</f>
        <v>Cartagena, Rhea . ()</v>
      </c>
      <c r="E558" s="70" t="s">
        <v>355</v>
      </c>
      <c r="F558" s="70"/>
      <c r="G558" s="70" t="s">
        <v>356</v>
      </c>
      <c r="H558" s="69"/>
      <c r="I558" s="71">
        <v>0.12</v>
      </c>
      <c r="J558" s="72">
        <v>1000.0</v>
      </c>
      <c r="K558" s="73"/>
      <c r="L558" s="73"/>
      <c r="M558" s="73"/>
      <c r="N558" s="74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30.0" customHeight="1">
      <c r="A559" s="68"/>
      <c r="B559" s="68">
        <v>573.0</v>
      </c>
      <c r="C559" s="68"/>
      <c r="D559" s="69" t="str">
        <f>CONCATENATE(PROPER('BIÑAN INFO'!$G559),", ",PROPER('BIÑAN INFO'!$E559)," ",PROPER('BIÑAN INFO'!$F559),"."," (",UPPER('BIÑAN INFO'!$H559),")")</f>
        <v>,  . ()</v>
      </c>
      <c r="E559" s="70"/>
      <c r="F559" s="70"/>
      <c r="G559" s="70"/>
      <c r="H559" s="69"/>
      <c r="I559" s="71">
        <v>0.12</v>
      </c>
      <c r="J559" s="72">
        <v>1000.0</v>
      </c>
      <c r="K559" s="73"/>
      <c r="L559" s="73"/>
      <c r="M559" s="73"/>
      <c r="N559" s="74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30.0" customHeight="1">
      <c r="A560" s="68"/>
      <c r="B560" s="68">
        <v>574.0</v>
      </c>
      <c r="C560" s="68"/>
      <c r="D560" s="69" t="str">
        <f>CONCATENATE(PROPER('BIÑAN INFO'!$G560),", ",PROPER('BIÑAN INFO'!$E560)," ",PROPER('BIÑAN INFO'!$F560),"."," (",UPPER('BIÑAN INFO'!$H560),")")</f>
        <v>,  . ()</v>
      </c>
      <c r="E560" s="70"/>
      <c r="F560" s="70"/>
      <c r="G560" s="70"/>
      <c r="H560" s="69"/>
      <c r="I560" s="71">
        <v>0.12</v>
      </c>
      <c r="J560" s="72">
        <v>1000.0</v>
      </c>
      <c r="K560" s="73"/>
      <c r="L560" s="73"/>
      <c r="M560" s="73"/>
      <c r="N560" s="74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30.0" customHeight="1">
      <c r="A561" s="68"/>
      <c r="B561" s="68">
        <v>575.0</v>
      </c>
      <c r="C561" s="68"/>
      <c r="D561" s="69" t="str">
        <f>CONCATENATE(PROPER('BIÑAN INFO'!$G561),", ",PROPER('BIÑAN INFO'!$E561)," ",PROPER('BIÑAN INFO'!$F561),"."," (",UPPER('BIÑAN INFO'!$H561),")")</f>
        <v>,  . ()</v>
      </c>
      <c r="E561" s="70"/>
      <c r="F561" s="70"/>
      <c r="G561" s="70"/>
      <c r="H561" s="69"/>
      <c r="I561" s="71">
        <v>0.12</v>
      </c>
      <c r="J561" s="72">
        <v>1000.0</v>
      </c>
      <c r="K561" s="73"/>
      <c r="L561" s="73"/>
      <c r="M561" s="73"/>
      <c r="N561" s="74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30.0" customHeight="1">
      <c r="A562" s="68"/>
      <c r="B562" s="68">
        <v>576.0</v>
      </c>
      <c r="C562" s="68"/>
      <c r="D562" s="69" t="str">
        <f>CONCATENATE(PROPER('BIÑAN INFO'!$G562),", ",PROPER('BIÑAN INFO'!$E562)," ",PROPER('BIÑAN INFO'!$F562),"."," (",UPPER('BIÑAN INFO'!$H562),")")</f>
        <v>,  . ()</v>
      </c>
      <c r="E562" s="70"/>
      <c r="F562" s="70"/>
      <c r="G562" s="70"/>
      <c r="H562" s="69"/>
      <c r="I562" s="71">
        <v>0.12</v>
      </c>
      <c r="J562" s="72">
        <v>1000.0</v>
      </c>
      <c r="K562" s="73"/>
      <c r="L562" s="73"/>
      <c r="M562" s="73"/>
      <c r="N562" s="74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30.0" customHeight="1">
      <c r="A563" s="68"/>
      <c r="B563" s="68">
        <v>577.0</v>
      </c>
      <c r="C563" s="68"/>
      <c r="D563" s="69" t="str">
        <f>CONCATENATE(PROPER('BIÑAN INFO'!$G563),", ",PROPER('BIÑAN INFO'!$E563)," ",PROPER('BIÑAN INFO'!$F563),"."," (",UPPER('BIÑAN INFO'!$H563),")")</f>
        <v>,  . ()</v>
      </c>
      <c r="E563" s="70"/>
      <c r="F563" s="70"/>
      <c r="G563" s="70"/>
      <c r="H563" s="69"/>
      <c r="I563" s="71">
        <v>0.12</v>
      </c>
      <c r="J563" s="72">
        <v>1000.0</v>
      </c>
      <c r="K563" s="73"/>
      <c r="L563" s="73"/>
      <c r="M563" s="73"/>
      <c r="N563" s="74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30.0" customHeight="1">
      <c r="A564" s="68"/>
      <c r="B564" s="68">
        <v>578.0</v>
      </c>
      <c r="C564" s="68"/>
      <c r="D564" s="69" t="str">
        <f>CONCATENATE(PROPER('BIÑAN INFO'!$G564),", ",PROPER('BIÑAN INFO'!$E564)," ",PROPER('BIÑAN INFO'!$F564),"."," (",UPPER('BIÑAN INFO'!$H564),")")</f>
        <v>,  . ()</v>
      </c>
      <c r="E564" s="70"/>
      <c r="F564" s="70"/>
      <c r="G564" s="70"/>
      <c r="H564" s="69"/>
      <c r="I564" s="71">
        <v>0.12</v>
      </c>
      <c r="J564" s="72">
        <v>1000.0</v>
      </c>
      <c r="K564" s="73"/>
      <c r="L564" s="73"/>
      <c r="M564" s="73"/>
      <c r="N564" s="74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30.0" customHeight="1">
      <c r="A565" s="68"/>
      <c r="B565" s="68">
        <v>579.0</v>
      </c>
      <c r="C565" s="68"/>
      <c r="D565" s="69" t="str">
        <f>CONCATENATE(PROPER('BIÑAN INFO'!$G565),", ",PROPER('BIÑAN INFO'!$E565)," ",PROPER('BIÑAN INFO'!$F565),"."," (",UPPER('BIÑAN INFO'!$H565),")")</f>
        <v>,  . ()</v>
      </c>
      <c r="E565" s="70"/>
      <c r="F565" s="70"/>
      <c r="G565" s="70"/>
      <c r="H565" s="69"/>
      <c r="I565" s="71">
        <v>0.12</v>
      </c>
      <c r="J565" s="72">
        <v>1000.0</v>
      </c>
      <c r="K565" s="73"/>
      <c r="L565" s="73"/>
      <c r="M565" s="73"/>
      <c r="N565" s="74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30.0" customHeight="1">
      <c r="A566" s="68"/>
      <c r="B566" s="68">
        <v>580.0</v>
      </c>
      <c r="C566" s="68"/>
      <c r="D566" s="69" t="str">
        <f>CONCATENATE(PROPER('BIÑAN INFO'!$G566),", ",PROPER('BIÑAN INFO'!$E566)," ",PROPER('BIÑAN INFO'!$F566),"."," (",UPPER('BIÑAN INFO'!$H566),")")</f>
        <v>Retardo, Roschel . ()</v>
      </c>
      <c r="E566" s="70" t="s">
        <v>357</v>
      </c>
      <c r="F566" s="70"/>
      <c r="G566" s="70" t="s">
        <v>132</v>
      </c>
      <c r="H566" s="69"/>
      <c r="I566" s="71">
        <v>0.05</v>
      </c>
      <c r="J566" s="72">
        <v>1000.0</v>
      </c>
      <c r="K566" s="73"/>
      <c r="L566" s="73"/>
      <c r="M566" s="73"/>
      <c r="N566" s="74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30.0" customHeight="1">
      <c r="A567" s="68"/>
      <c r="B567" s="68">
        <v>581.0</v>
      </c>
      <c r="C567" s="68"/>
      <c r="D567" s="69" t="str">
        <f>CONCATENATE(PROPER('BIÑAN INFO'!$G567),", ",PROPER('BIÑAN INFO'!$E567)," ",PROPER('BIÑAN INFO'!$F567),"."," (",UPPER('BIÑAN INFO'!$H567),")")</f>
        <v>,  . ()</v>
      </c>
      <c r="E567" s="70"/>
      <c r="F567" s="70"/>
      <c r="G567" s="70"/>
      <c r="H567" s="69"/>
      <c r="I567" s="71">
        <v>0.12</v>
      </c>
      <c r="J567" s="72">
        <v>1000.0</v>
      </c>
      <c r="K567" s="73"/>
      <c r="L567" s="73"/>
      <c r="M567" s="73"/>
      <c r="N567" s="74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30.0" customHeight="1">
      <c r="A568" s="68"/>
      <c r="B568" s="68">
        <v>582.0</v>
      </c>
      <c r="C568" s="68"/>
      <c r="D568" s="69" t="str">
        <f>CONCATENATE(PROPER('BIÑAN INFO'!$G568),", ",PROPER('BIÑAN INFO'!$E568)," ",PROPER('BIÑAN INFO'!$F568),"."," (",UPPER('BIÑAN INFO'!$H568),")")</f>
        <v>,  . ()</v>
      </c>
      <c r="E568" s="70"/>
      <c r="F568" s="70"/>
      <c r="G568" s="70"/>
      <c r="H568" s="69"/>
      <c r="I568" s="71">
        <v>0.12</v>
      </c>
      <c r="J568" s="72">
        <v>1000.0</v>
      </c>
      <c r="K568" s="73"/>
      <c r="L568" s="73"/>
      <c r="M568" s="73"/>
      <c r="N568" s="74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30.0" customHeight="1">
      <c r="A569" s="68"/>
      <c r="B569" s="68">
        <v>583.0</v>
      </c>
      <c r="C569" s="68"/>
      <c r="D569" s="69" t="str">
        <f>CONCATENATE(PROPER('BIÑAN INFO'!$G569),", ",PROPER('BIÑAN INFO'!$E569)," ",PROPER('BIÑAN INFO'!$F569),"."," (",UPPER('BIÑAN INFO'!$H569),")")</f>
        <v>,  . ()</v>
      </c>
      <c r="E569" s="70"/>
      <c r="F569" s="70"/>
      <c r="G569" s="70"/>
      <c r="H569" s="69"/>
      <c r="I569" s="71">
        <v>0.12</v>
      </c>
      <c r="J569" s="72">
        <v>1000.0</v>
      </c>
      <c r="K569" s="73"/>
      <c r="L569" s="73"/>
      <c r="M569" s="73"/>
      <c r="N569" s="74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30.0" customHeight="1">
      <c r="A570" s="68"/>
      <c r="B570" s="68">
        <v>584.0</v>
      </c>
      <c r="C570" s="68"/>
      <c r="D570" s="69" t="str">
        <f>CONCATENATE(PROPER('BIÑAN INFO'!$G570),", ",PROPER('BIÑAN INFO'!$E570)," ",PROPER('BIÑAN INFO'!$F570),"."," (",UPPER('BIÑAN INFO'!$H570),")")</f>
        <v>Bardel, Baby . ()</v>
      </c>
      <c r="E570" s="70" t="s">
        <v>358</v>
      </c>
      <c r="F570" s="70"/>
      <c r="G570" s="70" t="s">
        <v>359</v>
      </c>
      <c r="H570" s="69"/>
      <c r="I570" s="71">
        <v>0.12</v>
      </c>
      <c r="J570" s="72">
        <v>1000.0</v>
      </c>
      <c r="K570" s="73"/>
      <c r="L570" s="73"/>
      <c r="M570" s="73"/>
      <c r="N570" s="74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30.0" customHeight="1">
      <c r="A571" s="68"/>
      <c r="B571" s="68">
        <v>585.0</v>
      </c>
      <c r="C571" s="68"/>
      <c r="D571" s="69" t="str">
        <f>CONCATENATE(PROPER('BIÑAN INFO'!$G571),", ",PROPER('BIÑAN INFO'!$E571)," ",PROPER('BIÑAN INFO'!$F571),"."," (",UPPER('BIÑAN INFO'!$H571),")")</f>
        <v>,  . ()</v>
      </c>
      <c r="E571" s="70"/>
      <c r="F571" s="70"/>
      <c r="G571" s="70"/>
      <c r="H571" s="69"/>
      <c r="I571" s="71">
        <v>0.12</v>
      </c>
      <c r="J571" s="72">
        <v>1000.0</v>
      </c>
      <c r="K571" s="73"/>
      <c r="L571" s="73"/>
      <c r="M571" s="73"/>
      <c r="N571" s="74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30.0" customHeight="1">
      <c r="A572" s="68"/>
      <c r="B572" s="68">
        <v>586.0</v>
      </c>
      <c r="C572" s="68"/>
      <c r="D572" s="69" t="str">
        <f>CONCATENATE(PROPER('BIÑAN INFO'!$G572),", ",PROPER('BIÑAN INFO'!$E572)," ",PROPER('BIÑAN INFO'!$F572),"."," (",UPPER('BIÑAN INFO'!$H572),")")</f>
        <v>,  . ()</v>
      </c>
      <c r="E572" s="70"/>
      <c r="F572" s="70"/>
      <c r="G572" s="70"/>
      <c r="H572" s="70"/>
      <c r="I572" s="71">
        <v>0.12</v>
      </c>
      <c r="J572" s="72">
        <v>1000.0</v>
      </c>
      <c r="K572" s="73"/>
      <c r="L572" s="73"/>
      <c r="M572" s="73"/>
      <c r="N572" s="74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30.0" customHeight="1">
      <c r="A573" s="68"/>
      <c r="B573" s="68">
        <v>587.0</v>
      </c>
      <c r="C573" s="68"/>
      <c r="D573" s="69" t="str">
        <f>CONCATENATE(PROPER('BIÑAN INFO'!$G573),", ",PROPER('BIÑAN INFO'!$E573)," ",PROPER('BIÑAN INFO'!$F573),"."," (",UPPER('BIÑAN INFO'!$H573),")")</f>
        <v>Bautista, Anthony . ()</v>
      </c>
      <c r="E573" s="70" t="s">
        <v>360</v>
      </c>
      <c r="F573" s="70"/>
      <c r="G573" s="70" t="s">
        <v>275</v>
      </c>
      <c r="H573" s="70"/>
      <c r="I573" s="71">
        <v>0.12</v>
      </c>
      <c r="J573" s="72">
        <v>1000.0</v>
      </c>
      <c r="K573" s="73"/>
      <c r="L573" s="73"/>
      <c r="M573" s="73"/>
      <c r="N573" s="74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30.0" customHeight="1">
      <c r="A574" s="68"/>
      <c r="B574" s="68">
        <v>588.0</v>
      </c>
      <c r="C574" s="68"/>
      <c r="D574" s="69" t="str">
        <f>CONCATENATE(PROPER('BIÑAN INFO'!$G574),", ",PROPER('BIÑAN INFO'!$E574)," ",PROPER('BIÑAN INFO'!$F574),"."," (",UPPER('BIÑAN INFO'!$H574),")")</f>
        <v>,  . ()</v>
      </c>
      <c r="E574" s="70"/>
      <c r="F574" s="70"/>
      <c r="G574" s="70"/>
      <c r="H574" s="70"/>
      <c r="I574" s="71">
        <v>0.12</v>
      </c>
      <c r="J574" s="72">
        <v>1000.0</v>
      </c>
      <c r="K574" s="73"/>
      <c r="L574" s="73"/>
      <c r="M574" s="73"/>
      <c r="N574" s="74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30.0" customHeight="1">
      <c r="A575" s="68"/>
      <c r="B575" s="68">
        <v>589.0</v>
      </c>
      <c r="C575" s="68"/>
      <c r="D575" s="69" t="str">
        <f>CONCATENATE(PROPER('BIÑAN INFO'!$G575),", ",PROPER('BIÑAN INFO'!$E575)," ",PROPER('BIÑAN INFO'!$F575),"."," (",UPPER('BIÑAN INFO'!$H575),")")</f>
        <v>,  . ()</v>
      </c>
      <c r="E575" s="70"/>
      <c r="F575" s="70"/>
      <c r="G575" s="70"/>
      <c r="H575" s="70"/>
      <c r="I575" s="71">
        <v>0.12</v>
      </c>
      <c r="J575" s="72">
        <v>1000.0</v>
      </c>
      <c r="K575" s="73"/>
      <c r="L575" s="73"/>
      <c r="M575" s="73"/>
      <c r="N575" s="74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30.0" customHeight="1">
      <c r="A576" s="68"/>
      <c r="B576" s="68">
        <v>590.0</v>
      </c>
      <c r="C576" s="68"/>
      <c r="D576" s="69" t="str">
        <f>CONCATENATE(PROPER('BIÑAN INFO'!$G576),", ",PROPER('BIÑAN INFO'!$E576)," ",PROPER('BIÑAN INFO'!$F576),"."," (",UPPER('BIÑAN INFO'!$H576),")")</f>
        <v>,  . ()</v>
      </c>
      <c r="E576" s="70"/>
      <c r="F576" s="70"/>
      <c r="G576" s="70"/>
      <c r="H576" s="69"/>
      <c r="I576" s="71">
        <v>0.12</v>
      </c>
      <c r="J576" s="72">
        <v>1000.0</v>
      </c>
      <c r="K576" s="73"/>
      <c r="L576" s="73"/>
      <c r="M576" s="73"/>
      <c r="N576" s="74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30.0" customHeight="1">
      <c r="A577" s="68"/>
      <c r="B577" s="68">
        <v>591.0</v>
      </c>
      <c r="C577" s="68"/>
      <c r="D577" s="69" t="str">
        <f>CONCATENATE(PROPER('BIÑAN INFO'!$G577),", ",PROPER('BIÑAN INFO'!$E577)," ",PROPER('BIÑAN INFO'!$F577),"."," (",UPPER('BIÑAN INFO'!$H577),")")</f>
        <v>,  . ()</v>
      </c>
      <c r="E577" s="70"/>
      <c r="F577" s="70"/>
      <c r="G577" s="70"/>
      <c r="H577" s="69"/>
      <c r="I577" s="71">
        <v>0.12</v>
      </c>
      <c r="J577" s="72">
        <v>1000.0</v>
      </c>
      <c r="K577" s="73"/>
      <c r="L577" s="73"/>
      <c r="M577" s="73"/>
      <c r="N577" s="74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30.0" customHeight="1">
      <c r="A578" s="68"/>
      <c r="B578" s="68">
        <v>592.0</v>
      </c>
      <c r="C578" s="68"/>
      <c r="D578" s="69" t="str">
        <f>CONCATENATE(PROPER('BIÑAN INFO'!$G578),", ",PROPER('BIÑAN INFO'!$E578)," ",PROPER('BIÑAN INFO'!$F578),"."," (",UPPER('BIÑAN INFO'!$H578),")")</f>
        <v>Clavano, Anna . ()</v>
      </c>
      <c r="E578" s="70" t="s">
        <v>361</v>
      </c>
      <c r="F578" s="70"/>
      <c r="G578" s="70" t="s">
        <v>362</v>
      </c>
      <c r="H578" s="69"/>
      <c r="I578" s="71">
        <v>0.05</v>
      </c>
      <c r="J578" s="72">
        <v>1000.0</v>
      </c>
      <c r="K578" s="73" t="s">
        <v>50</v>
      </c>
      <c r="L578" s="73"/>
      <c r="M578" s="73"/>
      <c r="N578" s="74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30.0" customHeight="1">
      <c r="A579" s="68"/>
      <c r="B579" s="68">
        <v>593.0</v>
      </c>
      <c r="C579" s="68"/>
      <c r="D579" s="69" t="str">
        <f>CONCATENATE(PROPER('BIÑAN INFO'!$G579),", ",PROPER('BIÑAN INFO'!$E579)," ",PROPER('BIÑAN INFO'!$F579),"."," (",UPPER('BIÑAN INFO'!$H579),")")</f>
        <v>,  . ()</v>
      </c>
      <c r="E579" s="70"/>
      <c r="F579" s="70"/>
      <c r="G579" s="70"/>
      <c r="H579" s="69"/>
      <c r="I579" s="71">
        <v>0.12</v>
      </c>
      <c r="J579" s="72">
        <v>1000.0</v>
      </c>
      <c r="K579" s="73"/>
      <c r="L579" s="73"/>
      <c r="M579" s="73"/>
      <c r="N579" s="74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30.0" customHeight="1">
      <c r="A580" s="68"/>
      <c r="B580" s="68">
        <v>594.0</v>
      </c>
      <c r="C580" s="68"/>
      <c r="D580" s="69" t="str">
        <f>CONCATENATE(PROPER('BIÑAN INFO'!$G580),", ",PROPER('BIÑAN INFO'!$E580)," ",PROPER('BIÑAN INFO'!$F580),"."," (",UPPER('BIÑAN INFO'!$H580),")")</f>
        <v>Agremano, Maylene . ()</v>
      </c>
      <c r="E580" s="70" t="s">
        <v>363</v>
      </c>
      <c r="F580" s="70"/>
      <c r="G580" s="70" t="s">
        <v>364</v>
      </c>
      <c r="H580" s="69"/>
      <c r="I580" s="71">
        <v>0.12</v>
      </c>
      <c r="J580" s="72">
        <v>1000.0</v>
      </c>
      <c r="K580" s="73"/>
      <c r="L580" s="73"/>
      <c r="M580" s="73"/>
      <c r="N580" s="74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30.0" customHeight="1">
      <c r="A581" s="68"/>
      <c r="B581" s="68">
        <v>595.0</v>
      </c>
      <c r="C581" s="68"/>
      <c r="D581" s="69" t="str">
        <f>CONCATENATE(PROPER('BIÑAN INFO'!$G581),", ",PROPER('BIÑAN INFO'!$E581)," ",PROPER('BIÑAN INFO'!$F581),"."," (",UPPER('BIÑAN INFO'!$H581),")")</f>
        <v>Feliciano, Marie . ()</v>
      </c>
      <c r="E581" s="70" t="s">
        <v>365</v>
      </c>
      <c r="F581" s="70"/>
      <c r="G581" s="70" t="s">
        <v>366</v>
      </c>
      <c r="H581" s="69"/>
      <c r="I581" s="71">
        <v>0.05</v>
      </c>
      <c r="J581" s="72">
        <v>1000.0</v>
      </c>
      <c r="K581" s="73"/>
      <c r="L581" s="73"/>
      <c r="M581" s="73"/>
      <c r="N581" s="74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30.0" customHeight="1">
      <c r="A582" s="68"/>
      <c r="B582" s="68">
        <v>596.0</v>
      </c>
      <c r="C582" s="68"/>
      <c r="D582" s="69" t="str">
        <f>CONCATENATE(PROPER('BIÑAN INFO'!$G582),", ",PROPER('BIÑAN INFO'!$E582)," ",PROPER('BIÑAN INFO'!$F582),"."," (",UPPER('BIÑAN INFO'!$H582),")")</f>
        <v>,  . ()</v>
      </c>
      <c r="E582" s="70"/>
      <c r="F582" s="70"/>
      <c r="G582" s="70"/>
      <c r="H582" s="69"/>
      <c r="I582" s="71">
        <v>0.12</v>
      </c>
      <c r="J582" s="72">
        <v>1000.0</v>
      </c>
      <c r="K582" s="73"/>
      <c r="L582" s="73"/>
      <c r="M582" s="73"/>
      <c r="N582" s="74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30.0" customHeight="1">
      <c r="A583" s="68"/>
      <c r="B583" s="68">
        <v>597.0</v>
      </c>
      <c r="C583" s="68"/>
      <c r="D583" s="69" t="str">
        <f>CONCATENATE(PROPER('BIÑAN INFO'!$G583),", ",PROPER('BIÑAN INFO'!$E583)," ",PROPER('BIÑAN INFO'!$F583),"."," (",UPPER('BIÑAN INFO'!$H583),")")</f>
        <v>Pulido, Larry . ()</v>
      </c>
      <c r="E583" s="70" t="s">
        <v>367</v>
      </c>
      <c r="F583" s="70"/>
      <c r="G583" s="70" t="s">
        <v>368</v>
      </c>
      <c r="H583" s="69"/>
      <c r="I583" s="71">
        <v>0.05</v>
      </c>
      <c r="J583" s="72">
        <v>1000.0</v>
      </c>
      <c r="K583" s="73" t="s">
        <v>50</v>
      </c>
      <c r="L583" s="73"/>
      <c r="M583" s="73"/>
      <c r="N583" s="74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30.0" customHeight="1">
      <c r="A584" s="68"/>
      <c r="B584" s="68">
        <v>598.0</v>
      </c>
      <c r="C584" s="68"/>
      <c r="D584" s="69" t="str">
        <f>CONCATENATE(PROPER('BIÑAN INFO'!$G584),", ",PROPER('BIÑAN INFO'!$E584)," ",PROPER('BIÑAN INFO'!$F584),"."," (",UPPER('BIÑAN INFO'!$H584),")")</f>
        <v>Pulido, Lino . ()</v>
      </c>
      <c r="E584" s="70" t="s">
        <v>369</v>
      </c>
      <c r="F584" s="70"/>
      <c r="G584" s="70" t="s">
        <v>368</v>
      </c>
      <c r="H584" s="69"/>
      <c r="I584" s="71">
        <v>0.12</v>
      </c>
      <c r="J584" s="72">
        <v>1000.0</v>
      </c>
      <c r="K584" s="73"/>
      <c r="L584" s="73"/>
      <c r="M584" s="73"/>
      <c r="N584" s="74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30.0" customHeight="1">
      <c r="A585" s="68"/>
      <c r="B585" s="68">
        <v>599.0</v>
      </c>
      <c r="C585" s="68"/>
      <c r="D585" s="69" t="str">
        <f>CONCATENATE(PROPER('BIÑAN INFO'!$G585),", ",PROPER('BIÑAN INFO'!$E585)," ",PROPER('BIÑAN INFO'!$F585),"."," (",UPPER('BIÑAN INFO'!$H585),")")</f>
        <v>,  . ()</v>
      </c>
      <c r="E585" s="70"/>
      <c r="F585" s="70"/>
      <c r="G585" s="70"/>
      <c r="H585" s="69"/>
      <c r="I585" s="71">
        <v>0.12</v>
      </c>
      <c r="J585" s="72">
        <v>1000.0</v>
      </c>
      <c r="K585" s="73"/>
      <c r="L585" s="73"/>
      <c r="M585" s="73"/>
      <c r="N585" s="74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30.0" customHeight="1">
      <c r="A586" s="68"/>
      <c r="B586" s="68">
        <v>600.0</v>
      </c>
      <c r="C586" s="68"/>
      <c r="D586" s="69" t="str">
        <f>CONCATENATE(PROPER('BIÑAN INFO'!$G586),", ",PROPER('BIÑAN INFO'!$E586)," ",PROPER('BIÑAN INFO'!$F586),"."," (",UPPER('BIÑAN INFO'!$H586),")")</f>
        <v>,  . ()</v>
      </c>
      <c r="E586" s="70"/>
      <c r="F586" s="70"/>
      <c r="G586" s="70"/>
      <c r="H586" s="69"/>
      <c r="I586" s="71">
        <v>0.12</v>
      </c>
      <c r="J586" s="72">
        <v>1000.0</v>
      </c>
      <c r="K586" s="73"/>
      <c r="L586" s="73"/>
      <c r="M586" s="73"/>
      <c r="N586" s="74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30.0" customHeight="1">
      <c r="A587" s="68"/>
      <c r="B587" s="68">
        <v>601.0</v>
      </c>
      <c r="C587" s="68"/>
      <c r="D587" s="69" t="str">
        <f>CONCATENATE(PROPER('BIÑAN INFO'!$G587),", ",PROPER('BIÑAN INFO'!$E587)," ",PROPER('BIÑAN INFO'!$F587),"."," (",UPPER('BIÑAN INFO'!$H587),")")</f>
        <v>Redondo, Mark Francis . ()</v>
      </c>
      <c r="E587" s="70" t="s">
        <v>370</v>
      </c>
      <c r="F587" s="70"/>
      <c r="G587" s="70" t="s">
        <v>371</v>
      </c>
      <c r="H587" s="69"/>
      <c r="I587" s="71">
        <v>0.05</v>
      </c>
      <c r="J587" s="72">
        <v>1000.0</v>
      </c>
      <c r="K587" s="73"/>
      <c r="L587" s="73"/>
      <c r="M587" s="73"/>
      <c r="N587" s="74" t="s">
        <v>372</v>
      </c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30.0" customHeight="1">
      <c r="A588" s="68"/>
      <c r="B588" s="68">
        <v>602.0</v>
      </c>
      <c r="C588" s="68"/>
      <c r="D588" s="69" t="str">
        <f>CONCATENATE(PROPER('BIÑAN INFO'!$G588),", ",PROPER('BIÑAN INFO'!$E588)," ",PROPER('BIÑAN INFO'!$F588),"."," (",UPPER('BIÑAN INFO'!$H588),")")</f>
        <v>,  . ()</v>
      </c>
      <c r="E588" s="70"/>
      <c r="F588" s="70"/>
      <c r="G588" s="70"/>
      <c r="H588" s="70"/>
      <c r="I588" s="71">
        <v>0.12</v>
      </c>
      <c r="J588" s="72">
        <v>1000.0</v>
      </c>
      <c r="K588" s="73"/>
      <c r="L588" s="73"/>
      <c r="M588" s="73"/>
      <c r="N588" s="74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30.0" customHeight="1">
      <c r="A589" s="68"/>
      <c r="B589" s="68">
        <v>603.0</v>
      </c>
      <c r="C589" s="68"/>
      <c r="D589" s="69" t="str">
        <f>CONCATENATE(PROPER('BIÑAN INFO'!$G589),", ",PROPER('BIÑAN INFO'!$E589)," ",PROPER('BIÑAN INFO'!$F589),"."," (",UPPER('BIÑAN INFO'!$H589),")")</f>
        <v>,  . ()</v>
      </c>
      <c r="E589" s="70"/>
      <c r="F589" s="70"/>
      <c r="G589" s="70"/>
      <c r="H589" s="69"/>
      <c r="I589" s="71">
        <v>0.12</v>
      </c>
      <c r="J589" s="72">
        <v>1000.0</v>
      </c>
      <c r="K589" s="73"/>
      <c r="L589" s="73"/>
      <c r="M589" s="73"/>
      <c r="N589" s="74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30.0" customHeight="1">
      <c r="A590" s="68"/>
      <c r="B590" s="68">
        <v>604.0</v>
      </c>
      <c r="C590" s="68"/>
      <c r="D590" s="69" t="str">
        <f>CONCATENATE(PROPER('BIÑAN INFO'!$G590),", ",PROPER('BIÑAN INFO'!$E590)," ",PROPER('BIÑAN INFO'!$F590),"."," (",UPPER('BIÑAN INFO'!$H590),")")</f>
        <v>,  . ()</v>
      </c>
      <c r="E590" s="70"/>
      <c r="F590" s="70"/>
      <c r="G590" s="70"/>
      <c r="H590" s="69"/>
      <c r="I590" s="71">
        <v>0.12</v>
      </c>
      <c r="J590" s="72">
        <v>1000.0</v>
      </c>
      <c r="K590" s="73"/>
      <c r="L590" s="73"/>
      <c r="M590" s="73"/>
      <c r="N590" s="74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30.0" customHeight="1">
      <c r="A591" s="68"/>
      <c r="B591" s="68">
        <v>605.0</v>
      </c>
      <c r="C591" s="68"/>
      <c r="D591" s="69" t="str">
        <f>CONCATENATE(PROPER('BIÑAN INFO'!$G591),", ",PROPER('BIÑAN INFO'!$E591)," ",PROPER('BIÑAN INFO'!$F591),"."," (",UPPER('BIÑAN INFO'!$H591),")")</f>
        <v>,  . ()</v>
      </c>
      <c r="E591" s="70"/>
      <c r="F591" s="70"/>
      <c r="G591" s="70"/>
      <c r="H591" s="69"/>
      <c r="I591" s="71">
        <v>0.12</v>
      </c>
      <c r="J591" s="72">
        <v>1000.0</v>
      </c>
      <c r="K591" s="73"/>
      <c r="L591" s="73"/>
      <c r="M591" s="73"/>
      <c r="N591" s="74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30.0" customHeight="1">
      <c r="A592" s="68"/>
      <c r="B592" s="68">
        <v>606.0</v>
      </c>
      <c r="C592" s="68"/>
      <c r="D592" s="69" t="str">
        <f>CONCATENATE(PROPER('BIÑAN INFO'!$G592),", ",PROPER('BIÑAN INFO'!$E592)," ",PROPER('BIÑAN INFO'!$F592),"."," (",UPPER('BIÑAN INFO'!$H592),")")</f>
        <v>,  . ()</v>
      </c>
      <c r="E592" s="70"/>
      <c r="F592" s="70"/>
      <c r="G592" s="70"/>
      <c r="H592" s="69"/>
      <c r="I592" s="71">
        <v>0.12</v>
      </c>
      <c r="J592" s="72">
        <v>1000.0</v>
      </c>
      <c r="K592" s="73"/>
      <c r="L592" s="73"/>
      <c r="M592" s="73"/>
      <c r="N592" s="74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30.0" customHeight="1">
      <c r="A593" s="68"/>
      <c r="B593" s="68">
        <v>607.0</v>
      </c>
      <c r="C593" s="68"/>
      <c r="D593" s="69" t="str">
        <f>CONCATENATE(PROPER('BIÑAN INFO'!$G593),", ",PROPER('BIÑAN INFO'!$E593)," ",PROPER('BIÑAN INFO'!$F593),"."," (",UPPER('BIÑAN INFO'!$H593),")")</f>
        <v>Aliazas, Ninete . ()</v>
      </c>
      <c r="E593" s="70" t="s">
        <v>373</v>
      </c>
      <c r="F593" s="70"/>
      <c r="G593" s="70" t="s">
        <v>374</v>
      </c>
      <c r="H593" s="69"/>
      <c r="I593" s="71">
        <v>0.12</v>
      </c>
      <c r="J593" s="72">
        <v>1000.0</v>
      </c>
      <c r="K593" s="73"/>
      <c r="L593" s="73"/>
      <c r="M593" s="73"/>
      <c r="N593" s="74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30.0" customHeight="1">
      <c r="A594" s="68"/>
      <c r="B594" s="68">
        <v>608.0</v>
      </c>
      <c r="C594" s="68"/>
      <c r="D594" s="69" t="str">
        <f>CONCATENATE(PROPER('BIÑAN INFO'!$G594),", ",PROPER('BIÑAN INFO'!$E594)," ",PROPER('BIÑAN INFO'!$F594),"."," (",UPPER('BIÑAN INFO'!$H594),")")</f>
        <v>,  . ()</v>
      </c>
      <c r="E594" s="70"/>
      <c r="F594" s="70"/>
      <c r="G594" s="70"/>
      <c r="H594" s="69"/>
      <c r="I594" s="71">
        <v>0.12</v>
      </c>
      <c r="J594" s="72">
        <v>1000.0</v>
      </c>
      <c r="K594" s="73"/>
      <c r="L594" s="73"/>
      <c r="M594" s="73"/>
      <c r="N594" s="74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30.0" customHeight="1">
      <c r="A595" s="68"/>
      <c r="B595" s="68">
        <v>609.0</v>
      </c>
      <c r="C595" s="68"/>
      <c r="D595" s="69" t="str">
        <f>CONCATENATE(PROPER('BIÑAN INFO'!$G595),", ",PROPER('BIÑAN INFO'!$E595)," ",PROPER('BIÑAN INFO'!$F595),"."," (",UPPER('BIÑAN INFO'!$H595),")")</f>
        <v>,  . ()</v>
      </c>
      <c r="E595" s="70"/>
      <c r="F595" s="70"/>
      <c r="G595" s="70"/>
      <c r="H595" s="69"/>
      <c r="I595" s="71">
        <v>0.12</v>
      </c>
      <c r="J595" s="72">
        <v>1000.0</v>
      </c>
      <c r="K595" s="73"/>
      <c r="L595" s="73"/>
      <c r="M595" s="73"/>
      <c r="N595" s="74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30.0" customHeight="1">
      <c r="A596" s="68"/>
      <c r="B596" s="68">
        <v>610.0</v>
      </c>
      <c r="C596" s="68"/>
      <c r="D596" s="69" t="str">
        <f>CONCATENATE(PROPER('BIÑAN INFO'!$G596),", ",PROPER('BIÑAN INFO'!$E596)," ",PROPER('BIÑAN INFO'!$F596),"."," (",UPPER('BIÑAN INFO'!$H596),")")</f>
        <v>Bendel, Florencia . ()</v>
      </c>
      <c r="E596" s="70" t="s">
        <v>375</v>
      </c>
      <c r="F596" s="70"/>
      <c r="G596" s="70" t="s">
        <v>376</v>
      </c>
      <c r="H596" s="69"/>
      <c r="I596" s="71">
        <v>0.12</v>
      </c>
      <c r="J596" s="72">
        <v>1000.0</v>
      </c>
      <c r="K596" s="73"/>
      <c r="L596" s="73"/>
      <c r="M596" s="73"/>
      <c r="N596" s="74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30.0" customHeight="1">
      <c r="A597" s="68"/>
      <c r="B597" s="68">
        <v>611.0</v>
      </c>
      <c r="C597" s="68"/>
      <c r="D597" s="69" t="str">
        <f>CONCATENATE(PROPER('BIÑAN INFO'!$G597),", ",PROPER('BIÑAN INFO'!$E597)," ",PROPER('BIÑAN INFO'!$F597),"."," (",UPPER('BIÑAN INFO'!$H597),")")</f>
        <v>,  . ()</v>
      </c>
      <c r="E597" s="70"/>
      <c r="F597" s="70"/>
      <c r="G597" s="70"/>
      <c r="H597" s="69"/>
      <c r="I597" s="71">
        <v>0.12</v>
      </c>
      <c r="J597" s="72">
        <v>1000.0</v>
      </c>
      <c r="K597" s="73"/>
      <c r="L597" s="73"/>
      <c r="M597" s="73"/>
      <c r="N597" s="74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30.0" customHeight="1">
      <c r="A598" s="68"/>
      <c r="B598" s="68">
        <v>612.0</v>
      </c>
      <c r="C598" s="68"/>
      <c r="D598" s="69" t="str">
        <f>CONCATENATE(PROPER('BIÑAN INFO'!$G598),", ",PROPER('BIÑAN INFO'!$E598)," ",PROPER('BIÑAN INFO'!$F598),"."," (",UPPER('BIÑAN INFO'!$H598),")")</f>
        <v>,  . ()</v>
      </c>
      <c r="E598" s="70"/>
      <c r="F598" s="70"/>
      <c r="G598" s="70"/>
      <c r="H598" s="69"/>
      <c r="I598" s="71">
        <v>0.12</v>
      </c>
      <c r="J598" s="72">
        <v>1000.0</v>
      </c>
      <c r="K598" s="73"/>
      <c r="L598" s="73"/>
      <c r="M598" s="73"/>
      <c r="N598" s="74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30.0" customHeight="1">
      <c r="A599" s="68"/>
      <c r="B599" s="68">
        <v>613.0</v>
      </c>
      <c r="C599" s="68"/>
      <c r="D599" s="69" t="str">
        <f>CONCATENATE(PROPER('BIÑAN INFO'!$G599),", ",PROPER('BIÑAN INFO'!$E599)," ",PROPER('BIÑAN INFO'!$F599),"."," (",UPPER('BIÑAN INFO'!$H599),")")</f>
        <v>,  . ()</v>
      </c>
      <c r="E599" s="70"/>
      <c r="F599" s="70"/>
      <c r="G599" s="70"/>
      <c r="H599" s="69"/>
      <c r="I599" s="71">
        <v>0.12</v>
      </c>
      <c r="J599" s="72">
        <v>1000.0</v>
      </c>
      <c r="K599" s="73"/>
      <c r="L599" s="73"/>
      <c r="M599" s="73"/>
      <c r="N599" s="74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30.0" customHeight="1">
      <c r="A600" s="68"/>
      <c r="B600" s="68">
        <v>614.0</v>
      </c>
      <c r="C600" s="68"/>
      <c r="D600" s="69" t="str">
        <f>CONCATENATE(PROPER('BIÑAN INFO'!$G600),", ",PROPER('BIÑAN INFO'!$E600)," ",PROPER('BIÑAN INFO'!$F600),"."," (",UPPER('BIÑAN INFO'!$H600),")")</f>
        <v>,  . ()</v>
      </c>
      <c r="E600" s="70"/>
      <c r="F600" s="70"/>
      <c r="G600" s="70"/>
      <c r="H600" s="69"/>
      <c r="I600" s="71">
        <v>0.12</v>
      </c>
      <c r="J600" s="72">
        <v>1000.0</v>
      </c>
      <c r="K600" s="73"/>
      <c r="L600" s="73"/>
      <c r="M600" s="73"/>
      <c r="N600" s="74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30.0" customHeight="1">
      <c r="A601" s="68"/>
      <c r="B601" s="68">
        <v>615.0</v>
      </c>
      <c r="C601" s="68"/>
      <c r="D601" s="69" t="str">
        <f>CONCATENATE(PROPER('BIÑAN INFO'!$G601),", ",PROPER('BIÑAN INFO'!$E601)," ",PROPER('BIÑAN INFO'!$F601),"."," (",UPPER('BIÑAN INFO'!$H601),")")</f>
        <v>,  . ()</v>
      </c>
      <c r="E601" s="70"/>
      <c r="F601" s="70"/>
      <c r="G601" s="70"/>
      <c r="H601" s="70"/>
      <c r="I601" s="71">
        <v>0.12</v>
      </c>
      <c r="J601" s="72">
        <v>1000.0</v>
      </c>
      <c r="K601" s="73"/>
      <c r="L601" s="73"/>
      <c r="M601" s="73"/>
      <c r="N601" s="74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30.0" customHeight="1">
      <c r="A602" s="68"/>
      <c r="B602" s="68">
        <v>616.0</v>
      </c>
      <c r="C602" s="68"/>
      <c r="D602" s="69" t="str">
        <f>CONCATENATE(PROPER('BIÑAN INFO'!$G602),", ",PROPER('BIÑAN INFO'!$E602)," ",PROPER('BIÑAN INFO'!$F602),"."," (",UPPER('BIÑAN INFO'!$H602),")")</f>
        <v>,  . ()</v>
      </c>
      <c r="E602" s="70"/>
      <c r="F602" s="70"/>
      <c r="G602" s="70"/>
      <c r="H602" s="70"/>
      <c r="I602" s="71">
        <v>0.12</v>
      </c>
      <c r="J602" s="72">
        <v>1000.0</v>
      </c>
      <c r="K602" s="73"/>
      <c r="L602" s="73"/>
      <c r="M602" s="73"/>
      <c r="N602" s="74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30.0" customHeight="1">
      <c r="A603" s="68"/>
      <c r="B603" s="68">
        <v>617.0</v>
      </c>
      <c r="C603" s="68"/>
      <c r="D603" s="69" t="str">
        <f>CONCATENATE(PROPER('BIÑAN INFO'!$G603),", ",PROPER('BIÑAN INFO'!$E603)," ",PROPER('BIÑAN INFO'!$F603),"."," (",UPPER('BIÑAN INFO'!$H603),")")</f>
        <v>,  . ()</v>
      </c>
      <c r="E603" s="70"/>
      <c r="F603" s="70"/>
      <c r="G603" s="70"/>
      <c r="H603" s="70"/>
      <c r="I603" s="71">
        <v>0.12</v>
      </c>
      <c r="J603" s="72">
        <v>1000.0</v>
      </c>
      <c r="K603" s="73"/>
      <c r="L603" s="73"/>
      <c r="M603" s="73"/>
      <c r="N603" s="74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30.0" customHeight="1">
      <c r="A604" s="68"/>
      <c r="B604" s="68">
        <v>618.0</v>
      </c>
      <c r="C604" s="68"/>
      <c r="D604" s="69" t="str">
        <f>CONCATENATE(PROPER('BIÑAN INFO'!$G604),", ",PROPER('BIÑAN INFO'!$E604)," ",PROPER('BIÑAN INFO'!$F604),"."," (",UPPER('BIÑAN INFO'!$H604),")")</f>
        <v>,  . ()</v>
      </c>
      <c r="E604" s="70"/>
      <c r="F604" s="70"/>
      <c r="G604" s="70"/>
      <c r="H604" s="70"/>
      <c r="I604" s="71">
        <v>0.12</v>
      </c>
      <c r="J604" s="72">
        <v>1000.0</v>
      </c>
      <c r="K604" s="73"/>
      <c r="L604" s="73"/>
      <c r="M604" s="73"/>
      <c r="N604" s="74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30.0" customHeight="1">
      <c r="A605" s="68"/>
      <c r="B605" s="68">
        <v>619.0</v>
      </c>
      <c r="C605" s="68"/>
      <c r="D605" s="69" t="str">
        <f>CONCATENATE(PROPER('BIÑAN INFO'!$G605),", ",PROPER('BIÑAN INFO'!$E605)," ",PROPER('BIÑAN INFO'!$F605),"."," (",UPPER('BIÑAN INFO'!$H605),")")</f>
        <v>Analou, Coastal . ()</v>
      </c>
      <c r="E605" s="70" t="s">
        <v>377</v>
      </c>
      <c r="F605" s="70"/>
      <c r="G605" s="69" t="s">
        <v>378</v>
      </c>
      <c r="H605" s="69"/>
      <c r="I605" s="71">
        <v>0.12</v>
      </c>
      <c r="J605" s="72">
        <v>1000.0</v>
      </c>
      <c r="K605" s="73"/>
      <c r="L605" s="73"/>
      <c r="M605" s="73"/>
      <c r="N605" s="74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30.0" customHeight="1">
      <c r="A606" s="68"/>
      <c r="B606" s="68">
        <v>620.0</v>
      </c>
      <c r="C606" s="68"/>
      <c r="D606" s="69" t="str">
        <f>CONCATENATE(PROPER('BIÑAN INFO'!$G606),", ",PROPER('BIÑAN INFO'!$E606)," ",PROPER('BIÑAN INFO'!$F606),"."," (",UPPER('BIÑAN INFO'!$H606),")")</f>
        <v>Andaya, Mary Rose . ()</v>
      </c>
      <c r="E606" s="70" t="s">
        <v>379</v>
      </c>
      <c r="F606" s="70"/>
      <c r="G606" s="69" t="s">
        <v>380</v>
      </c>
      <c r="H606" s="69"/>
      <c r="I606" s="71">
        <v>0.12</v>
      </c>
      <c r="J606" s="72">
        <v>1000.0</v>
      </c>
      <c r="K606" s="73"/>
      <c r="L606" s="73"/>
      <c r="M606" s="73"/>
      <c r="N606" s="74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30.0" customHeight="1">
      <c r="A607" s="68"/>
      <c r="B607" s="68">
        <v>621.0</v>
      </c>
      <c r="C607" s="68"/>
      <c r="D607" s="69" t="str">
        <f>CONCATENATE(PROPER('BIÑAN INFO'!$G607),", ",PROPER('BIÑAN INFO'!$E607)," ",PROPER('BIÑAN INFO'!$F607),"."," (",UPPER('BIÑAN INFO'!$H607),")")</f>
        <v>Babanto, Raymond . ()</v>
      </c>
      <c r="E607" s="70" t="s">
        <v>381</v>
      </c>
      <c r="F607" s="70"/>
      <c r="G607" s="69" t="s">
        <v>382</v>
      </c>
      <c r="H607" s="69"/>
      <c r="I607" s="71">
        <v>0.12</v>
      </c>
      <c r="J607" s="72">
        <v>1000.0</v>
      </c>
      <c r="K607" s="73"/>
      <c r="L607" s="73"/>
      <c r="M607" s="73"/>
      <c r="N607" s="74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30.0" customHeight="1">
      <c r="A608" s="68"/>
      <c r="B608" s="68">
        <v>622.0</v>
      </c>
      <c r="C608" s="68"/>
      <c r="D608" s="69" t="str">
        <f>CONCATENATE(PROPER('BIÑAN INFO'!$G608),", ",PROPER('BIÑAN INFO'!$E608)," ",PROPER('BIÑAN INFO'!$F608),"."," (",UPPER('BIÑAN INFO'!$H608),")")</f>
        <v>Aguiman, Gemima . ()</v>
      </c>
      <c r="E608" s="70" t="s">
        <v>383</v>
      </c>
      <c r="F608" s="70"/>
      <c r="G608" s="69" t="s">
        <v>384</v>
      </c>
      <c r="H608" s="69"/>
      <c r="I608" s="71">
        <v>0.12</v>
      </c>
      <c r="J608" s="72">
        <v>1000.0</v>
      </c>
      <c r="K608" s="73"/>
      <c r="L608" s="73"/>
      <c r="M608" s="73"/>
      <c r="N608" s="74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30.0" customHeight="1">
      <c r="A609" s="68"/>
      <c r="B609" s="68">
        <v>623.0</v>
      </c>
      <c r="C609" s="68"/>
      <c r="D609" s="69" t="str">
        <f>CONCATENATE(PROPER('BIÑAN INFO'!$G609),", ",PROPER('BIÑAN INFO'!$E609)," ",PROPER('BIÑAN INFO'!$F609),"."," (",UPPER('BIÑAN INFO'!$H609),")")</f>
        <v>,  . ()</v>
      </c>
      <c r="E609" s="70"/>
      <c r="F609" s="70"/>
      <c r="G609" s="69"/>
      <c r="H609" s="69"/>
      <c r="I609" s="71">
        <v>0.12</v>
      </c>
      <c r="J609" s="72">
        <v>1000.0</v>
      </c>
      <c r="K609" s="73"/>
      <c r="L609" s="73"/>
      <c r="M609" s="73"/>
      <c r="N609" s="74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30.0" customHeight="1">
      <c r="A610" s="68"/>
      <c r="B610" s="68">
        <v>624.0</v>
      </c>
      <c r="C610" s="68"/>
      <c r="D610" s="69" t="str">
        <f>CONCATENATE(PROPER('BIÑAN INFO'!$G610),", ",PROPER('BIÑAN INFO'!$E610)," ",PROPER('BIÑAN INFO'!$F610),"."," (",UPPER('BIÑAN INFO'!$H610),")")</f>
        <v>,  . ()</v>
      </c>
      <c r="E610" s="70"/>
      <c r="F610" s="70"/>
      <c r="G610" s="70"/>
      <c r="H610" s="69"/>
      <c r="I610" s="71">
        <v>0.12</v>
      </c>
      <c r="J610" s="72">
        <v>1000.0</v>
      </c>
      <c r="K610" s="73"/>
      <c r="L610" s="73"/>
      <c r="M610" s="73"/>
      <c r="N610" s="74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30.0" customHeight="1">
      <c r="A611" s="68"/>
      <c r="B611" s="68">
        <v>625.0</v>
      </c>
      <c r="C611" s="68"/>
      <c r="D611" s="69" t="str">
        <f>CONCATENATE(PROPER('BIÑAN INFO'!$G611),", ",PROPER('BIÑAN INFO'!$E611)," ",PROPER('BIÑAN INFO'!$F611),"."," (",UPPER('BIÑAN INFO'!$H611),")")</f>
        <v>,  . ()</v>
      </c>
      <c r="E611" s="70"/>
      <c r="F611" s="70"/>
      <c r="G611" s="70"/>
      <c r="H611" s="69"/>
      <c r="I611" s="71">
        <v>0.12</v>
      </c>
      <c r="J611" s="72">
        <v>1000.0</v>
      </c>
      <c r="K611" s="73"/>
      <c r="L611" s="73"/>
      <c r="M611" s="73"/>
      <c r="N611" s="74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30.0" customHeight="1">
      <c r="A612" s="68"/>
      <c r="B612" s="68">
        <v>626.0</v>
      </c>
      <c r="C612" s="68"/>
      <c r="D612" s="69" t="str">
        <f>CONCATENATE(PROPER('BIÑAN INFO'!$G612),", ",PROPER('BIÑAN INFO'!$E612)," ",PROPER('BIÑAN INFO'!$F612),"."," (",UPPER('BIÑAN INFO'!$H612),")")</f>
        <v>,  . ()</v>
      </c>
      <c r="E612" s="70"/>
      <c r="F612" s="70"/>
      <c r="G612" s="70"/>
      <c r="H612" s="69"/>
      <c r="I612" s="71">
        <v>0.12</v>
      </c>
      <c r="J612" s="72">
        <v>1000.0</v>
      </c>
      <c r="K612" s="73"/>
      <c r="L612" s="73"/>
      <c r="M612" s="73"/>
      <c r="N612" s="74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30.0" customHeight="1">
      <c r="A613" s="68"/>
      <c r="B613" s="68">
        <v>627.0</v>
      </c>
      <c r="C613" s="68"/>
      <c r="D613" s="69" t="str">
        <f>CONCATENATE(PROPER('BIÑAN INFO'!$G613),", ",PROPER('BIÑAN INFO'!$E613)," ",PROPER('BIÑAN INFO'!$F613),"."," (",UPPER('BIÑAN INFO'!$H613),")")</f>
        <v>Semcon, Bartolazo . ()</v>
      </c>
      <c r="E613" s="70" t="s">
        <v>385</v>
      </c>
      <c r="F613" s="70"/>
      <c r="G613" s="70" t="s">
        <v>386</v>
      </c>
      <c r="H613" s="69"/>
      <c r="I613" s="71">
        <v>0.12</v>
      </c>
      <c r="J613" s="72">
        <v>1000.0</v>
      </c>
      <c r="K613" s="73"/>
      <c r="L613" s="73"/>
      <c r="M613" s="73"/>
      <c r="N613" s="74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30.0" customHeight="1">
      <c r="A614" s="68"/>
      <c r="B614" s="68">
        <v>628.0</v>
      </c>
      <c r="C614" s="68"/>
      <c r="D614" s="69" t="str">
        <f>CONCATENATE(PROPER('BIÑAN INFO'!$G614),", ",PROPER('BIÑAN INFO'!$E614)," ",PROPER('BIÑAN INFO'!$F614),"."," (",UPPER('BIÑAN INFO'!$H614),")")</f>
        <v>,  . ()</v>
      </c>
      <c r="E614" s="70"/>
      <c r="F614" s="70"/>
      <c r="G614" s="70"/>
      <c r="H614" s="69"/>
      <c r="I614" s="71">
        <v>0.12</v>
      </c>
      <c r="J614" s="72">
        <v>1000.0</v>
      </c>
      <c r="K614" s="73"/>
      <c r="L614" s="73"/>
      <c r="M614" s="73"/>
      <c r="N614" s="74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30.0" customHeight="1">
      <c r="A615" s="68"/>
      <c r="B615" s="68">
        <v>629.0</v>
      </c>
      <c r="C615" s="68"/>
      <c r="D615" s="69" t="str">
        <f>CONCATENATE(PROPER('BIÑAN INFO'!$G615),", ",PROPER('BIÑAN INFO'!$E615)," ",PROPER('BIÑAN INFO'!$F615),"."," (",UPPER('BIÑAN INFO'!$H615),")")</f>
        <v>Ancheta, Irene . ()</v>
      </c>
      <c r="E615" s="70" t="s">
        <v>46</v>
      </c>
      <c r="F615" s="70"/>
      <c r="G615" s="70" t="s">
        <v>387</v>
      </c>
      <c r="H615" s="69"/>
      <c r="I615" s="71">
        <v>0.12</v>
      </c>
      <c r="J615" s="72">
        <v>1000.0</v>
      </c>
      <c r="K615" s="73"/>
      <c r="L615" s="73"/>
      <c r="M615" s="73"/>
      <c r="N615" s="74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30.0" customHeight="1">
      <c r="A616" s="68"/>
      <c r="B616" s="68">
        <v>630.0</v>
      </c>
      <c r="C616" s="68"/>
      <c r="D616" s="69" t="str">
        <f>CONCATENATE(PROPER('BIÑAN INFO'!$G616),", ",PROPER('BIÑAN INFO'!$E616)," ",PROPER('BIÑAN INFO'!$F616),"."," (",UPPER('BIÑAN INFO'!$H616),")")</f>
        <v>,  . ()</v>
      </c>
      <c r="E616" s="70"/>
      <c r="F616" s="70"/>
      <c r="G616" s="70"/>
      <c r="H616" s="69"/>
      <c r="I616" s="71">
        <v>0.12</v>
      </c>
      <c r="J616" s="72">
        <v>1000.0</v>
      </c>
      <c r="K616" s="73"/>
      <c r="L616" s="73"/>
      <c r="M616" s="73"/>
      <c r="N616" s="74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30.0" customHeight="1">
      <c r="A617" s="68"/>
      <c r="B617" s="68">
        <v>631.0</v>
      </c>
      <c r="C617" s="68"/>
      <c r="D617" s="69" t="str">
        <f>CONCATENATE(PROPER('BIÑAN INFO'!$G617),", ",PROPER('BIÑAN INFO'!$E617)," ",PROPER('BIÑAN INFO'!$F617),"."," (",UPPER('BIÑAN INFO'!$H617),")")</f>
        <v>,  . ()</v>
      </c>
      <c r="E617" s="70"/>
      <c r="F617" s="70"/>
      <c r="G617" s="70"/>
      <c r="H617" s="69"/>
      <c r="I617" s="71">
        <v>0.12</v>
      </c>
      <c r="J617" s="72">
        <v>1000.0</v>
      </c>
      <c r="K617" s="73"/>
      <c r="L617" s="73"/>
      <c r="M617" s="73"/>
      <c r="N617" s="74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30.0" customHeight="1">
      <c r="A618" s="68"/>
      <c r="B618" s="68">
        <v>632.0</v>
      </c>
      <c r="C618" s="68"/>
      <c r="D618" s="69" t="str">
        <f>CONCATENATE(PROPER('BIÑAN INFO'!$G618),", ",PROPER('BIÑAN INFO'!$E618)," ",PROPER('BIÑAN INFO'!$F618),"."," (",UPPER('BIÑAN INFO'!$H618),")")</f>
        <v>,  . ()</v>
      </c>
      <c r="E618" s="70"/>
      <c r="F618" s="70"/>
      <c r="G618" s="70"/>
      <c r="H618" s="69"/>
      <c r="I618" s="71">
        <v>0.12</v>
      </c>
      <c r="J618" s="72">
        <v>1000.0</v>
      </c>
      <c r="K618" s="73"/>
      <c r="L618" s="73"/>
      <c r="M618" s="73"/>
      <c r="N618" s="74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30.0" customHeight="1">
      <c r="A619" s="68"/>
      <c r="B619" s="68">
        <v>633.0</v>
      </c>
      <c r="C619" s="68"/>
      <c r="D619" s="69" t="str">
        <f>CONCATENATE(PROPER('BIÑAN INFO'!$G619),", ",PROPER('BIÑAN INFO'!$E619)," ",PROPER('BIÑAN INFO'!$F619),"."," (",UPPER('BIÑAN INFO'!$H619),")")</f>
        <v>,  . ()</v>
      </c>
      <c r="E619" s="70"/>
      <c r="F619" s="70"/>
      <c r="G619" s="70"/>
      <c r="H619" s="69"/>
      <c r="I619" s="71">
        <v>0.12</v>
      </c>
      <c r="J619" s="72">
        <v>1000.0</v>
      </c>
      <c r="K619" s="73"/>
      <c r="L619" s="73"/>
      <c r="M619" s="73"/>
      <c r="N619" s="74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30.0" customHeight="1">
      <c r="A620" s="68"/>
      <c r="B620" s="68">
        <v>634.0</v>
      </c>
      <c r="C620" s="68"/>
      <c r="D620" s="69" t="str">
        <f>CONCATENATE(PROPER('BIÑAN INFO'!$G620),", ",PROPER('BIÑAN INFO'!$E620)," ",PROPER('BIÑAN INFO'!$F620),"."," (",UPPER('BIÑAN INFO'!$H620),")")</f>
        <v>,  . ()</v>
      </c>
      <c r="E620" s="70"/>
      <c r="F620" s="70"/>
      <c r="G620" s="70"/>
      <c r="H620" s="69"/>
      <c r="I620" s="71">
        <v>0.12</v>
      </c>
      <c r="J620" s="72">
        <v>1000.0</v>
      </c>
      <c r="K620" s="73"/>
      <c r="L620" s="73"/>
      <c r="M620" s="73"/>
      <c r="N620" s="74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30.0" customHeight="1">
      <c r="A621" s="68"/>
      <c r="B621" s="68">
        <v>635.0</v>
      </c>
      <c r="C621" s="68"/>
      <c r="D621" s="69" t="str">
        <f>CONCATENATE(PROPER('BIÑAN INFO'!$G621),", ",PROPER('BIÑAN INFO'!$E621)," ",PROPER('BIÑAN INFO'!$F621),"."," (",UPPER('BIÑAN INFO'!$H621),")")</f>
        <v>,  . ()</v>
      </c>
      <c r="E621" s="70"/>
      <c r="F621" s="70"/>
      <c r="G621" s="70"/>
      <c r="H621" s="69"/>
      <c r="I621" s="71">
        <v>0.12</v>
      </c>
      <c r="J621" s="72">
        <v>1000.0</v>
      </c>
      <c r="K621" s="73"/>
      <c r="L621" s="73"/>
      <c r="M621" s="73"/>
      <c r="N621" s="74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30.0" customHeight="1">
      <c r="A622" s="68"/>
      <c r="B622" s="68">
        <v>636.0</v>
      </c>
      <c r="C622" s="68"/>
      <c r="D622" s="69" t="str">
        <f>CONCATENATE(PROPER('BIÑAN INFO'!$G622),", ",PROPER('BIÑAN INFO'!$E622)," ",PROPER('BIÑAN INFO'!$F622),"."," (",UPPER('BIÑAN INFO'!$H622),")")</f>
        <v>,  . ()</v>
      </c>
      <c r="E622" s="70"/>
      <c r="F622" s="70"/>
      <c r="G622" s="70"/>
      <c r="H622" s="69"/>
      <c r="I622" s="71">
        <v>0.12</v>
      </c>
      <c r="J622" s="72">
        <v>1000.0</v>
      </c>
      <c r="K622" s="73"/>
      <c r="L622" s="73"/>
      <c r="M622" s="73"/>
      <c r="N622" s="74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30.0" customHeight="1">
      <c r="A623" s="68"/>
      <c r="B623" s="68">
        <v>637.0</v>
      </c>
      <c r="C623" s="68"/>
      <c r="D623" s="69" t="str">
        <f>CONCATENATE(PROPER('BIÑAN INFO'!$G623),", ",PROPER('BIÑAN INFO'!$E623)," ",PROPER('BIÑAN INFO'!$F623),"."," (",UPPER('BIÑAN INFO'!$H623),")")</f>
        <v>,  . ()</v>
      </c>
      <c r="E623" s="70"/>
      <c r="F623" s="70"/>
      <c r="G623" s="69"/>
      <c r="H623" s="69"/>
      <c r="I623" s="71">
        <v>0.12</v>
      </c>
      <c r="J623" s="72">
        <v>1000.0</v>
      </c>
      <c r="K623" s="73"/>
      <c r="L623" s="73"/>
      <c r="M623" s="73"/>
      <c r="N623" s="74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30.0" customHeight="1">
      <c r="A624" s="68"/>
      <c r="B624" s="68">
        <v>638.0</v>
      </c>
      <c r="C624" s="68"/>
      <c r="D624" s="69" t="str">
        <f>CONCATENATE(PROPER('BIÑAN INFO'!$G624),", ",PROPER('BIÑAN INFO'!$E624)," ",PROPER('BIÑAN INFO'!$F624),"."," (",UPPER('BIÑAN INFO'!$H624),")")</f>
        <v>,  . ()</v>
      </c>
      <c r="E624" s="70"/>
      <c r="F624" s="70"/>
      <c r="G624" s="69"/>
      <c r="H624" s="69"/>
      <c r="I624" s="71">
        <v>0.12</v>
      </c>
      <c r="J624" s="72">
        <v>1000.0</v>
      </c>
      <c r="K624" s="73"/>
      <c r="L624" s="73"/>
      <c r="M624" s="73"/>
      <c r="N624" s="74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30.0" customHeight="1">
      <c r="A625" s="68"/>
      <c r="B625" s="68">
        <v>639.0</v>
      </c>
      <c r="C625" s="68"/>
      <c r="D625" s="69" t="str">
        <f>CONCATENATE(PROPER('BIÑAN INFO'!$G625),", ",PROPER('BIÑAN INFO'!$E625)," ",PROPER('BIÑAN INFO'!$F625),"."," (",UPPER('BIÑAN INFO'!$H625),")")</f>
        <v>,  . ()</v>
      </c>
      <c r="E625" s="70"/>
      <c r="F625" s="70"/>
      <c r="G625" s="69"/>
      <c r="H625" s="69"/>
      <c r="I625" s="71">
        <v>0.12</v>
      </c>
      <c r="J625" s="72">
        <v>1000.0</v>
      </c>
      <c r="K625" s="73"/>
      <c r="L625" s="73"/>
      <c r="M625" s="73"/>
      <c r="N625" s="74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30.0" customHeight="1">
      <c r="A626" s="68"/>
      <c r="B626" s="68">
        <v>640.0</v>
      </c>
      <c r="C626" s="68"/>
      <c r="D626" s="69" t="str">
        <f>CONCATENATE(PROPER('BIÑAN INFO'!$G626),", ",PROPER('BIÑAN INFO'!$E626)," ",PROPER('BIÑAN INFO'!$F626),"."," (",UPPER('BIÑAN INFO'!$H626),")")</f>
        <v>,  . ()</v>
      </c>
      <c r="E626" s="70"/>
      <c r="F626" s="70"/>
      <c r="G626" s="69"/>
      <c r="H626" s="69"/>
      <c r="I626" s="71">
        <v>0.12</v>
      </c>
      <c r="J626" s="72">
        <v>1000.0</v>
      </c>
      <c r="K626" s="73"/>
      <c r="L626" s="73"/>
      <c r="M626" s="73"/>
      <c r="N626" s="74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30.0" customHeight="1">
      <c r="A627" s="68"/>
      <c r="B627" s="68">
        <v>641.0</v>
      </c>
      <c r="C627" s="68"/>
      <c r="D627" s="69" t="str">
        <f>CONCATENATE(PROPER('BIÑAN INFO'!$G627),", ",PROPER('BIÑAN INFO'!$E627)," ",PROPER('BIÑAN INFO'!$F627),"."," (",UPPER('BIÑAN INFO'!$H627),")")</f>
        <v>,  . ()</v>
      </c>
      <c r="E627" s="70"/>
      <c r="F627" s="70"/>
      <c r="G627" s="69"/>
      <c r="H627" s="69"/>
      <c r="I627" s="71">
        <v>0.12</v>
      </c>
      <c r="J627" s="72">
        <v>1000.0</v>
      </c>
      <c r="K627" s="73"/>
      <c r="L627" s="73"/>
      <c r="M627" s="73"/>
      <c r="N627" s="74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30.0" customHeight="1">
      <c r="A628" s="68"/>
      <c r="B628" s="68">
        <v>642.0</v>
      </c>
      <c r="C628" s="68"/>
      <c r="D628" s="69" t="str">
        <f>CONCATENATE(PROPER('BIÑAN INFO'!$G628),", ",PROPER('BIÑAN INFO'!$E628)," ",PROPER('BIÑAN INFO'!$F628),"."," (",UPPER('BIÑAN INFO'!$H628),")")</f>
        <v>,  . ()</v>
      </c>
      <c r="E628" s="70"/>
      <c r="F628" s="70"/>
      <c r="G628" s="69"/>
      <c r="H628" s="69"/>
      <c r="I628" s="71">
        <v>0.12</v>
      </c>
      <c r="J628" s="72">
        <v>1000.0</v>
      </c>
      <c r="K628" s="73"/>
      <c r="L628" s="73"/>
      <c r="M628" s="73"/>
      <c r="N628" s="74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30.0" customHeight="1">
      <c r="A629" s="68"/>
      <c r="B629" s="68">
        <v>643.0</v>
      </c>
      <c r="C629" s="68"/>
      <c r="D629" s="69" t="str">
        <f>CONCATENATE(PROPER('BIÑAN INFO'!$G629),", ",PROPER('BIÑAN INFO'!$E629)," ",PROPER('BIÑAN INFO'!$F629),"."," (",UPPER('BIÑAN INFO'!$H629),")")</f>
        <v>Bejasa, Regina . ()</v>
      </c>
      <c r="E629" s="70" t="s">
        <v>388</v>
      </c>
      <c r="F629" s="70"/>
      <c r="G629" s="70" t="s">
        <v>389</v>
      </c>
      <c r="H629" s="70"/>
      <c r="I629" s="71">
        <v>0.12</v>
      </c>
      <c r="J629" s="72">
        <v>1000.0</v>
      </c>
      <c r="K629" s="73"/>
      <c r="L629" s="73"/>
      <c r="M629" s="73"/>
      <c r="N629" s="74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30.0" customHeight="1">
      <c r="A630" s="68"/>
      <c r="B630" s="68">
        <v>644.0</v>
      </c>
      <c r="C630" s="68"/>
      <c r="D630" s="69" t="str">
        <f>CONCATENATE(PROPER('BIÑAN INFO'!$G630),", ",PROPER('BIÑAN INFO'!$E630)," ",PROPER('BIÑAN INFO'!$F630),"."," (",UPPER('BIÑAN INFO'!$H630),")")</f>
        <v>,  . ()</v>
      </c>
      <c r="E630" s="70"/>
      <c r="F630" s="70"/>
      <c r="G630" s="70"/>
      <c r="H630" s="70"/>
      <c r="I630" s="71">
        <v>0.12</v>
      </c>
      <c r="J630" s="72">
        <v>1000.0</v>
      </c>
      <c r="K630" s="73"/>
      <c r="L630" s="73"/>
      <c r="M630" s="73"/>
      <c r="N630" s="74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30.0" customHeight="1">
      <c r="A631" s="68"/>
      <c r="B631" s="68">
        <v>645.0</v>
      </c>
      <c r="C631" s="68"/>
      <c r="D631" s="69" t="str">
        <f>CONCATENATE(PROPER('BIÑAN INFO'!$G631),", ",PROPER('BIÑAN INFO'!$E631)," ",PROPER('BIÑAN INFO'!$F631),"."," (",UPPER('BIÑAN INFO'!$H631),")")</f>
        <v>,  . ()</v>
      </c>
      <c r="E631" s="70"/>
      <c r="F631" s="70"/>
      <c r="G631" s="70"/>
      <c r="H631" s="70"/>
      <c r="I631" s="71">
        <v>0.12</v>
      </c>
      <c r="J631" s="72">
        <v>1000.0</v>
      </c>
      <c r="K631" s="73"/>
      <c r="L631" s="73"/>
      <c r="M631" s="73"/>
      <c r="N631" s="74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30.0" customHeight="1">
      <c r="A632" s="68"/>
      <c r="B632" s="68">
        <v>646.0</v>
      </c>
      <c r="C632" s="68"/>
      <c r="D632" s="69" t="str">
        <f>CONCATENATE(PROPER('BIÑAN INFO'!$G632),", ",PROPER('BIÑAN INFO'!$E632)," ",PROPER('BIÑAN INFO'!$F632),"."," (",UPPER('BIÑAN INFO'!$H632),")")</f>
        <v>,  . ()</v>
      </c>
      <c r="E632" s="70"/>
      <c r="F632" s="70"/>
      <c r="G632" s="70"/>
      <c r="H632" s="70"/>
      <c r="I632" s="71">
        <v>0.12</v>
      </c>
      <c r="J632" s="72">
        <v>1000.0</v>
      </c>
      <c r="K632" s="73"/>
      <c r="L632" s="73"/>
      <c r="M632" s="73"/>
      <c r="N632" s="74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30.0" customHeight="1">
      <c r="A633" s="68"/>
      <c r="B633" s="68">
        <v>647.0</v>
      </c>
      <c r="C633" s="68"/>
      <c r="D633" s="69" t="str">
        <f>CONCATENATE(PROPER('BIÑAN INFO'!$G633),", ",PROPER('BIÑAN INFO'!$E633)," ",PROPER('BIÑAN INFO'!$F633),"."," (",UPPER('BIÑAN INFO'!$H633),")")</f>
        <v>,  . ()</v>
      </c>
      <c r="E633" s="70"/>
      <c r="F633" s="70"/>
      <c r="G633" s="70"/>
      <c r="H633" s="70"/>
      <c r="I633" s="71">
        <v>0.12</v>
      </c>
      <c r="J633" s="72">
        <v>1000.0</v>
      </c>
      <c r="K633" s="73"/>
      <c r="L633" s="73"/>
      <c r="M633" s="73"/>
      <c r="N633" s="74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30.0" customHeight="1">
      <c r="A634" s="68"/>
      <c r="B634" s="68">
        <v>648.0</v>
      </c>
      <c r="C634" s="68"/>
      <c r="D634" s="69" t="str">
        <f>CONCATENATE(PROPER('BIÑAN INFO'!$G634),", ",PROPER('BIÑAN INFO'!$E634)," ",PROPER('BIÑAN INFO'!$F634),"."," (",UPPER('BIÑAN INFO'!$H634),")")</f>
        <v>Barretto, Norman . ()</v>
      </c>
      <c r="E634" s="70" t="s">
        <v>390</v>
      </c>
      <c r="F634" s="70"/>
      <c r="G634" s="70" t="s">
        <v>391</v>
      </c>
      <c r="H634" s="70"/>
      <c r="I634" s="71">
        <v>0.12</v>
      </c>
      <c r="J634" s="72">
        <v>1000.0</v>
      </c>
      <c r="K634" s="73"/>
      <c r="L634" s="73"/>
      <c r="M634" s="73"/>
      <c r="N634" s="74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30.0" customHeight="1">
      <c r="A635" s="68"/>
      <c r="B635" s="68">
        <v>649.0</v>
      </c>
      <c r="C635" s="68"/>
      <c r="D635" s="69" t="str">
        <f>CONCATENATE(PROPER('BIÑAN INFO'!$G635),", ",PROPER('BIÑAN INFO'!$E635)," ",PROPER('BIÑAN INFO'!$F635),"."," (",UPPER('BIÑAN INFO'!$H635),")")</f>
        <v>,  . ()</v>
      </c>
      <c r="E635" s="70"/>
      <c r="F635" s="70"/>
      <c r="G635" s="70"/>
      <c r="H635" s="69"/>
      <c r="I635" s="71">
        <v>0.12</v>
      </c>
      <c r="J635" s="72">
        <v>1000.0</v>
      </c>
      <c r="K635" s="73"/>
      <c r="L635" s="73"/>
      <c r="M635" s="73"/>
      <c r="N635" s="74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30.0" customHeight="1">
      <c r="A636" s="68"/>
      <c r="B636" s="68">
        <v>650.0</v>
      </c>
      <c r="C636" s="68"/>
      <c r="D636" s="69" t="str">
        <f>CONCATENATE(PROPER('BIÑAN INFO'!$G636),", ",PROPER('BIÑAN INFO'!$E636)," ",PROPER('BIÑAN INFO'!$F636),"."," (",UPPER('BIÑAN INFO'!$H636),")")</f>
        <v>Noleya, Pablo . ()</v>
      </c>
      <c r="E636" s="70" t="s">
        <v>392</v>
      </c>
      <c r="F636" s="70"/>
      <c r="G636" s="70" t="s">
        <v>393</v>
      </c>
      <c r="H636" s="69"/>
      <c r="I636" s="71">
        <v>0.12</v>
      </c>
      <c r="J636" s="72">
        <v>1000.0</v>
      </c>
      <c r="K636" s="73"/>
      <c r="L636" s="73"/>
      <c r="M636" s="73"/>
      <c r="N636" s="74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30.0" customHeight="1">
      <c r="A637" s="68"/>
      <c r="B637" s="68">
        <v>651.0</v>
      </c>
      <c r="C637" s="68"/>
      <c r="D637" s="69" t="str">
        <f>CONCATENATE(PROPER('BIÑAN INFO'!$G637),", ",PROPER('BIÑAN INFO'!$E637)," ",PROPER('BIÑAN INFO'!$F637),"."," (",UPPER('BIÑAN INFO'!$H637),")")</f>
        <v>Balboa, Lorna Gonzales. ()</v>
      </c>
      <c r="E637" s="70" t="s">
        <v>276</v>
      </c>
      <c r="F637" s="70" t="s">
        <v>394</v>
      </c>
      <c r="G637" s="70" t="s">
        <v>395</v>
      </c>
      <c r="H637" s="69"/>
      <c r="I637" s="71">
        <v>0.12</v>
      </c>
      <c r="J637" s="72">
        <v>1000.0</v>
      </c>
      <c r="K637" s="73"/>
      <c r="L637" s="73"/>
      <c r="M637" s="73"/>
      <c r="N637" s="74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30.0" customHeight="1">
      <c r="A638" s="68"/>
      <c r="B638" s="68">
        <v>652.0</v>
      </c>
      <c r="C638" s="68"/>
      <c r="D638" s="69" t="str">
        <f>CONCATENATE(PROPER('BIÑAN INFO'!$G638),", ",PROPER('BIÑAN INFO'!$E638)," ",PROPER('BIÑAN INFO'!$F638),"."," (",UPPER('BIÑAN INFO'!$H638),")")</f>
        <v>,  . ()</v>
      </c>
      <c r="E638" s="70"/>
      <c r="F638" s="70"/>
      <c r="G638" s="70"/>
      <c r="H638" s="69"/>
      <c r="I638" s="71">
        <v>0.05</v>
      </c>
      <c r="J638" s="72">
        <v>1000.0</v>
      </c>
      <c r="K638" s="73" t="s">
        <v>396</v>
      </c>
      <c r="L638" s="73"/>
      <c r="M638" s="73"/>
      <c r="N638" s="74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30.0" customHeight="1">
      <c r="A639" s="68"/>
      <c r="B639" s="68">
        <v>653.0</v>
      </c>
      <c r="C639" s="68"/>
      <c r="D639" s="69" t="str">
        <f>CONCATENATE(PROPER('BIÑAN INFO'!$G639),", ",PROPER('BIÑAN INFO'!$E639)," ",PROPER('BIÑAN INFO'!$F639),"."," (",UPPER('BIÑAN INFO'!$H639),")")</f>
        <v>Alandy-Dy, Anna Leah . ()</v>
      </c>
      <c r="E639" s="70" t="s">
        <v>397</v>
      </c>
      <c r="F639" s="70"/>
      <c r="G639" s="70" t="s">
        <v>398</v>
      </c>
      <c r="H639" s="69"/>
      <c r="I639" s="71">
        <v>0.12</v>
      </c>
      <c r="J639" s="72">
        <v>1000.0</v>
      </c>
      <c r="K639" s="73"/>
      <c r="L639" s="73"/>
      <c r="M639" s="73"/>
      <c r="N639" s="74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30.0" customHeight="1">
      <c r="A640" s="68"/>
      <c r="B640" s="68">
        <v>654.0</v>
      </c>
      <c r="C640" s="68"/>
      <c r="D640" s="69" t="str">
        <f>CONCATENATE(PROPER('BIÑAN INFO'!$G640),", ",PROPER('BIÑAN INFO'!$E640)," ",PROPER('BIÑAN INFO'!$F640),"."," (",UPPER('BIÑAN INFO'!$H640),")")</f>
        <v>,  . ()</v>
      </c>
      <c r="E640" s="70"/>
      <c r="F640" s="70"/>
      <c r="G640" s="70"/>
      <c r="H640" s="69"/>
      <c r="I640" s="71">
        <v>0.12</v>
      </c>
      <c r="J640" s="72">
        <v>1000.0</v>
      </c>
      <c r="K640" s="73"/>
      <c r="L640" s="73"/>
      <c r="M640" s="73"/>
      <c r="N640" s="74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30.0" customHeight="1">
      <c r="A641" s="68"/>
      <c r="B641" s="68">
        <v>655.0</v>
      </c>
      <c r="C641" s="68"/>
      <c r="D641" s="69" t="str">
        <f>CONCATENATE(PROPER('BIÑAN INFO'!$G641),", ",PROPER('BIÑAN INFO'!$E641)," ",PROPER('BIÑAN INFO'!$F641),"."," (",UPPER('BIÑAN INFO'!$H641),")")</f>
        <v>,  . ()</v>
      </c>
      <c r="E641" s="70"/>
      <c r="F641" s="70"/>
      <c r="G641" s="70"/>
      <c r="H641" s="70"/>
      <c r="I641" s="71">
        <v>0.12</v>
      </c>
      <c r="J641" s="72">
        <v>1000.0</v>
      </c>
      <c r="K641" s="73"/>
      <c r="L641" s="73"/>
      <c r="M641" s="73"/>
      <c r="N641" s="74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30.0" customHeight="1">
      <c r="A642" s="68"/>
      <c r="B642" s="68">
        <v>656.0</v>
      </c>
      <c r="C642" s="68"/>
      <c r="D642" s="69" t="str">
        <f>CONCATENATE(PROPER('BIÑAN INFO'!$G642),", ",PROPER('BIÑAN INFO'!$E642)," ",PROPER('BIÑAN INFO'!$F642),"."," (",UPPER('BIÑAN INFO'!$H642),")")</f>
        <v>,  . ()</v>
      </c>
      <c r="E642" s="70"/>
      <c r="F642" s="70"/>
      <c r="G642" s="70"/>
      <c r="H642" s="70"/>
      <c r="I642" s="71">
        <v>0.12</v>
      </c>
      <c r="J642" s="72">
        <v>1000.0</v>
      </c>
      <c r="K642" s="73"/>
      <c r="L642" s="73"/>
      <c r="M642" s="73"/>
      <c r="N642" s="74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30.0" customHeight="1">
      <c r="A643" s="68"/>
      <c r="B643" s="68">
        <v>657.0</v>
      </c>
      <c r="C643" s="68"/>
      <c r="D643" s="69" t="str">
        <f>CONCATENATE(PROPER('BIÑAN INFO'!$G643),", ",PROPER('BIÑAN INFO'!$E643)," ",PROPER('BIÑAN INFO'!$F643),"."," (",UPPER('BIÑAN INFO'!$H643),")")</f>
        <v>,  . ()</v>
      </c>
      <c r="E643" s="70"/>
      <c r="F643" s="70"/>
      <c r="G643" s="70"/>
      <c r="H643" s="69"/>
      <c r="I643" s="71">
        <v>0.12</v>
      </c>
      <c r="J643" s="72">
        <v>1000.0</v>
      </c>
      <c r="K643" s="73"/>
      <c r="L643" s="73"/>
      <c r="M643" s="73"/>
      <c r="N643" s="74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30.0" customHeight="1">
      <c r="A644" s="68"/>
      <c r="B644" s="68">
        <v>658.0</v>
      </c>
      <c r="C644" s="68"/>
      <c r="D644" s="69" t="str">
        <f>CONCATENATE(PROPER('BIÑAN INFO'!$G644),", ",PROPER('BIÑAN INFO'!$E644)," ",PROPER('BIÑAN INFO'!$F644),"."," (",UPPER('BIÑAN INFO'!$H644),")")</f>
        <v>,  . ()</v>
      </c>
      <c r="E644" s="70"/>
      <c r="F644" s="70"/>
      <c r="G644" s="70"/>
      <c r="H644" s="69"/>
      <c r="I644" s="71">
        <v>0.12</v>
      </c>
      <c r="J644" s="72">
        <v>1000.0</v>
      </c>
      <c r="K644" s="73"/>
      <c r="L644" s="73"/>
      <c r="M644" s="73"/>
      <c r="N644" s="74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30.0" customHeight="1">
      <c r="A645" s="68"/>
      <c r="B645" s="68">
        <v>659.0</v>
      </c>
      <c r="C645" s="68"/>
      <c r="D645" s="69" t="str">
        <f>CONCATENATE(PROPER('BIÑAN INFO'!$G645),", ",PROPER('BIÑAN INFO'!$E645)," ",PROPER('BIÑAN INFO'!$F645),"."," (",UPPER('BIÑAN INFO'!$H645),")")</f>
        <v>,  . ()</v>
      </c>
      <c r="E645" s="70"/>
      <c r="F645" s="70"/>
      <c r="G645" s="70"/>
      <c r="H645" s="69"/>
      <c r="I645" s="71">
        <v>0.12</v>
      </c>
      <c r="J645" s="72">
        <v>1000.0</v>
      </c>
      <c r="K645" s="73"/>
      <c r="L645" s="73"/>
      <c r="M645" s="73"/>
      <c r="N645" s="74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30.0" customHeight="1">
      <c r="A646" s="68"/>
      <c r="B646" s="68">
        <v>660.0</v>
      </c>
      <c r="C646" s="68"/>
      <c r="D646" s="69" t="str">
        <f>CONCATENATE(PROPER('BIÑAN INFO'!$G646),", ",PROPER('BIÑAN INFO'!$E646)," ",PROPER('BIÑAN INFO'!$F646),"."," (",UPPER('BIÑAN INFO'!$H646),")")</f>
        <v>Gregorio, Ma. Cecilia . ()</v>
      </c>
      <c r="E646" s="70" t="s">
        <v>399</v>
      </c>
      <c r="F646" s="70"/>
      <c r="G646" s="70" t="s">
        <v>400</v>
      </c>
      <c r="H646" s="69"/>
      <c r="I646" s="71">
        <v>0.12</v>
      </c>
      <c r="J646" s="72">
        <v>1000.0</v>
      </c>
      <c r="K646" s="73"/>
      <c r="L646" s="73"/>
      <c r="M646" s="73"/>
      <c r="N646" s="74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30.0" customHeight="1">
      <c r="A647" s="68"/>
      <c r="B647" s="68">
        <v>661.0</v>
      </c>
      <c r="C647" s="68"/>
      <c r="D647" s="69" t="str">
        <f>CONCATENATE(PROPER('BIÑAN INFO'!$G647),", ",PROPER('BIÑAN INFO'!$E647)," ",PROPER('BIÑAN INFO'!$F647),"."," (",UPPER('BIÑAN INFO'!$H647),")")</f>
        <v>,  . ()</v>
      </c>
      <c r="E647" s="70"/>
      <c r="F647" s="70"/>
      <c r="G647" s="70"/>
      <c r="H647" s="69"/>
      <c r="I647" s="71">
        <v>0.12</v>
      </c>
      <c r="J647" s="72">
        <v>1000.0</v>
      </c>
      <c r="K647" s="73"/>
      <c r="L647" s="73"/>
      <c r="M647" s="73"/>
      <c r="N647" s="74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30.0" customHeight="1">
      <c r="A648" s="68"/>
      <c r="B648" s="68">
        <v>662.0</v>
      </c>
      <c r="C648" s="68"/>
      <c r="D648" s="69" t="str">
        <f>CONCATENATE(PROPER('BIÑAN INFO'!$G648),", ",PROPER('BIÑAN INFO'!$E648)," ",PROPER('BIÑAN INFO'!$F648),"."," (",UPPER('BIÑAN INFO'!$H648),")")</f>
        <v>,  . ()</v>
      </c>
      <c r="E648" s="70"/>
      <c r="F648" s="70"/>
      <c r="G648" s="70"/>
      <c r="H648" s="69"/>
      <c r="I648" s="71">
        <v>0.12</v>
      </c>
      <c r="J648" s="72">
        <v>1000.0</v>
      </c>
      <c r="K648" s="73"/>
      <c r="L648" s="73"/>
      <c r="M648" s="73"/>
      <c r="N648" s="74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30.0" customHeight="1">
      <c r="A649" s="68"/>
      <c r="B649" s="68">
        <v>663.0</v>
      </c>
      <c r="C649" s="68"/>
      <c r="D649" s="69" t="str">
        <f>CONCATENATE(PROPER('BIÑAN INFO'!$G649),", ",PROPER('BIÑAN INFO'!$E649)," ",PROPER('BIÑAN INFO'!$F649),"."," (",UPPER('BIÑAN INFO'!$H649),")")</f>
        <v>Cabaluan, Edward . ()</v>
      </c>
      <c r="E649" s="70" t="s">
        <v>36</v>
      </c>
      <c r="F649" s="70"/>
      <c r="G649" s="70" t="s">
        <v>401</v>
      </c>
      <c r="H649" s="69"/>
      <c r="I649" s="71">
        <v>0.12</v>
      </c>
      <c r="J649" s="72">
        <v>1000.0</v>
      </c>
      <c r="K649" s="73"/>
      <c r="L649" s="73"/>
      <c r="M649" s="73"/>
      <c r="N649" s="74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30.0" customHeight="1">
      <c r="A650" s="68"/>
      <c r="B650" s="68">
        <v>664.0</v>
      </c>
      <c r="C650" s="68"/>
      <c r="D650" s="69" t="str">
        <f>CONCATENATE(PROPER('BIÑAN INFO'!$G650),", ",PROPER('BIÑAN INFO'!$E650)," ",PROPER('BIÑAN INFO'!$F650),"."," (",UPPER('BIÑAN INFO'!$H650),")")</f>
        <v>Cabaluan, Editha . ()</v>
      </c>
      <c r="E650" s="70" t="s">
        <v>402</v>
      </c>
      <c r="F650" s="70"/>
      <c r="G650" s="70" t="s">
        <v>401</v>
      </c>
      <c r="H650" s="69"/>
      <c r="I650" s="71">
        <v>0.12</v>
      </c>
      <c r="J650" s="72">
        <v>1000.0</v>
      </c>
      <c r="K650" s="73"/>
      <c r="L650" s="73"/>
      <c r="M650" s="73"/>
      <c r="N650" s="74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30.0" customHeight="1">
      <c r="A651" s="68"/>
      <c r="B651" s="68">
        <v>665.0</v>
      </c>
      <c r="C651" s="68"/>
      <c r="D651" s="69" t="str">
        <f>CONCATENATE(PROPER('BIÑAN INFO'!$G651),", ",PROPER('BIÑAN INFO'!$E651)," ",PROPER('BIÑAN INFO'!$F651),"."," (",UPPER('BIÑAN INFO'!$H651),")")</f>
        <v>,  . ()</v>
      </c>
      <c r="E651" s="70"/>
      <c r="F651" s="70"/>
      <c r="G651" s="70"/>
      <c r="H651" s="70"/>
      <c r="I651" s="71">
        <v>0.12</v>
      </c>
      <c r="J651" s="72">
        <v>1000.0</v>
      </c>
      <c r="K651" s="73"/>
      <c r="L651" s="73"/>
      <c r="M651" s="73"/>
      <c r="N651" s="74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30.0" customHeight="1">
      <c r="A652" s="68"/>
      <c r="B652" s="68">
        <v>666.0</v>
      </c>
      <c r="C652" s="68"/>
      <c r="D652" s="69" t="str">
        <f>CONCATENATE(PROPER('BIÑAN INFO'!$G652),", ",PROPER('BIÑAN INFO'!$E652)," ",PROPER('BIÑAN INFO'!$F652),"."," (",UPPER('BIÑAN INFO'!$H652),")")</f>
        <v>,  . ()</v>
      </c>
      <c r="E652" s="70"/>
      <c r="F652" s="70"/>
      <c r="G652" s="70"/>
      <c r="H652" s="70"/>
      <c r="I652" s="71">
        <v>0.12</v>
      </c>
      <c r="J652" s="72">
        <v>1000.0</v>
      </c>
      <c r="K652" s="73"/>
      <c r="L652" s="73"/>
      <c r="M652" s="73"/>
      <c r="N652" s="74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30.0" customHeight="1">
      <c r="A653" s="68"/>
      <c r="B653" s="68">
        <v>667.0</v>
      </c>
      <c r="C653" s="68"/>
      <c r="D653" s="69" t="str">
        <f>CONCATENATE(PROPER('BIÑAN INFO'!$G653),", ",PROPER('BIÑAN INFO'!$E653)," ",PROPER('BIÑAN INFO'!$F653),"."," (",UPPER('BIÑAN INFO'!$H653),")")</f>
        <v>,  . ()</v>
      </c>
      <c r="E653" s="70"/>
      <c r="F653" s="70"/>
      <c r="G653" s="70"/>
      <c r="H653" s="70"/>
      <c r="I653" s="71">
        <v>0.12</v>
      </c>
      <c r="J653" s="72">
        <v>1000.0</v>
      </c>
      <c r="K653" s="73"/>
      <c r="L653" s="73"/>
      <c r="M653" s="73"/>
      <c r="N653" s="74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30.0" customHeight="1">
      <c r="A654" s="68"/>
      <c r="B654" s="68">
        <v>668.0</v>
      </c>
      <c r="C654" s="68"/>
      <c r="D654" s="69" t="str">
        <f>CONCATENATE(PROPER('BIÑAN INFO'!$G654),", ",PROPER('BIÑAN INFO'!$E654)," ",PROPER('BIÑAN INFO'!$F654),"."," (",UPPER('BIÑAN INFO'!$H654),")")</f>
        <v>,  . ()</v>
      </c>
      <c r="E654" s="70"/>
      <c r="F654" s="70"/>
      <c r="G654" s="70"/>
      <c r="H654" s="69"/>
      <c r="I654" s="71">
        <v>0.12</v>
      </c>
      <c r="J654" s="72">
        <v>1000.0</v>
      </c>
      <c r="K654" s="73"/>
      <c r="L654" s="73"/>
      <c r="M654" s="73"/>
      <c r="N654" s="74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30.0" customHeight="1">
      <c r="A655" s="68"/>
      <c r="B655" s="68">
        <v>669.0</v>
      </c>
      <c r="C655" s="68"/>
      <c r="D655" s="69" t="str">
        <f>CONCATENATE(PROPER('BIÑAN INFO'!$G655),", ",PROPER('BIÑAN INFO'!$E655)," ",PROPER('BIÑAN INFO'!$F655),"."," (",UPPER('BIÑAN INFO'!$H655),")")</f>
        <v>Torres, Juan . ()</v>
      </c>
      <c r="E655" s="70" t="s">
        <v>403</v>
      </c>
      <c r="F655" s="70"/>
      <c r="G655" s="70" t="s">
        <v>343</v>
      </c>
      <c r="H655" s="69"/>
      <c r="I655" s="71">
        <v>0.12</v>
      </c>
      <c r="J655" s="72">
        <v>1000.0</v>
      </c>
      <c r="K655" s="73"/>
      <c r="L655" s="73"/>
      <c r="M655" s="73"/>
      <c r="N655" s="74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30.0" customHeight="1">
      <c r="A656" s="68"/>
      <c r="B656" s="68">
        <v>670.0</v>
      </c>
      <c r="C656" s="68"/>
      <c r="D656" s="69" t="str">
        <f>CONCATENATE(PROPER('BIÑAN INFO'!$G656),", ",PROPER('BIÑAN INFO'!$E656)," ",PROPER('BIÑAN INFO'!$F656),"."," (",UPPER('BIÑAN INFO'!$H656),")")</f>
        <v>,  . ()</v>
      </c>
      <c r="E656" s="70"/>
      <c r="F656" s="70"/>
      <c r="G656" s="70"/>
      <c r="H656" s="69"/>
      <c r="I656" s="71">
        <v>0.12</v>
      </c>
      <c r="J656" s="72">
        <v>1000.0</v>
      </c>
      <c r="K656" s="73"/>
      <c r="L656" s="73"/>
      <c r="M656" s="73"/>
      <c r="N656" s="74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30.0" customHeight="1">
      <c r="A657" s="68"/>
      <c r="B657" s="68">
        <v>671.0</v>
      </c>
      <c r="C657" s="68"/>
      <c r="D657" s="69" t="str">
        <f>CONCATENATE(PROPER('BIÑAN INFO'!$G657),", ",PROPER('BIÑAN INFO'!$E657)," ",PROPER('BIÑAN INFO'!$F657),"."," (",UPPER('BIÑAN INFO'!$H657),")")</f>
        <v>,  . ()</v>
      </c>
      <c r="E657" s="70"/>
      <c r="F657" s="70"/>
      <c r="G657" s="70"/>
      <c r="H657" s="69"/>
      <c r="I657" s="71">
        <v>0.05</v>
      </c>
      <c r="J657" s="72">
        <v>1000.0</v>
      </c>
      <c r="K657" s="73"/>
      <c r="L657" s="73"/>
      <c r="M657" s="73"/>
      <c r="N657" s="74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30.0" customHeight="1">
      <c r="A658" s="68"/>
      <c r="B658" s="68">
        <v>672.0</v>
      </c>
      <c r="C658" s="68"/>
      <c r="D658" s="69" t="str">
        <f>CONCATENATE(PROPER('BIÑAN INFO'!$G658),", ",PROPER('BIÑAN INFO'!$E658)," ",PROPER('BIÑAN INFO'!$F658),"."," (",UPPER('BIÑAN INFO'!$H658),")")</f>
        <v>,  . ()</v>
      </c>
      <c r="E658" s="70"/>
      <c r="F658" s="70"/>
      <c r="G658" s="70"/>
      <c r="H658" s="69"/>
      <c r="I658" s="71">
        <v>0.12</v>
      </c>
      <c r="J658" s="72">
        <v>1000.0</v>
      </c>
      <c r="K658" s="73"/>
      <c r="L658" s="73"/>
      <c r="M658" s="73"/>
      <c r="N658" s="74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30.0" customHeight="1">
      <c r="A659" s="68"/>
      <c r="B659" s="68">
        <v>673.0</v>
      </c>
      <c r="C659" s="68"/>
      <c r="D659" s="69" t="str">
        <f>CONCATENATE(PROPER('BIÑAN INFO'!$G659),", ",PROPER('BIÑAN INFO'!$E659)," ",PROPER('BIÑAN INFO'!$F659),"."," (",UPPER('BIÑAN INFO'!$H659),")")</f>
        <v>,  . ()</v>
      </c>
      <c r="E659" s="70"/>
      <c r="F659" s="70"/>
      <c r="G659" s="70"/>
      <c r="H659" s="69"/>
      <c r="I659" s="71">
        <v>0.12</v>
      </c>
      <c r="J659" s="72">
        <v>1000.0</v>
      </c>
      <c r="K659" s="73"/>
      <c r="L659" s="73"/>
      <c r="M659" s="73"/>
      <c r="N659" s="74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30.0" customHeight="1">
      <c r="A660" s="68"/>
      <c r="B660" s="68">
        <v>674.0</v>
      </c>
      <c r="C660" s="68"/>
      <c r="D660" s="69" t="str">
        <f>CONCATENATE(PROPER('BIÑAN INFO'!$G660),", ",PROPER('BIÑAN INFO'!$E660)," ",PROPER('BIÑAN INFO'!$F660),"."," (",UPPER('BIÑAN INFO'!$H660),")")</f>
        <v>Baloca, Jeanny . ()</v>
      </c>
      <c r="E660" s="70" t="s">
        <v>404</v>
      </c>
      <c r="F660" s="70"/>
      <c r="G660" s="70" t="s">
        <v>405</v>
      </c>
      <c r="H660" s="69"/>
      <c r="I660" s="71">
        <v>0.12</v>
      </c>
      <c r="J660" s="72">
        <v>1000.0</v>
      </c>
      <c r="K660" s="73"/>
      <c r="L660" s="73"/>
      <c r="M660" s="73"/>
      <c r="N660" s="74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30.0" customHeight="1">
      <c r="A661" s="68"/>
      <c r="B661" s="68">
        <v>675.0</v>
      </c>
      <c r="C661" s="68"/>
      <c r="D661" s="69" t="str">
        <f>CONCATENATE(PROPER('BIÑAN INFO'!$G661),", ",PROPER('BIÑAN INFO'!$E661)," ",PROPER('BIÑAN INFO'!$F661),"."," (",UPPER('BIÑAN INFO'!$H661),")")</f>
        <v>,  . ()</v>
      </c>
      <c r="E661" s="70"/>
      <c r="F661" s="70"/>
      <c r="G661" s="70"/>
      <c r="H661" s="69"/>
      <c r="I661" s="71">
        <v>0.12</v>
      </c>
      <c r="J661" s="72">
        <v>1000.0</v>
      </c>
      <c r="K661" s="73"/>
      <c r="L661" s="73"/>
      <c r="M661" s="73"/>
      <c r="N661" s="74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30.0" customHeight="1">
      <c r="A662" s="68"/>
      <c r="B662" s="68">
        <v>676.0</v>
      </c>
      <c r="C662" s="68"/>
      <c r="D662" s="69" t="str">
        <f>CONCATENATE(PROPER('BIÑAN INFO'!$G662),", ",PROPER('BIÑAN INFO'!$E662)," ",PROPER('BIÑAN INFO'!$F662),"."," (",UPPER('BIÑAN INFO'!$H662),")")</f>
        <v>Alumia, Sheryl . ()</v>
      </c>
      <c r="E662" s="70" t="s">
        <v>406</v>
      </c>
      <c r="F662" s="70"/>
      <c r="G662" s="70" t="s">
        <v>407</v>
      </c>
      <c r="H662" s="69"/>
      <c r="I662" s="71">
        <v>0.05</v>
      </c>
      <c r="J662" s="72">
        <v>1000.0</v>
      </c>
      <c r="K662" s="73"/>
      <c r="L662" s="73"/>
      <c r="M662" s="73"/>
      <c r="N662" s="74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30.0" customHeight="1">
      <c r="A663" s="68"/>
      <c r="B663" s="68">
        <v>677.0</v>
      </c>
      <c r="C663" s="68"/>
      <c r="D663" s="69" t="str">
        <f>CONCATENATE(PROPER('BIÑAN INFO'!$G663),", ",PROPER('BIÑAN INFO'!$E663)," ",PROPER('BIÑAN INFO'!$F663),"."," (",UPPER('BIÑAN INFO'!$H663),")")</f>
        <v>,  . ()</v>
      </c>
      <c r="E663" s="70"/>
      <c r="F663" s="70"/>
      <c r="G663" s="70"/>
      <c r="H663" s="69"/>
      <c r="I663" s="71">
        <v>0.12</v>
      </c>
      <c r="J663" s="72">
        <v>1000.0</v>
      </c>
      <c r="K663" s="73"/>
      <c r="L663" s="73"/>
      <c r="M663" s="73"/>
      <c r="N663" s="74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30.0" customHeight="1">
      <c r="A664" s="68"/>
      <c r="B664" s="68">
        <v>678.0</v>
      </c>
      <c r="C664" s="68"/>
      <c r="D664" s="69" t="str">
        <f>CONCATENATE(PROPER('BIÑAN INFO'!$G664),", ",PROPER('BIÑAN INFO'!$E664)," ",PROPER('BIÑAN INFO'!$F664),"."," (",UPPER('BIÑAN INFO'!$H664),")")</f>
        <v>,  . ()</v>
      </c>
      <c r="E664" s="70"/>
      <c r="F664" s="70"/>
      <c r="G664" s="70"/>
      <c r="H664" s="69"/>
      <c r="I664" s="71">
        <v>0.12</v>
      </c>
      <c r="J664" s="72">
        <v>1000.0</v>
      </c>
      <c r="K664" s="73"/>
      <c r="L664" s="73"/>
      <c r="M664" s="73"/>
      <c r="N664" s="74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30.0" customHeight="1">
      <c r="A665" s="68"/>
      <c r="B665" s="68">
        <v>679.0</v>
      </c>
      <c r="C665" s="68"/>
      <c r="D665" s="69" t="str">
        <f>CONCATENATE(PROPER('BIÑAN INFO'!$G665),", ",PROPER('BIÑAN INFO'!$E665)," ",PROPER('BIÑAN INFO'!$F665),"."," (",UPPER('BIÑAN INFO'!$H665),")")</f>
        <v>,  . ()</v>
      </c>
      <c r="E665" s="70"/>
      <c r="F665" s="70"/>
      <c r="G665" s="70"/>
      <c r="H665" s="69"/>
      <c r="I665" s="71">
        <v>0.12</v>
      </c>
      <c r="J665" s="72">
        <v>1000.0</v>
      </c>
      <c r="K665" s="73"/>
      <c r="L665" s="73"/>
      <c r="M665" s="73"/>
      <c r="N665" s="74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30.0" customHeight="1">
      <c r="A666" s="68"/>
      <c r="B666" s="68">
        <v>680.0</v>
      </c>
      <c r="C666" s="68"/>
      <c r="D666" s="69" t="str">
        <f>CONCATENATE(PROPER('BIÑAN INFO'!$G666),", ",PROPER('BIÑAN INFO'!$E666)," ",PROPER('BIÑAN INFO'!$F666),"."," (",UPPER('BIÑAN INFO'!$H666),")")</f>
        <v>,  . ()</v>
      </c>
      <c r="E666" s="70"/>
      <c r="F666" s="70"/>
      <c r="G666" s="70"/>
      <c r="H666" s="69"/>
      <c r="I666" s="71">
        <v>0.12</v>
      </c>
      <c r="J666" s="72">
        <v>1000.0</v>
      </c>
      <c r="K666" s="73"/>
      <c r="L666" s="73"/>
      <c r="M666" s="73"/>
      <c r="N666" s="74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30.0" customHeight="1">
      <c r="A667" s="68"/>
      <c r="B667" s="68">
        <v>681.0</v>
      </c>
      <c r="C667" s="68"/>
      <c r="D667" s="69" t="str">
        <f>CONCATENATE(PROPER('BIÑAN INFO'!$G667),", ",PROPER('BIÑAN INFO'!$E667)," ",PROPER('BIÑAN INFO'!$F667),"."," (",UPPER('BIÑAN INFO'!$H667),")")</f>
        <v>,  . ()</v>
      </c>
      <c r="E667" s="70"/>
      <c r="F667" s="70"/>
      <c r="G667" s="70"/>
      <c r="H667" s="69"/>
      <c r="I667" s="71">
        <v>0.12</v>
      </c>
      <c r="J667" s="72">
        <v>1000.0</v>
      </c>
      <c r="K667" s="73"/>
      <c r="L667" s="73"/>
      <c r="M667" s="73"/>
      <c r="N667" s="74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30.0" customHeight="1">
      <c r="A668" s="68"/>
      <c r="B668" s="68">
        <v>682.0</v>
      </c>
      <c r="C668" s="68"/>
      <c r="D668" s="69" t="str">
        <f>CONCATENATE(PROPER('BIÑAN INFO'!$G668),", ",PROPER('BIÑAN INFO'!$E668)," ",PROPER('BIÑAN INFO'!$F668),"."," (",UPPER('BIÑAN INFO'!$H668),")")</f>
        <v>Bautista, Florinda . ()</v>
      </c>
      <c r="E668" s="70" t="s">
        <v>408</v>
      </c>
      <c r="F668" s="70"/>
      <c r="G668" s="70" t="s">
        <v>275</v>
      </c>
      <c r="H668" s="69"/>
      <c r="I668" s="71">
        <v>0.12</v>
      </c>
      <c r="J668" s="72">
        <v>1000.0</v>
      </c>
      <c r="K668" s="73"/>
      <c r="L668" s="73"/>
      <c r="M668" s="73"/>
      <c r="N668" s="74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30.0" customHeight="1">
      <c r="A669" s="68"/>
      <c r="B669" s="68">
        <v>683.0</v>
      </c>
      <c r="C669" s="68"/>
      <c r="D669" s="69" t="str">
        <f>CONCATENATE(PROPER('BIÑAN INFO'!$G669),", ",PROPER('BIÑAN INFO'!$E669)," ",PROPER('BIÑAN INFO'!$F669),"."," (",UPPER('BIÑAN INFO'!$H669),")")</f>
        <v>Alegre, Jimmy . ()</v>
      </c>
      <c r="E669" s="70" t="s">
        <v>409</v>
      </c>
      <c r="F669" s="70"/>
      <c r="G669" s="70" t="s">
        <v>410</v>
      </c>
      <c r="H669" s="69"/>
      <c r="I669" s="71">
        <v>0.12</v>
      </c>
      <c r="J669" s="72">
        <v>1000.0</v>
      </c>
      <c r="K669" s="73"/>
      <c r="L669" s="73"/>
      <c r="M669" s="73"/>
      <c r="N669" s="74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30.0" customHeight="1">
      <c r="A670" s="68"/>
      <c r="B670" s="68">
        <v>684.0</v>
      </c>
      <c r="C670" s="68"/>
      <c r="D670" s="69" t="str">
        <f>CONCATENATE(PROPER('BIÑAN INFO'!$G670),", ",PROPER('BIÑAN INFO'!$E670)," ",PROPER('BIÑAN INFO'!$F670),"."," (",UPPER('BIÑAN INFO'!$H670),")")</f>
        <v>,  . ()</v>
      </c>
      <c r="E670" s="70"/>
      <c r="F670" s="70"/>
      <c r="G670" s="70"/>
      <c r="H670" s="69"/>
      <c r="I670" s="71">
        <v>0.12</v>
      </c>
      <c r="J670" s="72">
        <v>1000.0</v>
      </c>
      <c r="K670" s="73"/>
      <c r="L670" s="73"/>
      <c r="M670" s="73"/>
      <c r="N670" s="74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30.0" customHeight="1">
      <c r="A671" s="68"/>
      <c r="B671" s="68">
        <v>685.0</v>
      </c>
      <c r="C671" s="68"/>
      <c r="D671" s="69" t="str">
        <f>CONCATENATE(PROPER('BIÑAN INFO'!$G671),", ",PROPER('BIÑAN INFO'!$E671)," ",PROPER('BIÑAN INFO'!$F671),"."," (",UPPER('BIÑAN INFO'!$H671),")")</f>
        <v>,  . ()</v>
      </c>
      <c r="E671" s="70"/>
      <c r="F671" s="70"/>
      <c r="G671" s="70"/>
      <c r="H671" s="69"/>
      <c r="I671" s="71">
        <v>0.12</v>
      </c>
      <c r="J671" s="72">
        <v>1000.0</v>
      </c>
      <c r="K671" s="73"/>
      <c r="L671" s="73"/>
      <c r="M671" s="73"/>
      <c r="N671" s="74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30.0" customHeight="1">
      <c r="A672" s="68"/>
      <c r="B672" s="68">
        <v>686.0</v>
      </c>
      <c r="C672" s="68"/>
      <c r="D672" s="69" t="str">
        <f>CONCATENATE(PROPER('BIÑAN INFO'!$G672),", ",PROPER('BIÑAN INFO'!$E672)," ",PROPER('BIÑAN INFO'!$F672),"."," (",UPPER('BIÑAN INFO'!$H672),")")</f>
        <v>,  . ()</v>
      </c>
      <c r="E672" s="70"/>
      <c r="F672" s="70"/>
      <c r="G672" s="70"/>
      <c r="H672" s="69"/>
      <c r="I672" s="71">
        <v>0.12</v>
      </c>
      <c r="J672" s="72">
        <v>1000.0</v>
      </c>
      <c r="K672" s="73"/>
      <c r="L672" s="73"/>
      <c r="M672" s="73"/>
      <c r="N672" s="74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30.0" customHeight="1">
      <c r="A673" s="68"/>
      <c r="B673" s="68">
        <v>687.0</v>
      </c>
      <c r="C673" s="68"/>
      <c r="D673" s="69" t="str">
        <f>CONCATENATE(PROPER('BIÑAN INFO'!$G673),", ",PROPER('BIÑAN INFO'!$E673)," ",PROPER('BIÑAN INFO'!$F673),"."," (",UPPER('BIÑAN INFO'!$H673),")")</f>
        <v>,  . ()</v>
      </c>
      <c r="E673" s="70"/>
      <c r="F673" s="70"/>
      <c r="G673" s="70"/>
      <c r="H673" s="69"/>
      <c r="I673" s="71">
        <v>0.12</v>
      </c>
      <c r="J673" s="72">
        <v>1000.0</v>
      </c>
      <c r="K673" s="73"/>
      <c r="L673" s="73"/>
      <c r="M673" s="73"/>
      <c r="N673" s="74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30.0" customHeight="1">
      <c r="A674" s="68"/>
      <c r="B674" s="68">
        <v>688.0</v>
      </c>
      <c r="C674" s="68"/>
      <c r="D674" s="69" t="str">
        <f>CONCATENATE(PROPER('BIÑAN INFO'!$G674),", ",PROPER('BIÑAN INFO'!$E674)," ",PROPER('BIÑAN INFO'!$F674),"."," (",UPPER('BIÑAN INFO'!$H674),")")</f>
        <v>,  . ()</v>
      </c>
      <c r="E674" s="70"/>
      <c r="F674" s="70"/>
      <c r="G674" s="70"/>
      <c r="H674" s="69"/>
      <c r="I674" s="71">
        <v>0.12</v>
      </c>
      <c r="J674" s="72">
        <v>1000.0</v>
      </c>
      <c r="K674" s="73"/>
      <c r="L674" s="73"/>
      <c r="M674" s="73"/>
      <c r="N674" s="74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30.0" customHeight="1">
      <c r="A675" s="68"/>
      <c r="B675" s="68">
        <v>689.0</v>
      </c>
      <c r="C675" s="68"/>
      <c r="D675" s="69" t="str">
        <f>CONCATENATE(PROPER('BIÑAN INFO'!$G675),", ",PROPER('BIÑAN INFO'!$E675)," ",PROPER('BIÑAN INFO'!$F675),"."," (",UPPER('BIÑAN INFO'!$H675),")")</f>
        <v>,  . ()</v>
      </c>
      <c r="E675" s="70"/>
      <c r="F675" s="70"/>
      <c r="G675" s="70"/>
      <c r="H675" s="69"/>
      <c r="I675" s="71">
        <v>0.12</v>
      </c>
      <c r="J675" s="72">
        <v>1000.0</v>
      </c>
      <c r="K675" s="73"/>
      <c r="L675" s="73"/>
      <c r="M675" s="73"/>
      <c r="N675" s="74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30.0" customHeight="1">
      <c r="A676" s="68"/>
      <c r="B676" s="68">
        <v>690.0</v>
      </c>
      <c r="C676" s="68"/>
      <c r="D676" s="69" t="str">
        <f>CONCATENATE(PROPER('BIÑAN INFO'!$G676),", ",PROPER('BIÑAN INFO'!$E676)," ",PROPER('BIÑAN INFO'!$F676),"."," (",UPPER('BIÑAN INFO'!$H676),")")</f>
        <v>,  . ()</v>
      </c>
      <c r="E676" s="70"/>
      <c r="F676" s="70"/>
      <c r="G676" s="70"/>
      <c r="H676" s="69"/>
      <c r="I676" s="71">
        <v>0.05</v>
      </c>
      <c r="J676" s="72">
        <v>1000.0</v>
      </c>
      <c r="K676" s="73"/>
      <c r="L676" s="73"/>
      <c r="M676" s="73"/>
      <c r="N676" s="74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30.0" customHeight="1">
      <c r="A677" s="68"/>
      <c r="B677" s="68">
        <v>691.0</v>
      </c>
      <c r="C677" s="68"/>
      <c r="D677" s="69" t="str">
        <f>CONCATENATE(PROPER('BIÑAN INFO'!$G677),", ",PROPER('BIÑAN INFO'!$E677)," ",PROPER('BIÑAN INFO'!$F677),"."," (",UPPER('BIÑAN INFO'!$H677),")")</f>
        <v>Binay, Imelda Guerra. ()</v>
      </c>
      <c r="E677" s="70" t="s">
        <v>411</v>
      </c>
      <c r="F677" s="70" t="s">
        <v>412</v>
      </c>
      <c r="G677" s="70" t="s">
        <v>413</v>
      </c>
      <c r="H677" s="69"/>
      <c r="I677" s="71">
        <v>0.12</v>
      </c>
      <c r="J677" s="72">
        <v>1000.0</v>
      </c>
      <c r="K677" s="73"/>
      <c r="L677" s="73"/>
      <c r="M677" s="73"/>
      <c r="N677" s="74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30.0" customHeight="1">
      <c r="A678" s="68"/>
      <c r="B678" s="68">
        <v>692.0</v>
      </c>
      <c r="C678" s="68"/>
      <c r="D678" s="69" t="str">
        <f>CONCATENATE(PROPER('BIÑAN INFO'!$G678),", ",PROPER('BIÑAN INFO'!$E678)," ",PROPER('BIÑAN INFO'!$F678),"."," (",UPPER('BIÑAN INFO'!$H678),")")</f>
        <v>Alegre, Fernando . ()</v>
      </c>
      <c r="E678" s="70" t="s">
        <v>414</v>
      </c>
      <c r="F678" s="70"/>
      <c r="G678" s="70" t="s">
        <v>410</v>
      </c>
      <c r="H678" s="69"/>
      <c r="I678" s="71">
        <v>0.12</v>
      </c>
      <c r="J678" s="72">
        <v>1000.0</v>
      </c>
      <c r="K678" s="73"/>
      <c r="L678" s="73"/>
      <c r="M678" s="73"/>
      <c r="N678" s="74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30.0" customHeight="1">
      <c r="A679" s="68"/>
      <c r="B679" s="68">
        <v>693.0</v>
      </c>
      <c r="C679" s="68"/>
      <c r="D679" s="69" t="str">
        <f>CONCATENATE(PROPER('BIÑAN INFO'!$G679),", ",PROPER('BIÑAN INFO'!$E679)," ",PROPER('BIÑAN INFO'!$F679),"."," (",UPPER('BIÑAN INFO'!$H679),")")</f>
        <v>Dizon, Ayanna Rose . ()</v>
      </c>
      <c r="E679" s="70" t="s">
        <v>415</v>
      </c>
      <c r="F679" s="70"/>
      <c r="G679" s="70" t="s">
        <v>416</v>
      </c>
      <c r="H679" s="69"/>
      <c r="I679" s="71">
        <v>0.05</v>
      </c>
      <c r="J679" s="72">
        <v>1000.0</v>
      </c>
      <c r="K679" s="73"/>
      <c r="L679" s="73"/>
      <c r="M679" s="73"/>
      <c r="N679" s="74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30.0" customHeight="1">
      <c r="A680" s="68"/>
      <c r="B680" s="68">
        <v>694.0</v>
      </c>
      <c r="C680" s="68"/>
      <c r="D680" s="69" t="str">
        <f>CONCATENATE(PROPER('BIÑAN INFO'!$G680),", ",PROPER('BIÑAN INFO'!$E680)," ",PROPER('BIÑAN INFO'!$F680),"."," (",UPPER('BIÑAN INFO'!$H680),")")</f>
        <v>,  . ()</v>
      </c>
      <c r="E680" s="70"/>
      <c r="F680" s="70"/>
      <c r="G680" s="70"/>
      <c r="H680" s="69"/>
      <c r="I680" s="71">
        <v>0.12</v>
      </c>
      <c r="J680" s="72">
        <v>1000.0</v>
      </c>
      <c r="K680" s="73"/>
      <c r="L680" s="73"/>
      <c r="M680" s="73"/>
      <c r="N680" s="74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30.0" customHeight="1">
      <c r="A681" s="68"/>
      <c r="B681" s="68">
        <v>695.0</v>
      </c>
      <c r="C681" s="68"/>
      <c r="D681" s="69" t="str">
        <f>CONCATENATE(PROPER('BIÑAN INFO'!$G681),", ",PROPER('BIÑAN INFO'!$E681)," ",PROPER('BIÑAN INFO'!$F681),"."," (",UPPER('BIÑAN INFO'!$H681),")")</f>
        <v>Araneta, Eufemia . ()</v>
      </c>
      <c r="E681" s="70" t="s">
        <v>417</v>
      </c>
      <c r="F681" s="70"/>
      <c r="G681" s="70" t="s">
        <v>418</v>
      </c>
      <c r="H681" s="69"/>
      <c r="I681" s="71">
        <v>0.12</v>
      </c>
      <c r="J681" s="72">
        <v>1000.0</v>
      </c>
      <c r="K681" s="73"/>
      <c r="L681" s="73"/>
      <c r="M681" s="73"/>
      <c r="N681" s="74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30.0" customHeight="1">
      <c r="A682" s="68"/>
      <c r="B682" s="68">
        <v>696.0</v>
      </c>
      <c r="C682" s="68"/>
      <c r="D682" s="69" t="str">
        <f>CONCATENATE(PROPER('BIÑAN INFO'!$G682),", ",PROPER('BIÑAN INFO'!$E682)," ",PROPER('BIÑAN INFO'!$F682),"."," (",UPPER('BIÑAN INFO'!$H682),")")</f>
        <v>Bulaong, Kenneth . ()</v>
      </c>
      <c r="E682" s="70" t="s">
        <v>419</v>
      </c>
      <c r="F682" s="70"/>
      <c r="G682" s="70" t="s">
        <v>420</v>
      </c>
      <c r="H682" s="69"/>
      <c r="I682" s="71">
        <v>0.12</v>
      </c>
      <c r="J682" s="72">
        <v>1000.0</v>
      </c>
      <c r="K682" s="73"/>
      <c r="L682" s="73"/>
      <c r="M682" s="73"/>
      <c r="N682" s="74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30.0" customHeight="1">
      <c r="A683" s="68"/>
      <c r="B683" s="68">
        <v>697.0</v>
      </c>
      <c r="C683" s="68"/>
      <c r="D683" s="69" t="str">
        <f>CONCATENATE(PROPER('BIÑAN INFO'!$G683),", ",PROPER('BIÑAN INFO'!$E683)," ",PROPER('BIÑAN INFO'!$F683),"."," (",UPPER('BIÑAN INFO'!$H683),")")</f>
        <v>,  . ()</v>
      </c>
      <c r="E683" s="70"/>
      <c r="F683" s="70"/>
      <c r="G683" s="70"/>
      <c r="H683" s="69"/>
      <c r="I683" s="71">
        <v>0.12</v>
      </c>
      <c r="J683" s="72">
        <v>1000.0</v>
      </c>
      <c r="K683" s="73"/>
      <c r="L683" s="73"/>
      <c r="M683" s="73"/>
      <c r="N683" s="74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30.0" customHeight="1">
      <c r="A684" s="68"/>
      <c r="B684" s="68">
        <v>698.0</v>
      </c>
      <c r="C684" s="68"/>
      <c r="D684" s="69" t="str">
        <f>CONCATENATE(PROPER('BIÑAN INFO'!$G684),", ",PROPER('BIÑAN INFO'!$E684)," ",PROPER('BIÑAN INFO'!$F684),"."," (",UPPER('BIÑAN INFO'!$H684),")")</f>
        <v>Tan, Lucita . ()</v>
      </c>
      <c r="E684" s="70" t="s">
        <v>421</v>
      </c>
      <c r="F684" s="70"/>
      <c r="G684" s="70" t="s">
        <v>422</v>
      </c>
      <c r="H684" s="69"/>
      <c r="I684" s="71">
        <v>0.05</v>
      </c>
      <c r="J684" s="72">
        <v>1000.0</v>
      </c>
      <c r="K684" s="73"/>
      <c r="L684" s="73"/>
      <c r="M684" s="73"/>
      <c r="N684" s="74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30.0" customHeight="1">
      <c r="A685" s="68"/>
      <c r="B685" s="68">
        <v>699.0</v>
      </c>
      <c r="C685" s="68"/>
      <c r="D685" s="69" t="str">
        <f>CONCATENATE(PROPER('BIÑAN INFO'!$G685),", ",PROPER('BIÑAN INFO'!$E685)," ",PROPER('BIÑAN INFO'!$F685),"."," (",UPPER('BIÑAN INFO'!$H685),")")</f>
        <v>,  . ()</v>
      </c>
      <c r="E685" s="70"/>
      <c r="F685" s="70"/>
      <c r="G685" s="70"/>
      <c r="H685" s="69"/>
      <c r="I685" s="71">
        <v>0.12</v>
      </c>
      <c r="J685" s="72">
        <v>1000.0</v>
      </c>
      <c r="K685" s="73"/>
      <c r="L685" s="73"/>
      <c r="M685" s="73"/>
      <c r="N685" s="74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30.0" customHeight="1">
      <c r="A686" s="68"/>
      <c r="B686" s="68">
        <v>700.0</v>
      </c>
      <c r="C686" s="68"/>
      <c r="D686" s="69" t="str">
        <f>CONCATENATE(PROPER('BIÑAN INFO'!$G686),", ",PROPER('BIÑAN INFO'!$E686)," ",PROPER('BIÑAN INFO'!$F686),"."," (",UPPER('BIÑAN INFO'!$H686),")")</f>
        <v>,  . ()</v>
      </c>
      <c r="E686" s="70"/>
      <c r="F686" s="70"/>
      <c r="G686" s="70"/>
      <c r="H686" s="69"/>
      <c r="I686" s="71">
        <v>0.12</v>
      </c>
      <c r="J686" s="72">
        <v>1000.0</v>
      </c>
      <c r="K686" s="73"/>
      <c r="L686" s="73"/>
      <c r="M686" s="73"/>
      <c r="N686" s="74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30.0" customHeight="1">
      <c r="A687" s="68"/>
      <c r="B687" s="68">
        <v>701.0</v>
      </c>
      <c r="C687" s="68"/>
      <c r="D687" s="69" t="str">
        <f>CONCATENATE(PROPER('BIÑAN INFO'!$G687),", ",PROPER('BIÑAN INFO'!$E687)," ",PROPER('BIÑAN INFO'!$F687),"."," (",UPPER('BIÑAN INFO'!$H687),")")</f>
        <v>,  . ()</v>
      </c>
      <c r="E687" s="70"/>
      <c r="F687" s="70"/>
      <c r="G687" s="69"/>
      <c r="H687" s="69"/>
      <c r="I687" s="71">
        <v>0.12</v>
      </c>
      <c r="J687" s="72">
        <v>1000.0</v>
      </c>
      <c r="K687" s="73"/>
      <c r="L687" s="73"/>
      <c r="M687" s="73"/>
      <c r="N687" s="74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30.0" customHeight="1">
      <c r="A688" s="68"/>
      <c r="B688" s="68">
        <v>702.0</v>
      </c>
      <c r="C688" s="68"/>
      <c r="D688" s="69" t="str">
        <f>CONCATENATE(PROPER('BIÑAN INFO'!$G688),", ",PROPER('BIÑAN INFO'!$E688)," ",PROPER('BIÑAN INFO'!$F688),"."," (",UPPER('BIÑAN INFO'!$H688),")")</f>
        <v>,  . ()</v>
      </c>
      <c r="E688" s="70"/>
      <c r="F688" s="70"/>
      <c r="G688" s="69"/>
      <c r="H688" s="69"/>
      <c r="I688" s="71">
        <v>0.12</v>
      </c>
      <c r="J688" s="72">
        <v>1000.0</v>
      </c>
      <c r="K688" s="73"/>
      <c r="L688" s="73"/>
      <c r="M688" s="73"/>
      <c r="N688" s="74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30.0" customHeight="1">
      <c r="A689" s="68"/>
      <c r="B689" s="68">
        <v>703.0</v>
      </c>
      <c r="C689" s="68"/>
      <c r="D689" s="69" t="str">
        <f>CONCATENATE(PROPER('BIÑAN INFO'!$G689),", ",PROPER('BIÑAN INFO'!$E689)," ",PROPER('BIÑAN INFO'!$F689),"."," (",UPPER('BIÑAN INFO'!$H689),")")</f>
        <v>,  . ()</v>
      </c>
      <c r="E689" s="70"/>
      <c r="F689" s="70"/>
      <c r="G689" s="70"/>
      <c r="H689" s="70"/>
      <c r="I689" s="71">
        <v>0.12</v>
      </c>
      <c r="J689" s="72">
        <v>1000.0</v>
      </c>
      <c r="K689" s="73"/>
      <c r="L689" s="73"/>
      <c r="M689" s="73"/>
      <c r="N689" s="74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30.0" customHeight="1">
      <c r="A690" s="68"/>
      <c r="B690" s="68">
        <v>704.0</v>
      </c>
      <c r="C690" s="68"/>
      <c r="D690" s="69" t="str">
        <f>CONCATENATE(PROPER('BIÑAN INFO'!$G690),", ",PROPER('BIÑAN INFO'!$E690)," ",PROPER('BIÑAN INFO'!$F690),"."," (",UPPER('BIÑAN INFO'!$H690),")")</f>
        <v>,  . ()</v>
      </c>
      <c r="E690" s="70"/>
      <c r="F690" s="70"/>
      <c r="G690" s="69"/>
      <c r="H690" s="69"/>
      <c r="I690" s="71">
        <v>0.05</v>
      </c>
      <c r="J690" s="72">
        <v>1000.0</v>
      </c>
      <c r="K690" s="73" t="s">
        <v>50</v>
      </c>
      <c r="L690" s="73"/>
      <c r="M690" s="73"/>
      <c r="N690" s="74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30.0" customHeight="1">
      <c r="A691" s="68"/>
      <c r="B691" s="68">
        <v>705.0</v>
      </c>
      <c r="C691" s="68"/>
      <c r="D691" s="69" t="str">
        <f>CONCATENATE(PROPER('BIÑAN INFO'!$G691),", ",PROPER('BIÑAN INFO'!$E691)," ",PROPER('BIÑAN INFO'!$F691),"."," (",UPPER('BIÑAN INFO'!$H691),")")</f>
        <v>,  . ()</v>
      </c>
      <c r="E691" s="70"/>
      <c r="F691" s="70"/>
      <c r="G691" s="69"/>
      <c r="H691" s="69"/>
      <c r="I691" s="71">
        <v>0.12</v>
      </c>
      <c r="J691" s="72">
        <v>1000.0</v>
      </c>
      <c r="K691" s="73"/>
      <c r="L691" s="73"/>
      <c r="M691" s="73"/>
      <c r="N691" s="74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30.0" customHeight="1">
      <c r="A692" s="68"/>
      <c r="B692" s="68">
        <v>706.0</v>
      </c>
      <c r="C692" s="68"/>
      <c r="D692" s="69" t="str">
        <f>CONCATENATE(PROPER('BIÑAN INFO'!$G692),", ",PROPER('BIÑAN INFO'!$E692)," ",PROPER('BIÑAN INFO'!$F692),"."," (",UPPER('BIÑAN INFO'!$H692),")")</f>
        <v>Bomowey, Marilyn . ()</v>
      </c>
      <c r="E692" s="70" t="s">
        <v>231</v>
      </c>
      <c r="F692" s="70"/>
      <c r="G692" s="69" t="s">
        <v>423</v>
      </c>
      <c r="H692" s="69"/>
      <c r="I692" s="71">
        <v>0.12</v>
      </c>
      <c r="J692" s="72">
        <v>1000.0</v>
      </c>
      <c r="K692" s="73"/>
      <c r="L692" s="73"/>
      <c r="M692" s="73"/>
      <c r="N692" s="74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30.0" customHeight="1">
      <c r="A693" s="68"/>
      <c r="B693" s="68">
        <v>707.0</v>
      </c>
      <c r="C693" s="68"/>
      <c r="D693" s="69" t="str">
        <f>CONCATENATE(PROPER('BIÑAN INFO'!$G693),", ",PROPER('BIÑAN INFO'!$E693)," ",PROPER('BIÑAN INFO'!$F693),"."," (",UPPER('BIÑAN INFO'!$H693),")")</f>
        <v>Balibay, Edwin . ()</v>
      </c>
      <c r="E693" s="70" t="s">
        <v>424</v>
      </c>
      <c r="F693" s="70"/>
      <c r="G693" s="69" t="s">
        <v>425</v>
      </c>
      <c r="H693" s="69"/>
      <c r="I693" s="71">
        <v>0.12</v>
      </c>
      <c r="J693" s="72">
        <v>1000.0</v>
      </c>
      <c r="K693" s="73"/>
      <c r="L693" s="73"/>
      <c r="M693" s="73"/>
      <c r="N693" s="74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30.0" customHeight="1">
      <c r="A694" s="68"/>
      <c r="B694" s="68">
        <v>708.0</v>
      </c>
      <c r="C694" s="68"/>
      <c r="D694" s="69" t="str">
        <f>CONCATENATE(PROPER('BIÑAN INFO'!$G694),", ",PROPER('BIÑAN INFO'!$E694)," ",PROPER('BIÑAN INFO'!$F694),"."," (",UPPER('BIÑAN INFO'!$H694),")")</f>
        <v>Timbol, Christian A. ()</v>
      </c>
      <c r="E694" s="70" t="s">
        <v>426</v>
      </c>
      <c r="F694" s="70" t="s">
        <v>427</v>
      </c>
      <c r="G694" s="69" t="s">
        <v>428</v>
      </c>
      <c r="H694" s="69"/>
      <c r="I694" s="71">
        <v>0.05</v>
      </c>
      <c r="J694" s="72">
        <v>1000.0</v>
      </c>
      <c r="K694" s="73"/>
      <c r="L694" s="73"/>
      <c r="M694" s="73"/>
      <c r="N694" s="74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30.0" customHeight="1">
      <c r="A695" s="68"/>
      <c r="B695" s="68">
        <v>709.0</v>
      </c>
      <c r="C695" s="68"/>
      <c r="D695" s="69" t="str">
        <f>CONCATENATE(PROPER('BIÑAN INFO'!$G695),", ",PROPER('BIÑAN INFO'!$E695)," ",PROPER('BIÑAN INFO'!$F695),"."," (",UPPER('BIÑAN INFO'!$H695),")")</f>
        <v>Amatorio, Larry . ()</v>
      </c>
      <c r="E695" s="70" t="s">
        <v>367</v>
      </c>
      <c r="F695" s="70"/>
      <c r="G695" s="70" t="s">
        <v>429</v>
      </c>
      <c r="H695" s="69"/>
      <c r="I695" s="71">
        <v>0.12</v>
      </c>
      <c r="J695" s="72">
        <v>1000.0</v>
      </c>
      <c r="K695" s="73"/>
      <c r="L695" s="73"/>
      <c r="M695" s="73"/>
      <c r="N695" s="74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30.0" customHeight="1">
      <c r="A696" s="68"/>
      <c r="B696" s="68">
        <v>710.0</v>
      </c>
      <c r="C696" s="68"/>
      <c r="D696" s="69" t="str">
        <f>CONCATENATE(PROPER('BIÑAN INFO'!$G696),", ",PROPER('BIÑAN INFO'!$E696)," ",PROPER('BIÑAN INFO'!$F696),"."," (",UPPER('BIÑAN INFO'!$H696),")")</f>
        <v>,  . ()</v>
      </c>
      <c r="E696" s="70"/>
      <c r="F696" s="70"/>
      <c r="G696" s="70"/>
      <c r="H696" s="69"/>
      <c r="I696" s="71">
        <v>0.12</v>
      </c>
      <c r="J696" s="72">
        <v>1000.0</v>
      </c>
      <c r="K696" s="73"/>
      <c r="L696" s="73"/>
      <c r="M696" s="73"/>
      <c r="N696" s="74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30.0" customHeight="1">
      <c r="A697" s="68"/>
      <c r="B697" s="68">
        <v>711.0</v>
      </c>
      <c r="C697" s="68"/>
      <c r="D697" s="69" t="str">
        <f>CONCATENATE(PROPER('BIÑAN INFO'!$G697),", ",PROPER('BIÑAN INFO'!$E697)," ",PROPER('BIÑAN INFO'!$F697),"."," (",UPPER('BIÑAN INFO'!$H697),")")</f>
        <v>,  . ()</v>
      </c>
      <c r="E697" s="70"/>
      <c r="F697" s="70"/>
      <c r="G697" s="70"/>
      <c r="H697" s="70"/>
      <c r="I697" s="71">
        <v>0.12</v>
      </c>
      <c r="J697" s="72">
        <v>1000.0</v>
      </c>
      <c r="K697" s="73"/>
      <c r="L697" s="73"/>
      <c r="M697" s="73"/>
      <c r="N697" s="74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30.0" customHeight="1">
      <c r="A698" s="68"/>
      <c r="B698" s="68">
        <v>712.0</v>
      </c>
      <c r="C698" s="68"/>
      <c r="D698" s="69" t="str">
        <f>CONCATENATE(PROPER('BIÑAN INFO'!$G698),", ",PROPER('BIÑAN INFO'!$E698)," ",PROPER('BIÑAN INFO'!$F698),"."," (",UPPER('BIÑAN INFO'!$H698),")")</f>
        <v>Cadenas, Luzviminda . ()</v>
      </c>
      <c r="E698" s="70" t="s">
        <v>430</v>
      </c>
      <c r="F698" s="70"/>
      <c r="G698" s="70" t="s">
        <v>431</v>
      </c>
      <c r="H698" s="70"/>
      <c r="I698" s="71">
        <v>0.12</v>
      </c>
      <c r="J698" s="72">
        <v>1000.0</v>
      </c>
      <c r="K698" s="73"/>
      <c r="L698" s="73"/>
      <c r="M698" s="73"/>
      <c r="N698" s="74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30.0" customHeight="1">
      <c r="A699" s="68"/>
      <c r="B699" s="68">
        <v>713.0</v>
      </c>
      <c r="C699" s="68"/>
      <c r="D699" s="69" t="str">
        <f>CONCATENATE(PROPER('BIÑAN INFO'!$G699),", ",PROPER('BIÑAN INFO'!$E699)," ",PROPER('BIÑAN INFO'!$F699),"."," (",UPPER('BIÑAN INFO'!$H699),")")</f>
        <v>,  . ()</v>
      </c>
      <c r="E699" s="70"/>
      <c r="F699" s="70"/>
      <c r="G699" s="70"/>
      <c r="H699" s="70"/>
      <c r="I699" s="71">
        <v>0.12</v>
      </c>
      <c r="J699" s="72">
        <v>1000.0</v>
      </c>
      <c r="K699" s="73"/>
      <c r="L699" s="73"/>
      <c r="M699" s="73"/>
      <c r="N699" s="74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30.0" customHeight="1">
      <c r="A700" s="68"/>
      <c r="B700" s="68">
        <v>714.0</v>
      </c>
      <c r="C700" s="68"/>
      <c r="D700" s="69" t="str">
        <f>CONCATENATE(PROPER('BIÑAN INFO'!$G700),", ",PROPER('BIÑAN INFO'!$E700)," ",PROPER('BIÑAN INFO'!$F700),"."," (",UPPER('BIÑAN INFO'!$H700),")")</f>
        <v>,  . ()</v>
      </c>
      <c r="E700" s="70"/>
      <c r="F700" s="70"/>
      <c r="G700" s="70"/>
      <c r="H700" s="70"/>
      <c r="I700" s="71">
        <v>0.12</v>
      </c>
      <c r="J700" s="72">
        <v>1000.0</v>
      </c>
      <c r="K700" s="73"/>
      <c r="L700" s="73"/>
      <c r="M700" s="73"/>
      <c r="N700" s="74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30.0" customHeight="1">
      <c r="A701" s="68"/>
      <c r="B701" s="68">
        <v>715.0</v>
      </c>
      <c r="C701" s="68"/>
      <c r="D701" s="69" t="str">
        <f>CONCATENATE(PROPER('BIÑAN INFO'!$G701),", ",PROPER('BIÑAN INFO'!$E701)," ",PROPER('BIÑAN INFO'!$F701),"."," (",UPPER('BIÑAN INFO'!$H701),")")</f>
        <v>,  . ()</v>
      </c>
      <c r="E701" s="70"/>
      <c r="F701" s="70"/>
      <c r="G701" s="70"/>
      <c r="H701" s="70"/>
      <c r="I701" s="71">
        <v>0.12</v>
      </c>
      <c r="J701" s="72">
        <v>1000.0</v>
      </c>
      <c r="K701" s="73"/>
      <c r="L701" s="73"/>
      <c r="M701" s="73"/>
      <c r="N701" s="74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30.0" customHeight="1">
      <c r="A702" s="68"/>
      <c r="B702" s="68">
        <v>716.0</v>
      </c>
      <c r="C702" s="68"/>
      <c r="D702" s="69" t="str">
        <f>CONCATENATE(PROPER('BIÑAN INFO'!$G702),", ",PROPER('BIÑAN INFO'!$E702)," ",PROPER('BIÑAN INFO'!$F702),"."," (",UPPER('BIÑAN INFO'!$H702),")")</f>
        <v>,  . ()</v>
      </c>
      <c r="E702" s="70"/>
      <c r="F702" s="70"/>
      <c r="G702" s="70"/>
      <c r="H702" s="70"/>
      <c r="I702" s="71">
        <v>0.12</v>
      </c>
      <c r="J702" s="72">
        <v>1000.0</v>
      </c>
      <c r="K702" s="73"/>
      <c r="L702" s="73"/>
      <c r="M702" s="73"/>
      <c r="N702" s="74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30.0" customHeight="1">
      <c r="A703" s="68"/>
      <c r="B703" s="68">
        <v>717.0</v>
      </c>
      <c r="C703" s="68"/>
      <c r="D703" s="69" t="str">
        <f>CONCATENATE(PROPER('BIÑAN INFO'!$G703),", ",PROPER('BIÑAN INFO'!$E703)," ",PROPER('BIÑAN INFO'!$F703),"."," (",UPPER('BIÑAN INFO'!$H703),")")</f>
        <v>,  . ()</v>
      </c>
      <c r="E703" s="70"/>
      <c r="F703" s="70"/>
      <c r="G703" s="70"/>
      <c r="H703" s="70"/>
      <c r="I703" s="71">
        <v>0.12</v>
      </c>
      <c r="J703" s="72">
        <v>1000.0</v>
      </c>
      <c r="K703" s="73"/>
      <c r="L703" s="73"/>
      <c r="M703" s="73"/>
      <c r="N703" s="74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30.0" customHeight="1">
      <c r="A704" s="68"/>
      <c r="B704" s="68">
        <v>718.0</v>
      </c>
      <c r="C704" s="68"/>
      <c r="D704" s="69" t="str">
        <f>CONCATENATE(PROPER('BIÑAN INFO'!$G704),", ",PROPER('BIÑAN INFO'!$E704)," ",PROPER('BIÑAN INFO'!$F704),"."," (",UPPER('BIÑAN INFO'!$H704),")")</f>
        <v>,  . ()</v>
      </c>
      <c r="E704" s="70"/>
      <c r="F704" s="70"/>
      <c r="G704" s="70"/>
      <c r="H704" s="70"/>
      <c r="I704" s="71">
        <v>0.12</v>
      </c>
      <c r="J704" s="72">
        <v>1000.0</v>
      </c>
      <c r="K704" s="73"/>
      <c r="L704" s="73"/>
      <c r="M704" s="73"/>
      <c r="N704" s="74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30.0" customHeight="1">
      <c r="A705" s="68"/>
      <c r="B705" s="68">
        <v>719.0</v>
      </c>
      <c r="C705" s="68"/>
      <c r="D705" s="69" t="str">
        <f>CONCATENATE(PROPER('BIÑAN INFO'!$G705),", ",PROPER('BIÑAN INFO'!$E705)," ",PROPER('BIÑAN INFO'!$F705),"."," (",UPPER('BIÑAN INFO'!$H705),")")</f>
        <v>,  . ()</v>
      </c>
      <c r="E705" s="70"/>
      <c r="F705" s="70"/>
      <c r="G705" s="70"/>
      <c r="H705" s="70"/>
      <c r="I705" s="71">
        <v>0.12</v>
      </c>
      <c r="J705" s="72">
        <v>1000.0</v>
      </c>
      <c r="K705" s="73"/>
      <c r="L705" s="73"/>
      <c r="M705" s="73"/>
      <c r="N705" s="74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30.0" customHeight="1">
      <c r="A706" s="68"/>
      <c r="B706" s="68">
        <v>720.0</v>
      </c>
      <c r="C706" s="68"/>
      <c r="D706" s="69" t="str">
        <f>CONCATENATE(PROPER('BIÑAN INFO'!$G706),", ",PROPER('BIÑAN INFO'!$E706)," ",PROPER('BIÑAN INFO'!$F706),"."," (",UPPER('BIÑAN INFO'!$H706),")")</f>
        <v>Ballesta, Merefe . ()</v>
      </c>
      <c r="E706" s="70" t="s">
        <v>432</v>
      </c>
      <c r="F706" s="70"/>
      <c r="G706" s="70" t="s">
        <v>433</v>
      </c>
      <c r="H706" s="70"/>
      <c r="I706" s="71">
        <v>0.12</v>
      </c>
      <c r="J706" s="72">
        <v>1000.0</v>
      </c>
      <c r="K706" s="73"/>
      <c r="L706" s="73"/>
      <c r="M706" s="73"/>
      <c r="N706" s="74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30.0" customHeight="1">
      <c r="A707" s="68"/>
      <c r="B707" s="68">
        <v>721.0</v>
      </c>
      <c r="C707" s="68"/>
      <c r="D707" s="69" t="str">
        <f>CONCATENATE(PROPER('BIÑAN INFO'!$G707),", ",PROPER('BIÑAN INFO'!$E707)," ",PROPER('BIÑAN INFO'!$F707),"."," (",UPPER('BIÑAN INFO'!$H707),")")</f>
        <v>Baguer, Vivina . ()</v>
      </c>
      <c r="E707" s="70" t="s">
        <v>434</v>
      </c>
      <c r="F707" s="70"/>
      <c r="G707" s="70" t="s">
        <v>435</v>
      </c>
      <c r="H707" s="70"/>
      <c r="I707" s="71">
        <v>0.12</v>
      </c>
      <c r="J707" s="72">
        <v>1000.0</v>
      </c>
      <c r="K707" s="73"/>
      <c r="L707" s="73"/>
      <c r="M707" s="73"/>
      <c r="N707" s="74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30.0" customHeight="1">
      <c r="A708" s="68"/>
      <c r="B708" s="68">
        <v>722.0</v>
      </c>
      <c r="C708" s="68"/>
      <c r="D708" s="69" t="str">
        <f>CONCATENATE(PROPER('BIÑAN INFO'!$G708),", ",PROPER('BIÑAN INFO'!$E708)," ",PROPER('BIÑAN INFO'!$F708),"."," (",UPPER('BIÑAN INFO'!$H708),")")</f>
        <v>,  . ()</v>
      </c>
      <c r="E708" s="70"/>
      <c r="F708" s="70"/>
      <c r="G708" s="70"/>
      <c r="H708" s="70"/>
      <c r="I708" s="71">
        <v>0.12</v>
      </c>
      <c r="J708" s="72">
        <v>1000.0</v>
      </c>
      <c r="K708" s="73"/>
      <c r="L708" s="73"/>
      <c r="M708" s="73"/>
      <c r="N708" s="74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30.0" customHeight="1">
      <c r="A709" s="68"/>
      <c r="B709" s="68">
        <v>723.0</v>
      </c>
      <c r="C709" s="68"/>
      <c r="D709" s="69" t="str">
        <f>CONCATENATE(PROPER('BIÑAN INFO'!$G709),", ",PROPER('BIÑAN INFO'!$E709)," ",PROPER('BIÑAN INFO'!$F709),"."," (",UPPER('BIÑAN INFO'!$H709),")")</f>
        <v>,  . ()</v>
      </c>
      <c r="E709" s="70"/>
      <c r="F709" s="70"/>
      <c r="G709" s="70"/>
      <c r="H709" s="69"/>
      <c r="I709" s="71">
        <v>0.12</v>
      </c>
      <c r="J709" s="72">
        <v>1000.0</v>
      </c>
      <c r="K709" s="73"/>
      <c r="L709" s="73"/>
      <c r="M709" s="73"/>
      <c r="N709" s="74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30.0" customHeight="1">
      <c r="A710" s="68"/>
      <c r="B710" s="68">
        <v>724.0</v>
      </c>
      <c r="C710" s="68"/>
      <c r="D710" s="69" t="str">
        <f>CONCATENATE(PROPER('BIÑAN INFO'!$G710),", ",PROPER('BIÑAN INFO'!$E710)," ",PROPER('BIÑAN INFO'!$F710),"."," (",UPPER('BIÑAN INFO'!$H710),")")</f>
        <v>,  . ()</v>
      </c>
      <c r="E710" s="70"/>
      <c r="F710" s="70"/>
      <c r="G710" s="70"/>
      <c r="H710" s="69"/>
      <c r="I710" s="71">
        <v>0.12</v>
      </c>
      <c r="J710" s="72">
        <v>1000.0</v>
      </c>
      <c r="K710" s="73"/>
      <c r="L710" s="73"/>
      <c r="M710" s="73"/>
      <c r="N710" s="74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30.0" customHeight="1">
      <c r="A711" s="68"/>
      <c r="B711" s="68">
        <v>725.0</v>
      </c>
      <c r="C711" s="68"/>
      <c r="D711" s="69" t="str">
        <f>CONCATENATE(PROPER('BIÑAN INFO'!$G711),", ",PROPER('BIÑAN INFO'!$E711)," ",PROPER('BIÑAN INFO'!$F711),"."," (",UPPER('BIÑAN INFO'!$H711),")")</f>
        <v>,  . ()</v>
      </c>
      <c r="E711" s="70"/>
      <c r="F711" s="70"/>
      <c r="G711" s="70"/>
      <c r="H711" s="69"/>
      <c r="I711" s="71">
        <v>0.12</v>
      </c>
      <c r="J711" s="72">
        <v>1000.0</v>
      </c>
      <c r="K711" s="73"/>
      <c r="L711" s="73"/>
      <c r="M711" s="73"/>
      <c r="N711" s="74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30.0" customHeight="1">
      <c r="A712" s="68"/>
      <c r="B712" s="68">
        <v>726.0</v>
      </c>
      <c r="C712" s="68"/>
      <c r="D712" s="69" t="str">
        <f>CONCATENATE(PROPER('BIÑAN INFO'!$G712),", ",PROPER('BIÑAN INFO'!$E712)," ",PROPER('BIÑAN INFO'!$F712),"."," (",UPPER('BIÑAN INFO'!$H712),")")</f>
        <v>,  . ()</v>
      </c>
      <c r="E712" s="70"/>
      <c r="F712" s="70"/>
      <c r="G712" s="70"/>
      <c r="H712" s="69"/>
      <c r="I712" s="71">
        <v>0.12</v>
      </c>
      <c r="J712" s="72">
        <v>1000.0</v>
      </c>
      <c r="K712" s="73"/>
      <c r="L712" s="73"/>
      <c r="M712" s="73"/>
      <c r="N712" s="74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30.0" customHeight="1">
      <c r="A713" s="68"/>
      <c r="B713" s="68">
        <v>727.0</v>
      </c>
      <c r="C713" s="68"/>
      <c r="D713" s="69" t="str">
        <f>CONCATENATE(PROPER('BIÑAN INFO'!$G713),", ",PROPER('BIÑAN INFO'!$E713)," ",PROPER('BIÑAN INFO'!$F713),"."," (",UPPER('BIÑAN INFO'!$H713),")")</f>
        <v>,  . ()</v>
      </c>
      <c r="E713" s="70"/>
      <c r="F713" s="70"/>
      <c r="G713" s="70"/>
      <c r="H713" s="69"/>
      <c r="I713" s="71">
        <v>0.12</v>
      </c>
      <c r="J713" s="72">
        <v>1000.0</v>
      </c>
      <c r="K713" s="73"/>
      <c r="L713" s="73"/>
      <c r="M713" s="73"/>
      <c r="N713" s="74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30.0" customHeight="1">
      <c r="A714" s="68"/>
      <c r="B714" s="68">
        <v>728.0</v>
      </c>
      <c r="C714" s="68"/>
      <c r="D714" s="69" t="str">
        <f>CONCATENATE(PROPER('BIÑAN INFO'!$G714),", ",PROPER('BIÑAN INFO'!$E714)," ",PROPER('BIÑAN INFO'!$F714),"."," (",UPPER('BIÑAN INFO'!$H714),")")</f>
        <v>,  . ()</v>
      </c>
      <c r="E714" s="70"/>
      <c r="F714" s="70"/>
      <c r="G714" s="70"/>
      <c r="H714" s="70"/>
      <c r="I714" s="71">
        <v>0.12</v>
      </c>
      <c r="J714" s="72">
        <v>1000.0</v>
      </c>
      <c r="K714" s="73"/>
      <c r="L714" s="73"/>
      <c r="M714" s="73"/>
      <c r="N714" s="74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30.0" customHeight="1">
      <c r="A715" s="68"/>
      <c r="B715" s="68">
        <v>729.0</v>
      </c>
      <c r="C715" s="68"/>
      <c r="D715" s="69" t="str">
        <f>CONCATENATE(PROPER('BIÑAN INFO'!$G715),", ",PROPER('BIÑAN INFO'!$E715)," ",PROPER('BIÑAN INFO'!$F715),"."," (",UPPER('BIÑAN INFO'!$H715),")")</f>
        <v>,  . ()</v>
      </c>
      <c r="E715" s="70"/>
      <c r="F715" s="70"/>
      <c r="G715" s="69"/>
      <c r="H715" s="69"/>
      <c r="I715" s="71">
        <v>0.12</v>
      </c>
      <c r="J715" s="72">
        <v>1000.0</v>
      </c>
      <c r="K715" s="73"/>
      <c r="L715" s="73"/>
      <c r="M715" s="73"/>
      <c r="N715" s="74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30.0" customHeight="1">
      <c r="A716" s="68"/>
      <c r="B716" s="68">
        <v>730.0</v>
      </c>
      <c r="C716" s="68"/>
      <c r="D716" s="69" t="str">
        <f>CONCATENATE(PROPER('BIÑAN INFO'!$G716),", ",PROPER('BIÑAN INFO'!$E716)," ",PROPER('BIÑAN INFO'!$F716),"."," (",UPPER('BIÑAN INFO'!$H716),")")</f>
        <v>,  . ()</v>
      </c>
      <c r="E716" s="70"/>
      <c r="F716" s="70"/>
      <c r="G716" s="69"/>
      <c r="H716" s="69"/>
      <c r="I716" s="71">
        <v>0.12</v>
      </c>
      <c r="J716" s="72">
        <v>1000.0</v>
      </c>
      <c r="K716" s="73"/>
      <c r="L716" s="73"/>
      <c r="M716" s="73"/>
      <c r="N716" s="74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30.0" customHeight="1">
      <c r="A717" s="68"/>
      <c r="B717" s="68">
        <v>731.0</v>
      </c>
      <c r="C717" s="68"/>
      <c r="D717" s="69" t="str">
        <f>CONCATENATE(PROPER('BIÑAN INFO'!$G717),", ",PROPER('BIÑAN INFO'!$E717)," ",PROPER('BIÑAN INFO'!$F717),"."," (",UPPER('BIÑAN INFO'!$H717),")")</f>
        <v>Tabora, Marissa . ()</v>
      </c>
      <c r="E717" s="70" t="s">
        <v>227</v>
      </c>
      <c r="F717" s="70"/>
      <c r="G717" s="69" t="s">
        <v>228</v>
      </c>
      <c r="H717" s="69"/>
      <c r="I717" s="71">
        <v>0.05</v>
      </c>
      <c r="J717" s="72">
        <v>1000.0</v>
      </c>
      <c r="K717" s="73" t="s">
        <v>50</v>
      </c>
      <c r="L717" s="73"/>
      <c r="M717" s="73"/>
      <c r="N717" s="74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30.0" customHeight="1">
      <c r="A718" s="68"/>
      <c r="B718" s="68">
        <v>732.0</v>
      </c>
      <c r="C718" s="68"/>
      <c r="D718" s="69" t="str">
        <f>CONCATENATE(PROPER('BIÑAN INFO'!$G718),", ",PROPER('BIÑAN INFO'!$E718)," ",PROPER('BIÑAN INFO'!$F718),"."," (",UPPER('BIÑAN INFO'!$H718),")")</f>
        <v>,  . ()</v>
      </c>
      <c r="E718" s="70"/>
      <c r="F718" s="70"/>
      <c r="G718" s="70"/>
      <c r="H718" s="70"/>
      <c r="I718" s="71">
        <v>0.12</v>
      </c>
      <c r="J718" s="72">
        <v>1000.0</v>
      </c>
      <c r="K718" s="73"/>
      <c r="L718" s="73"/>
      <c r="M718" s="73"/>
      <c r="N718" s="74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30.0" customHeight="1">
      <c r="A719" s="68"/>
      <c r="B719" s="68">
        <v>733.0</v>
      </c>
      <c r="C719" s="68"/>
      <c r="D719" s="69" t="str">
        <f>CONCATENATE(PROPER('BIÑAN INFO'!$G719),", ",PROPER('BIÑAN INFO'!$E719)," ",PROPER('BIÑAN INFO'!$F719),"."," (",UPPER('BIÑAN INFO'!$H719),")")</f>
        <v>,  . ()</v>
      </c>
      <c r="E719" s="70"/>
      <c r="F719" s="70"/>
      <c r="G719" s="70"/>
      <c r="H719" s="69"/>
      <c r="I719" s="71">
        <v>0.12</v>
      </c>
      <c r="J719" s="72">
        <v>1000.0</v>
      </c>
      <c r="K719" s="73"/>
      <c r="L719" s="73"/>
      <c r="M719" s="73"/>
      <c r="N719" s="74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30.0" customHeight="1">
      <c r="A720" s="68"/>
      <c r="B720" s="68">
        <v>734.0</v>
      </c>
      <c r="C720" s="68"/>
      <c r="D720" s="69" t="str">
        <f>CONCATENATE(PROPER('BIÑAN INFO'!$G720),", ",PROPER('BIÑAN INFO'!$E720)," ",PROPER('BIÑAN INFO'!$F720),"."," (",UPPER('BIÑAN INFO'!$H720),")")</f>
        <v>,  . ()</v>
      </c>
      <c r="E720" s="70"/>
      <c r="F720" s="70"/>
      <c r="G720" s="69"/>
      <c r="H720" s="69"/>
      <c r="I720" s="71">
        <v>0.12</v>
      </c>
      <c r="J720" s="72">
        <v>1000.0</v>
      </c>
      <c r="K720" s="73"/>
      <c r="L720" s="73"/>
      <c r="M720" s="73"/>
      <c r="N720" s="74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30.0" customHeight="1">
      <c r="A721" s="68"/>
      <c r="B721" s="68">
        <v>735.0</v>
      </c>
      <c r="C721" s="68"/>
      <c r="D721" s="69" t="str">
        <f>CONCATENATE(PROPER('BIÑAN INFO'!$G721),", ",PROPER('BIÑAN INFO'!$E721)," ",PROPER('BIÑAN INFO'!$F721),"."," (",UPPER('BIÑAN INFO'!$H721),")")</f>
        <v>,  . ()</v>
      </c>
      <c r="E721" s="70"/>
      <c r="F721" s="70"/>
      <c r="G721" s="69"/>
      <c r="H721" s="69"/>
      <c r="I721" s="71">
        <v>0.12</v>
      </c>
      <c r="J721" s="72">
        <v>1000.0</v>
      </c>
      <c r="K721" s="73"/>
      <c r="L721" s="73"/>
      <c r="M721" s="73"/>
      <c r="N721" s="74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30.0" customHeight="1">
      <c r="A722" s="68"/>
      <c r="B722" s="68">
        <v>736.0</v>
      </c>
      <c r="C722" s="68"/>
      <c r="D722" s="69" t="str">
        <f>CONCATENATE(PROPER('BIÑAN INFO'!$G722),", ",PROPER('BIÑAN INFO'!$E722)," ",PROPER('BIÑAN INFO'!$F722),"."," (",UPPER('BIÑAN INFO'!$H722),")")</f>
        <v>,  . ()</v>
      </c>
      <c r="E722" s="70"/>
      <c r="F722" s="70"/>
      <c r="G722" s="69"/>
      <c r="H722" s="69"/>
      <c r="I722" s="71">
        <v>0.12</v>
      </c>
      <c r="J722" s="72">
        <v>1000.0</v>
      </c>
      <c r="K722" s="73"/>
      <c r="L722" s="73"/>
      <c r="M722" s="73"/>
      <c r="N722" s="74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30.0" customHeight="1">
      <c r="A723" s="68"/>
      <c r="B723" s="68">
        <v>737.0</v>
      </c>
      <c r="C723" s="68"/>
      <c r="D723" s="69" t="str">
        <f>CONCATENATE(PROPER('BIÑAN INFO'!$G723),", ",PROPER('BIÑAN INFO'!$E723)," ",PROPER('BIÑAN INFO'!$F723),"."," (",UPPER('BIÑAN INFO'!$H723),")")</f>
        <v>,  . ()</v>
      </c>
      <c r="E723" s="70"/>
      <c r="F723" s="70"/>
      <c r="G723" s="69"/>
      <c r="H723" s="69"/>
      <c r="I723" s="71">
        <v>0.12</v>
      </c>
      <c r="J723" s="72">
        <v>1000.0</v>
      </c>
      <c r="K723" s="73"/>
      <c r="L723" s="73"/>
      <c r="M723" s="73"/>
      <c r="N723" s="74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30.0" customHeight="1">
      <c r="A724" s="68"/>
      <c r="B724" s="68">
        <v>738.0</v>
      </c>
      <c r="C724" s="68"/>
      <c r="D724" s="69" t="str">
        <f>CONCATENATE(PROPER('BIÑAN INFO'!$G724),", ",PROPER('BIÑAN INFO'!$E724)," ",PROPER('BIÑAN INFO'!$F724),"."," (",UPPER('BIÑAN INFO'!$H724),")")</f>
        <v>,  . ()</v>
      </c>
      <c r="E724" s="70"/>
      <c r="F724" s="70"/>
      <c r="G724" s="69"/>
      <c r="H724" s="69"/>
      <c r="I724" s="71">
        <v>0.12</v>
      </c>
      <c r="J724" s="72">
        <v>1000.0</v>
      </c>
      <c r="K724" s="73"/>
      <c r="L724" s="73"/>
      <c r="M724" s="73"/>
      <c r="N724" s="74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30.0" customHeight="1">
      <c r="A725" s="68"/>
      <c r="B725" s="68">
        <v>739.0</v>
      </c>
      <c r="C725" s="68"/>
      <c r="D725" s="69" t="str">
        <f>CONCATENATE(PROPER('BIÑAN INFO'!$G725),", ",PROPER('BIÑAN INFO'!$E725)," ",PROPER('BIÑAN INFO'!$F725),"."," (",UPPER('BIÑAN INFO'!$H725),")")</f>
        <v>,  . ()</v>
      </c>
      <c r="E725" s="70"/>
      <c r="F725" s="70"/>
      <c r="G725" s="69"/>
      <c r="H725" s="69"/>
      <c r="I725" s="71">
        <v>0.12</v>
      </c>
      <c r="J725" s="72">
        <v>1000.0</v>
      </c>
      <c r="K725" s="73"/>
      <c r="L725" s="73"/>
      <c r="M725" s="73"/>
      <c r="N725" s="74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30.0" customHeight="1">
      <c r="A726" s="68"/>
      <c r="B726" s="68">
        <v>740.0</v>
      </c>
      <c r="C726" s="68"/>
      <c r="D726" s="69" t="str">
        <f>CONCATENATE(PROPER('BIÑAN INFO'!$G726),", ",PROPER('BIÑAN INFO'!$E726)," ",PROPER('BIÑAN INFO'!$F726),"."," (",UPPER('BIÑAN INFO'!$H726),")")</f>
        <v>,  . ()</v>
      </c>
      <c r="E726" s="70"/>
      <c r="F726" s="70"/>
      <c r="G726" s="69"/>
      <c r="H726" s="69"/>
      <c r="I726" s="71">
        <v>0.12</v>
      </c>
      <c r="J726" s="72">
        <v>1000.0</v>
      </c>
      <c r="K726" s="73"/>
      <c r="L726" s="73"/>
      <c r="M726" s="73"/>
      <c r="N726" s="74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30.0" customHeight="1">
      <c r="A727" s="68"/>
      <c r="B727" s="68">
        <v>741.0</v>
      </c>
      <c r="C727" s="68"/>
      <c r="D727" s="69" t="str">
        <f>CONCATENATE(PROPER('BIÑAN INFO'!$G727),", ",PROPER('BIÑAN INFO'!$E727)," ",PROPER('BIÑAN INFO'!$F727),"."," (",UPPER('BIÑAN INFO'!$H727),")")</f>
        <v>,  . ()</v>
      </c>
      <c r="E727" s="70"/>
      <c r="F727" s="70"/>
      <c r="G727" s="69"/>
      <c r="H727" s="69"/>
      <c r="I727" s="71">
        <v>0.05</v>
      </c>
      <c r="J727" s="72">
        <v>1000.0</v>
      </c>
      <c r="K727" s="73" t="s">
        <v>50</v>
      </c>
      <c r="L727" s="73"/>
      <c r="M727" s="73"/>
      <c r="N727" s="74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30.0" customHeight="1">
      <c r="A728" s="68"/>
      <c r="B728" s="68">
        <v>742.0</v>
      </c>
      <c r="C728" s="68"/>
      <c r="D728" s="69" t="str">
        <f>CONCATENATE(PROPER('BIÑAN INFO'!$G728),", ",PROPER('BIÑAN INFO'!$E728)," ",PROPER('BIÑAN INFO'!$F728),"."," (",UPPER('BIÑAN INFO'!$H728),")")</f>
        <v>,  . ()</v>
      </c>
      <c r="E728" s="70"/>
      <c r="F728" s="70"/>
      <c r="G728" s="69"/>
      <c r="H728" s="69"/>
      <c r="I728" s="71">
        <v>0.12</v>
      </c>
      <c r="J728" s="72">
        <v>1000.0</v>
      </c>
      <c r="K728" s="73"/>
      <c r="L728" s="73"/>
      <c r="M728" s="73"/>
      <c r="N728" s="74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30.0" customHeight="1">
      <c r="A729" s="68"/>
      <c r="B729" s="68">
        <v>743.0</v>
      </c>
      <c r="C729" s="68"/>
      <c r="D729" s="69" t="str">
        <f>CONCATENATE(PROPER('BIÑAN INFO'!$G729),", ",PROPER('BIÑAN INFO'!$E729)," ",PROPER('BIÑAN INFO'!$F729),"."," (",UPPER('BIÑAN INFO'!$H729),")")</f>
        <v>Mandely, Aisha . ()</v>
      </c>
      <c r="E729" s="70" t="s">
        <v>436</v>
      </c>
      <c r="F729" s="70"/>
      <c r="G729" s="69" t="s">
        <v>437</v>
      </c>
      <c r="H729" s="69"/>
      <c r="I729" s="71">
        <v>0.05</v>
      </c>
      <c r="J729" s="72">
        <v>1000.0</v>
      </c>
      <c r="K729" s="73" t="s">
        <v>50</v>
      </c>
      <c r="L729" s="73"/>
      <c r="M729" s="73"/>
      <c r="N729" s="74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30.0" customHeight="1">
      <c r="A730" s="68"/>
      <c r="B730" s="68">
        <v>744.0</v>
      </c>
      <c r="C730" s="68"/>
      <c r="D730" s="69" t="str">
        <f>CONCATENATE(PROPER('BIÑAN INFO'!$G730),", ",PROPER('BIÑAN INFO'!$E730)," ",PROPER('BIÑAN INFO'!$F730),"."," (",UPPER('BIÑAN INFO'!$H730),")")</f>
        <v>Mandely, Fesal . ()</v>
      </c>
      <c r="E730" s="70" t="s">
        <v>438</v>
      </c>
      <c r="F730" s="70"/>
      <c r="G730" s="69" t="s">
        <v>437</v>
      </c>
      <c r="H730" s="69"/>
      <c r="I730" s="71">
        <v>0.05</v>
      </c>
      <c r="J730" s="72">
        <v>1000.0</v>
      </c>
      <c r="K730" s="73" t="s">
        <v>50</v>
      </c>
      <c r="L730" s="73"/>
      <c r="M730" s="73"/>
      <c r="N730" s="74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30.0" customHeight="1">
      <c r="A731" s="68"/>
      <c r="B731" s="68">
        <v>745.0</v>
      </c>
      <c r="C731" s="68"/>
      <c r="D731" s="69" t="str">
        <f>CONCATENATE(PROPER('BIÑAN INFO'!$G731),", ",PROPER('BIÑAN INFO'!$E731)," ",PROPER('BIÑAN INFO'!$F731),"."," (",UPPER('BIÑAN INFO'!$H731),")")</f>
        <v>,  . ()</v>
      </c>
      <c r="E731" s="70"/>
      <c r="F731" s="70"/>
      <c r="G731" s="69"/>
      <c r="H731" s="69"/>
      <c r="I731" s="71">
        <v>0.05</v>
      </c>
      <c r="J731" s="72">
        <v>1000.0</v>
      </c>
      <c r="K731" s="73" t="s">
        <v>50</v>
      </c>
      <c r="L731" s="73"/>
      <c r="M731" s="73"/>
      <c r="N731" s="74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30.0" customHeight="1">
      <c r="A732" s="68"/>
      <c r="B732" s="68">
        <v>746.0</v>
      </c>
      <c r="C732" s="68"/>
      <c r="D732" s="69" t="str">
        <f>CONCATENATE(PROPER('BIÑAN INFO'!$G732),", ",PROPER('BIÑAN INFO'!$E732)," ",PROPER('BIÑAN INFO'!$F732),"."," (",UPPER('BIÑAN INFO'!$H732),")")</f>
        <v>Balutot, Mary Cris . ()</v>
      </c>
      <c r="E732" s="70" t="s">
        <v>439</v>
      </c>
      <c r="F732" s="70"/>
      <c r="G732" s="69" t="s">
        <v>440</v>
      </c>
      <c r="H732" s="69"/>
      <c r="I732" s="71">
        <v>0.12</v>
      </c>
      <c r="J732" s="72">
        <v>1000.0</v>
      </c>
      <c r="K732" s="73"/>
      <c r="L732" s="73"/>
      <c r="M732" s="73"/>
      <c r="N732" s="74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30.0" customHeight="1">
      <c r="A733" s="68"/>
      <c r="B733" s="68">
        <v>747.0</v>
      </c>
      <c r="C733" s="68"/>
      <c r="D733" s="69" t="str">
        <f>CONCATENATE(PROPER('BIÑAN INFO'!$G733),", ",PROPER('BIÑAN INFO'!$E733)," ",PROPER('BIÑAN INFO'!$F733),"."," (",UPPER('BIÑAN INFO'!$H733),")")</f>
        <v>Bumalay, Romeo . ()</v>
      </c>
      <c r="E733" s="70" t="s">
        <v>441</v>
      </c>
      <c r="F733" s="70"/>
      <c r="G733" s="69" t="s">
        <v>442</v>
      </c>
      <c r="H733" s="69"/>
      <c r="I733" s="71">
        <v>0.05</v>
      </c>
      <c r="J733" s="72">
        <v>1000.0</v>
      </c>
      <c r="K733" s="73" t="s">
        <v>50</v>
      </c>
      <c r="L733" s="73"/>
      <c r="M733" s="73"/>
      <c r="N733" s="74" t="s">
        <v>443</v>
      </c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30.0" customHeight="1">
      <c r="A734" s="68"/>
      <c r="B734" s="68">
        <v>748.0</v>
      </c>
      <c r="C734" s="68"/>
      <c r="D734" s="69" t="str">
        <f>CONCATENATE(PROPER('BIÑAN INFO'!$G734),", ",PROPER('BIÑAN INFO'!$E734)," ",PROPER('BIÑAN INFO'!$F734),"."," (",UPPER('BIÑAN INFO'!$H734),")")</f>
        <v>Hocson, Diah . ()</v>
      </c>
      <c r="E734" s="70" t="s">
        <v>444</v>
      </c>
      <c r="F734" s="70"/>
      <c r="G734" s="69" t="s">
        <v>445</v>
      </c>
      <c r="H734" s="69"/>
      <c r="I734" s="71">
        <v>0.05</v>
      </c>
      <c r="J734" s="72">
        <v>1000.0</v>
      </c>
      <c r="K734" s="73" t="s">
        <v>50</v>
      </c>
      <c r="L734" s="73"/>
      <c r="M734" s="73"/>
      <c r="N734" s="74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30.0" customHeight="1">
      <c r="A735" s="68"/>
      <c r="B735" s="68">
        <v>749.0</v>
      </c>
      <c r="C735" s="68"/>
      <c r="D735" s="69" t="str">
        <f>CONCATENATE(PROPER('BIÑAN INFO'!$G735),", ",PROPER('BIÑAN INFO'!$E735)," ",PROPER('BIÑAN INFO'!$F735),"."," (",UPPER('BIÑAN INFO'!$H735),")")</f>
        <v>Libian, Capili . ()</v>
      </c>
      <c r="E735" s="70" t="s">
        <v>446</v>
      </c>
      <c r="F735" s="70"/>
      <c r="G735" s="70" t="s">
        <v>447</v>
      </c>
      <c r="H735" s="70"/>
      <c r="I735" s="71">
        <v>0.05</v>
      </c>
      <c r="J735" s="72">
        <v>1000.0</v>
      </c>
      <c r="K735" s="73" t="s">
        <v>448</v>
      </c>
      <c r="L735" s="73"/>
      <c r="M735" s="73"/>
      <c r="N735" s="74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30.0" customHeight="1">
      <c r="A736" s="68"/>
      <c r="B736" s="68">
        <v>750.0</v>
      </c>
      <c r="C736" s="68"/>
      <c r="D736" s="69" t="str">
        <f>CONCATENATE(PROPER('BIÑAN INFO'!$G736),", ",PROPER('BIÑAN INFO'!$E736)," ",PROPER('BIÑAN INFO'!$F736),"."," (",UPPER('BIÑAN INFO'!$H736),")")</f>
        <v>,  . ()</v>
      </c>
      <c r="E736" s="70"/>
      <c r="F736" s="70"/>
      <c r="G736" s="69"/>
      <c r="H736" s="69"/>
      <c r="I736" s="71">
        <v>0.12</v>
      </c>
      <c r="J736" s="72">
        <v>1000.0</v>
      </c>
      <c r="K736" s="73"/>
      <c r="L736" s="73"/>
      <c r="M736" s="73"/>
      <c r="N736" s="74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30.0" customHeight="1">
      <c r="A737" s="68"/>
      <c r="B737" s="68">
        <v>751.0</v>
      </c>
      <c r="C737" s="68"/>
      <c r="D737" s="69" t="str">
        <f>CONCATENATE(PROPER('BIÑAN INFO'!$G737),", ",PROPER('BIÑAN INFO'!$E737)," ",PROPER('BIÑAN INFO'!$F737),"."," (",UPPER('BIÑAN INFO'!$H737),")")</f>
        <v>,   . ()</v>
      </c>
      <c r="E737" s="70"/>
      <c r="F737" s="70" t="s">
        <v>449</v>
      </c>
      <c r="G737" s="69"/>
      <c r="H737" s="69"/>
      <c r="I737" s="71">
        <v>0.12</v>
      </c>
      <c r="J737" s="72">
        <v>1000.0</v>
      </c>
      <c r="K737" s="73"/>
      <c r="L737" s="73"/>
      <c r="M737" s="73"/>
      <c r="N737" s="74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30.0" customHeight="1">
      <c r="A738" s="68"/>
      <c r="B738" s="68">
        <v>752.0</v>
      </c>
      <c r="C738" s="68"/>
      <c r="D738" s="69" t="str">
        <f>CONCATENATE(PROPER('BIÑAN INFO'!$G738),", ",PROPER('BIÑAN INFO'!$E738)," ",PROPER('BIÑAN INFO'!$F738),"."," (",UPPER('BIÑAN INFO'!$H738),")")</f>
        <v>,  . ()</v>
      </c>
      <c r="E738" s="70"/>
      <c r="F738" s="70"/>
      <c r="G738" s="69"/>
      <c r="H738" s="69"/>
      <c r="I738" s="71">
        <v>0.12</v>
      </c>
      <c r="J738" s="72">
        <v>1000.0</v>
      </c>
      <c r="K738" s="73"/>
      <c r="L738" s="73"/>
      <c r="M738" s="73"/>
      <c r="N738" s="74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30.0" customHeight="1">
      <c r="A739" s="68"/>
      <c r="B739" s="68">
        <v>753.0</v>
      </c>
      <c r="C739" s="68"/>
      <c r="D739" s="69" t="str">
        <f>CONCATENATE(PROPER('BIÑAN INFO'!$G739),", ",PROPER('BIÑAN INFO'!$E739)," ",PROPER('BIÑAN INFO'!$F739),"."," (",UPPER('BIÑAN INFO'!$H739),")")</f>
        <v>,  . ()</v>
      </c>
      <c r="E739" s="70"/>
      <c r="F739" s="70"/>
      <c r="G739" s="69"/>
      <c r="H739" s="69"/>
      <c r="I739" s="71">
        <v>0.12</v>
      </c>
      <c r="J739" s="72">
        <v>1000.0</v>
      </c>
      <c r="K739" s="73"/>
      <c r="L739" s="73"/>
      <c r="M739" s="73"/>
      <c r="N739" s="74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30.0" customHeight="1">
      <c r="A740" s="68"/>
      <c r="B740" s="68">
        <v>754.0</v>
      </c>
      <c r="C740" s="68"/>
      <c r="D740" s="69" t="str">
        <f>CONCATENATE(PROPER('BIÑAN INFO'!$G740),", ",PROPER('BIÑAN INFO'!$E740)," ",PROPER('BIÑAN INFO'!$F740),"."," (",UPPER('BIÑAN INFO'!$H740),")")</f>
        <v>,  . ()</v>
      </c>
      <c r="E740" s="70"/>
      <c r="F740" s="70"/>
      <c r="G740" s="69"/>
      <c r="H740" s="69"/>
      <c r="I740" s="71">
        <v>0.12</v>
      </c>
      <c r="J740" s="72">
        <v>1000.0</v>
      </c>
      <c r="K740" s="73"/>
      <c r="L740" s="73"/>
      <c r="M740" s="73"/>
      <c r="N740" s="74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30.0" customHeight="1">
      <c r="A741" s="68"/>
      <c r="B741" s="68">
        <v>755.0</v>
      </c>
      <c r="C741" s="68"/>
      <c r="D741" s="69" t="str">
        <f>CONCATENATE(PROPER('BIÑAN INFO'!$G741),", ",PROPER('BIÑAN INFO'!$E741)," ",PROPER('BIÑAN INFO'!$F741),"."," (",UPPER('BIÑAN INFO'!$H741),")")</f>
        <v>,  . ()</v>
      </c>
      <c r="E741" s="70"/>
      <c r="F741" s="70"/>
      <c r="G741" s="70"/>
      <c r="H741" s="69"/>
      <c r="I741" s="71">
        <v>0.12</v>
      </c>
      <c r="J741" s="72">
        <v>1000.0</v>
      </c>
      <c r="K741" s="73"/>
      <c r="L741" s="73"/>
      <c r="M741" s="73"/>
      <c r="N741" s="74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30.0" customHeight="1">
      <c r="A742" s="68"/>
      <c r="B742" s="68">
        <v>756.0</v>
      </c>
      <c r="C742" s="68"/>
      <c r="D742" s="69" t="str">
        <f>CONCATENATE(PROPER('BIÑAN INFO'!$G742),", ",PROPER('BIÑAN INFO'!$E742)," ",PROPER('BIÑAN INFO'!$F742),"."," (",UPPER('BIÑAN INFO'!$H742),")")</f>
        <v>,  . ()</v>
      </c>
      <c r="E742" s="70"/>
      <c r="F742" s="70"/>
      <c r="G742" s="70"/>
      <c r="H742" s="69"/>
      <c r="I742" s="71">
        <v>0.12</v>
      </c>
      <c r="J742" s="72">
        <v>1000.0</v>
      </c>
      <c r="K742" s="73"/>
      <c r="L742" s="73"/>
      <c r="M742" s="73"/>
      <c r="N742" s="74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30.0" customHeight="1">
      <c r="A743" s="68"/>
      <c r="B743" s="68">
        <v>757.0</v>
      </c>
      <c r="C743" s="68"/>
      <c r="D743" s="69" t="str">
        <f>CONCATENATE(PROPER('BIÑAN INFO'!$G743),", ",PROPER('BIÑAN INFO'!$E743)," ",PROPER('BIÑAN INFO'!$F743),"."," (",UPPER('BIÑAN INFO'!$H743),")")</f>
        <v>,  . ()</v>
      </c>
      <c r="E743" s="70"/>
      <c r="F743" s="70"/>
      <c r="G743" s="70"/>
      <c r="H743" s="69"/>
      <c r="I743" s="71">
        <v>0.12</v>
      </c>
      <c r="J743" s="72">
        <v>1000.0</v>
      </c>
      <c r="K743" s="73"/>
      <c r="L743" s="73"/>
      <c r="M743" s="73"/>
      <c r="N743" s="74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30.0" customHeight="1">
      <c r="A744" s="68"/>
      <c r="B744" s="68">
        <v>758.0</v>
      </c>
      <c r="C744" s="68"/>
      <c r="D744" s="69" t="str">
        <f>CONCATENATE(PROPER('BIÑAN INFO'!$G744),", ",PROPER('BIÑAN INFO'!$E744)," ",PROPER('BIÑAN INFO'!$F744),"."," (",UPPER('BIÑAN INFO'!$H744),")")</f>
        <v>,  . ()</v>
      </c>
      <c r="E744" s="70"/>
      <c r="F744" s="70"/>
      <c r="G744" s="70"/>
      <c r="H744" s="69"/>
      <c r="I744" s="71">
        <v>0.12</v>
      </c>
      <c r="J744" s="72">
        <v>1000.0</v>
      </c>
      <c r="K744" s="73"/>
      <c r="L744" s="73"/>
      <c r="M744" s="73"/>
      <c r="N744" s="74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30.0" customHeight="1">
      <c r="A745" s="68"/>
      <c r="B745" s="68">
        <v>759.0</v>
      </c>
      <c r="C745" s="68"/>
      <c r="D745" s="69" t="str">
        <f>CONCATENATE(PROPER('BIÑAN INFO'!$G745),", ",PROPER('BIÑAN INFO'!$E745)," ",PROPER('BIÑAN INFO'!$F745),"."," (",UPPER('BIÑAN INFO'!$H745),")")</f>
        <v>,  . ()</v>
      </c>
      <c r="E745" s="70"/>
      <c r="F745" s="70"/>
      <c r="G745" s="70"/>
      <c r="H745" s="69"/>
      <c r="I745" s="71">
        <v>0.12</v>
      </c>
      <c r="J745" s="72">
        <v>1000.0</v>
      </c>
      <c r="K745" s="73"/>
      <c r="L745" s="73"/>
      <c r="M745" s="73"/>
      <c r="N745" s="74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30.0" customHeight="1">
      <c r="A746" s="68"/>
      <c r="B746" s="68">
        <v>760.0</v>
      </c>
      <c r="C746" s="68"/>
      <c r="D746" s="69" t="str">
        <f>CONCATENATE(PROPER('BIÑAN INFO'!$G746),", ",PROPER('BIÑAN INFO'!$E746)," ",PROPER('BIÑAN INFO'!$F746),"."," (",UPPER('BIÑAN INFO'!$H746),")")</f>
        <v>,  . ()</v>
      </c>
      <c r="E746" s="70"/>
      <c r="F746" s="70"/>
      <c r="G746" s="70"/>
      <c r="H746" s="69"/>
      <c r="I746" s="71">
        <v>0.12</v>
      </c>
      <c r="J746" s="72">
        <v>1000.0</v>
      </c>
      <c r="K746" s="73"/>
      <c r="L746" s="73"/>
      <c r="M746" s="73"/>
      <c r="N746" s="74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30.0" customHeight="1">
      <c r="A747" s="68"/>
      <c r="B747" s="68">
        <v>761.0</v>
      </c>
      <c r="C747" s="68"/>
      <c r="D747" s="69" t="str">
        <f>CONCATENATE(PROPER('BIÑAN INFO'!$G747),", ",PROPER('BIÑAN INFO'!$E747)," ",PROPER('BIÑAN INFO'!$F747),"."," (",UPPER('BIÑAN INFO'!$H747),")")</f>
        <v>,  . ()</v>
      </c>
      <c r="E747" s="70"/>
      <c r="F747" s="70"/>
      <c r="G747" s="69"/>
      <c r="H747" s="69"/>
      <c r="I747" s="71">
        <v>0.12</v>
      </c>
      <c r="J747" s="72">
        <v>1000.0</v>
      </c>
      <c r="K747" s="73"/>
      <c r="L747" s="73"/>
      <c r="M747" s="73"/>
      <c r="N747" s="74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30.0" customHeight="1">
      <c r="A748" s="68"/>
      <c r="B748" s="68">
        <v>762.0</v>
      </c>
      <c r="C748" s="68"/>
      <c r="D748" s="69" t="str">
        <f>CONCATENATE(PROPER('BIÑAN INFO'!$G748),", ",PROPER('BIÑAN INFO'!$E748)," ",PROPER('BIÑAN INFO'!$F748),"."," (",UPPER('BIÑAN INFO'!$H748),")")</f>
        <v>,  . ()</v>
      </c>
      <c r="E748" s="70"/>
      <c r="F748" s="70"/>
      <c r="G748" s="69"/>
      <c r="H748" s="69"/>
      <c r="I748" s="71">
        <v>0.12</v>
      </c>
      <c r="J748" s="72">
        <v>1000.0</v>
      </c>
      <c r="K748" s="73"/>
      <c r="L748" s="73"/>
      <c r="M748" s="73"/>
      <c r="N748" s="74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30.0" customHeight="1">
      <c r="A749" s="68"/>
      <c r="B749" s="68">
        <v>763.0</v>
      </c>
      <c r="C749" s="68"/>
      <c r="D749" s="69" t="str">
        <f>CONCATENATE(PROPER('BIÑAN INFO'!$G749),", ",PROPER('BIÑAN INFO'!$E749)," ",PROPER('BIÑAN INFO'!$F749),"."," (",UPPER('BIÑAN INFO'!$H749),")")</f>
        <v>,  . ()</v>
      </c>
      <c r="E749" s="70"/>
      <c r="F749" s="70"/>
      <c r="G749" s="69"/>
      <c r="H749" s="69"/>
      <c r="I749" s="71">
        <v>0.12</v>
      </c>
      <c r="J749" s="72">
        <v>1000.0</v>
      </c>
      <c r="K749" s="73"/>
      <c r="L749" s="73"/>
      <c r="M749" s="73"/>
      <c r="N749" s="74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30.0" customHeight="1">
      <c r="A750" s="68"/>
      <c r="B750" s="68">
        <v>764.0</v>
      </c>
      <c r="C750" s="68"/>
      <c r="D750" s="69" t="str">
        <f>CONCATENATE(PROPER('BIÑAN INFO'!$G750),", ",PROPER('BIÑAN INFO'!$E750)," ",PROPER('BIÑAN INFO'!$F750),"."," (",UPPER('BIÑAN INFO'!$H750),")")</f>
        <v>,  . ()</v>
      </c>
      <c r="E750" s="70"/>
      <c r="F750" s="70"/>
      <c r="G750" s="69"/>
      <c r="H750" s="69"/>
      <c r="I750" s="71">
        <v>0.12</v>
      </c>
      <c r="J750" s="72">
        <v>1000.0</v>
      </c>
      <c r="K750" s="73"/>
      <c r="L750" s="73"/>
      <c r="M750" s="73"/>
      <c r="N750" s="74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30.0" customHeight="1">
      <c r="A751" s="68"/>
      <c r="B751" s="68">
        <v>765.0</v>
      </c>
      <c r="C751" s="68"/>
      <c r="D751" s="69" t="str">
        <f>CONCATENATE(PROPER('BIÑAN INFO'!$G751),", ",PROPER('BIÑAN INFO'!$E751)," ",PROPER('BIÑAN INFO'!$F751),"."," (",UPPER('BIÑAN INFO'!$H751),")")</f>
        <v>,  . ()</v>
      </c>
      <c r="E751" s="70"/>
      <c r="F751" s="70"/>
      <c r="G751" s="69"/>
      <c r="H751" s="69"/>
      <c r="I751" s="71">
        <v>0.12</v>
      </c>
      <c r="J751" s="72">
        <v>1000.0</v>
      </c>
      <c r="K751" s="73"/>
      <c r="L751" s="73"/>
      <c r="M751" s="73"/>
      <c r="N751" s="74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30.0" customHeight="1">
      <c r="A752" s="68"/>
      <c r="B752" s="68">
        <v>766.0</v>
      </c>
      <c r="C752" s="68"/>
      <c r="D752" s="69" t="str">
        <f>CONCATENATE(PROPER('BIÑAN INFO'!$G752),", ",PROPER('BIÑAN INFO'!$E752)," ",PROPER('BIÑAN INFO'!$F752),"."," (",UPPER('BIÑAN INFO'!$H752),")")</f>
        <v>,  . ()</v>
      </c>
      <c r="E752" s="70"/>
      <c r="F752" s="70"/>
      <c r="G752" s="69"/>
      <c r="H752" s="69"/>
      <c r="I752" s="71">
        <v>0.12</v>
      </c>
      <c r="J752" s="72">
        <v>1000.0</v>
      </c>
      <c r="K752" s="73"/>
      <c r="L752" s="73"/>
      <c r="M752" s="73"/>
      <c r="N752" s="74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30.0" customHeight="1">
      <c r="A753" s="68"/>
      <c r="B753" s="68">
        <v>767.0</v>
      </c>
      <c r="C753" s="68"/>
      <c r="D753" s="69" t="str">
        <f>CONCATENATE(PROPER('BIÑAN INFO'!$G753),", ",PROPER('BIÑAN INFO'!$E753)," ",PROPER('BIÑAN INFO'!$F753),"."," (",UPPER('BIÑAN INFO'!$H753),")")</f>
        <v>,  . ()</v>
      </c>
      <c r="E753" s="70"/>
      <c r="F753" s="70"/>
      <c r="G753" s="69"/>
      <c r="H753" s="69"/>
      <c r="I753" s="71">
        <v>0.12</v>
      </c>
      <c r="J753" s="72">
        <v>1000.0</v>
      </c>
      <c r="K753" s="73"/>
      <c r="L753" s="73"/>
      <c r="M753" s="73"/>
      <c r="N753" s="74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30.0" customHeight="1">
      <c r="A754" s="68"/>
      <c r="B754" s="68">
        <v>768.0</v>
      </c>
      <c r="C754" s="68"/>
      <c r="D754" s="69" t="str">
        <f>CONCATENATE(PROPER('BIÑAN INFO'!$G754),", ",PROPER('BIÑAN INFO'!$E754)," ",PROPER('BIÑAN INFO'!$F754),"."," (",UPPER('BIÑAN INFO'!$H754),")")</f>
        <v>,  . ()</v>
      </c>
      <c r="E754" s="70"/>
      <c r="F754" s="70"/>
      <c r="G754" s="69"/>
      <c r="H754" s="69"/>
      <c r="I754" s="71">
        <v>0.12</v>
      </c>
      <c r="J754" s="72">
        <v>1000.0</v>
      </c>
      <c r="K754" s="73"/>
      <c r="L754" s="73"/>
      <c r="M754" s="73"/>
      <c r="N754" s="74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30.0" customHeight="1">
      <c r="A755" s="68"/>
      <c r="B755" s="68">
        <v>769.0</v>
      </c>
      <c r="C755" s="68"/>
      <c r="D755" s="69" t="str">
        <f>CONCATENATE(PROPER('BIÑAN INFO'!$G755),", ",PROPER('BIÑAN INFO'!$E755)," ",PROPER('BIÑAN INFO'!$F755),"."," (",UPPER('BIÑAN INFO'!$H755),")")</f>
        <v>Pera, Desirie . ()</v>
      </c>
      <c r="E755" s="70" t="s">
        <v>450</v>
      </c>
      <c r="F755" s="70"/>
      <c r="G755" s="69" t="s">
        <v>224</v>
      </c>
      <c r="H755" s="69"/>
      <c r="I755" s="71">
        <v>0.05</v>
      </c>
      <c r="J755" s="72">
        <v>1000.0</v>
      </c>
      <c r="K755" s="73" t="s">
        <v>50</v>
      </c>
      <c r="L755" s="73"/>
      <c r="M755" s="73"/>
      <c r="N755" s="74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30.0" customHeight="1">
      <c r="A756" s="68"/>
      <c r="B756" s="68">
        <v>770.0</v>
      </c>
      <c r="C756" s="68"/>
      <c r="D756" s="69" t="str">
        <f>CONCATENATE(PROPER('BIÑAN INFO'!$G756),", ",PROPER('BIÑAN INFO'!$E756)," ",PROPER('BIÑAN INFO'!$F756),"."," (",UPPER('BIÑAN INFO'!$H756),")")</f>
        <v>,  . ()</v>
      </c>
      <c r="E756" s="70"/>
      <c r="F756" s="70"/>
      <c r="G756" s="69"/>
      <c r="H756" s="69"/>
      <c r="I756" s="71">
        <v>0.12</v>
      </c>
      <c r="J756" s="72">
        <v>1000.0</v>
      </c>
      <c r="K756" s="73"/>
      <c r="L756" s="73"/>
      <c r="M756" s="73"/>
      <c r="N756" s="74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30.0" customHeight="1">
      <c r="A757" s="68"/>
      <c r="B757" s="68">
        <v>771.0</v>
      </c>
      <c r="C757" s="68"/>
      <c r="D757" s="69" t="str">
        <f>CONCATENATE(PROPER('BIÑAN INFO'!$G757),", ",PROPER('BIÑAN INFO'!$E757)," ",PROPER('BIÑAN INFO'!$F757),"."," (",UPPER('BIÑAN INFO'!$H757),")")</f>
        <v>,  . ()</v>
      </c>
      <c r="E757" s="70"/>
      <c r="F757" s="70"/>
      <c r="G757" s="69"/>
      <c r="H757" s="69"/>
      <c r="I757" s="71">
        <v>0.12</v>
      </c>
      <c r="J757" s="72">
        <v>1000.0</v>
      </c>
      <c r="K757" s="73"/>
      <c r="L757" s="73"/>
      <c r="M757" s="73"/>
      <c r="N757" s="74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30.0" customHeight="1">
      <c r="A758" s="68"/>
      <c r="B758" s="68">
        <v>772.0</v>
      </c>
      <c r="C758" s="68"/>
      <c r="D758" s="69" t="str">
        <f>CONCATENATE(PROPER('BIÑAN INFO'!$G758),", ",PROPER('BIÑAN INFO'!$E758)," ",PROPER('BIÑAN INFO'!$F758),"."," (",UPPER('BIÑAN INFO'!$H758),")")</f>
        <v>,  . ()</v>
      </c>
      <c r="E758" s="70"/>
      <c r="F758" s="70"/>
      <c r="G758" s="69"/>
      <c r="H758" s="69"/>
      <c r="I758" s="71">
        <v>0.12</v>
      </c>
      <c r="J758" s="72">
        <v>1000.0</v>
      </c>
      <c r="K758" s="73"/>
      <c r="L758" s="73"/>
      <c r="M758" s="73"/>
      <c r="N758" s="74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30.0" customHeight="1">
      <c r="A759" s="68"/>
      <c r="B759" s="68">
        <v>773.0</v>
      </c>
      <c r="C759" s="68"/>
      <c r="D759" s="69" t="str">
        <f>CONCATENATE(PROPER('BIÑAN INFO'!$G759),", ",PROPER('BIÑAN INFO'!$E759)," ",PROPER('BIÑAN INFO'!$F759),"."," (",UPPER('BIÑAN INFO'!$H759),")")</f>
        <v>,  . ()</v>
      </c>
      <c r="E759" s="70"/>
      <c r="F759" s="70"/>
      <c r="G759" s="69"/>
      <c r="H759" s="69"/>
      <c r="I759" s="71">
        <v>0.12</v>
      </c>
      <c r="J759" s="72">
        <v>1000.0</v>
      </c>
      <c r="K759" s="73"/>
      <c r="L759" s="73"/>
      <c r="M759" s="73"/>
      <c r="N759" s="74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30.0" customHeight="1">
      <c r="A760" s="68"/>
      <c r="B760" s="68">
        <v>774.0</v>
      </c>
      <c r="C760" s="68"/>
      <c r="D760" s="69" t="str">
        <f>CONCATENATE(PROPER('BIÑAN INFO'!$G760),", ",PROPER('BIÑAN INFO'!$E760)," ",PROPER('BIÑAN INFO'!$F760),"."," (",UPPER('BIÑAN INFO'!$H760),")")</f>
        <v>,  . ()</v>
      </c>
      <c r="E760" s="70"/>
      <c r="F760" s="70"/>
      <c r="G760" s="69"/>
      <c r="H760" s="69"/>
      <c r="I760" s="71">
        <v>0.12</v>
      </c>
      <c r="J760" s="72">
        <v>1000.0</v>
      </c>
      <c r="K760" s="73"/>
      <c r="L760" s="73"/>
      <c r="M760" s="73"/>
      <c r="N760" s="74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30.0" customHeight="1">
      <c r="A761" s="68"/>
      <c r="B761" s="68">
        <v>775.0</v>
      </c>
      <c r="C761" s="68"/>
      <c r="D761" s="69" t="str">
        <f>CONCATENATE(PROPER('BIÑAN INFO'!$G761),", ",PROPER('BIÑAN INFO'!$E761)," ",PROPER('BIÑAN INFO'!$F761),"."," (",UPPER('BIÑAN INFO'!$H761),")")</f>
        <v>,  . ()</v>
      </c>
      <c r="E761" s="70"/>
      <c r="F761" s="70"/>
      <c r="G761" s="69"/>
      <c r="H761" s="69"/>
      <c r="I761" s="71">
        <v>0.12</v>
      </c>
      <c r="J761" s="72">
        <v>1000.0</v>
      </c>
      <c r="K761" s="73"/>
      <c r="L761" s="73"/>
      <c r="M761" s="73"/>
      <c r="N761" s="74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30.0" customHeight="1">
      <c r="A762" s="68"/>
      <c r="B762" s="68">
        <v>776.0</v>
      </c>
      <c r="C762" s="68"/>
      <c r="D762" s="69" t="str">
        <f>CONCATENATE(PROPER('BIÑAN INFO'!$G762),", ",PROPER('BIÑAN INFO'!$E762)," ",PROPER('BIÑAN INFO'!$F762),"."," (",UPPER('BIÑAN INFO'!$H762),")")</f>
        <v>,  . ()</v>
      </c>
      <c r="E762" s="70"/>
      <c r="F762" s="70"/>
      <c r="G762" s="69"/>
      <c r="H762" s="69"/>
      <c r="I762" s="71">
        <v>0.12</v>
      </c>
      <c r="J762" s="72">
        <v>1000.0</v>
      </c>
      <c r="K762" s="73"/>
      <c r="L762" s="73"/>
      <c r="M762" s="73"/>
      <c r="N762" s="74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30.0" customHeight="1">
      <c r="A763" s="68"/>
      <c r="B763" s="68">
        <v>777.0</v>
      </c>
      <c r="C763" s="68"/>
      <c r="D763" s="69" t="str">
        <f>CONCATENATE(PROPER('BIÑAN INFO'!$G763),", ",PROPER('BIÑAN INFO'!$E763)," ",PROPER('BIÑAN INFO'!$F763),"."," (",UPPER('BIÑAN INFO'!$H763),")")</f>
        <v>,  . ()</v>
      </c>
      <c r="E763" s="70"/>
      <c r="F763" s="70"/>
      <c r="G763" s="69"/>
      <c r="H763" s="69"/>
      <c r="I763" s="71">
        <v>0.12</v>
      </c>
      <c r="J763" s="72">
        <v>1000.0</v>
      </c>
      <c r="K763" s="73"/>
      <c r="L763" s="73"/>
      <c r="M763" s="73"/>
      <c r="N763" s="74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30.0" customHeight="1">
      <c r="A764" s="68"/>
      <c r="B764" s="68">
        <v>778.0</v>
      </c>
      <c r="C764" s="68"/>
      <c r="D764" s="69" t="str">
        <f>CONCATENATE(PROPER('BIÑAN INFO'!$G764),", ",PROPER('BIÑAN INFO'!$E764)," ",PROPER('BIÑAN INFO'!$F764),"."," (",UPPER('BIÑAN INFO'!$H764),")")</f>
        <v>,  . ()</v>
      </c>
      <c r="E764" s="70"/>
      <c r="F764" s="70"/>
      <c r="G764" s="69"/>
      <c r="H764" s="69"/>
      <c r="I764" s="71">
        <v>0.12</v>
      </c>
      <c r="J764" s="72">
        <v>1000.0</v>
      </c>
      <c r="K764" s="73"/>
      <c r="L764" s="73"/>
      <c r="M764" s="73"/>
      <c r="N764" s="74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30.0" customHeight="1">
      <c r="A765" s="68"/>
      <c r="B765" s="68">
        <v>779.0</v>
      </c>
      <c r="C765" s="68"/>
      <c r="D765" s="69" t="str">
        <f>CONCATENATE(PROPER('BIÑAN INFO'!$G765),", ",PROPER('BIÑAN INFO'!$E765)," ",PROPER('BIÑAN INFO'!$F765),"."," (",UPPER('BIÑAN INFO'!$H765),")")</f>
        <v>,  . ()</v>
      </c>
      <c r="E765" s="70"/>
      <c r="F765" s="70"/>
      <c r="G765" s="69"/>
      <c r="H765" s="69"/>
      <c r="I765" s="71">
        <v>0.12</v>
      </c>
      <c r="J765" s="72">
        <v>1000.0</v>
      </c>
      <c r="K765" s="73"/>
      <c r="L765" s="73"/>
      <c r="M765" s="73"/>
      <c r="N765" s="74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30.0" customHeight="1">
      <c r="A766" s="68"/>
      <c r="B766" s="68">
        <v>780.0</v>
      </c>
      <c r="C766" s="68"/>
      <c r="D766" s="69" t="str">
        <f>CONCATENATE(PROPER('BIÑAN INFO'!$G766),", ",PROPER('BIÑAN INFO'!$E766)," ",PROPER('BIÑAN INFO'!$F766),"."," (",UPPER('BIÑAN INFO'!$H766),")")</f>
        <v>,  . ()</v>
      </c>
      <c r="E766" s="70"/>
      <c r="F766" s="70"/>
      <c r="G766" s="69"/>
      <c r="H766" s="69"/>
      <c r="I766" s="71">
        <v>0.05</v>
      </c>
      <c r="J766" s="72">
        <v>1000.0</v>
      </c>
      <c r="K766" s="73" t="s">
        <v>50</v>
      </c>
      <c r="L766" s="73"/>
      <c r="M766" s="73"/>
      <c r="N766" s="74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30.0" customHeight="1">
      <c r="A767" s="68"/>
      <c r="B767" s="68">
        <v>781.0</v>
      </c>
      <c r="C767" s="68"/>
      <c r="D767" s="69" t="str">
        <f>CONCATENATE(PROPER('BIÑAN INFO'!$G767),", ",PROPER('BIÑAN INFO'!$E767)," ",PROPER('BIÑAN INFO'!$F767),"."," (",UPPER('BIÑAN INFO'!$H767),")")</f>
        <v>,  . ()</v>
      </c>
      <c r="E767" s="70"/>
      <c r="F767" s="70"/>
      <c r="G767" s="69"/>
      <c r="H767" s="69"/>
      <c r="I767" s="71">
        <v>0.12</v>
      </c>
      <c r="J767" s="72">
        <v>1000.0</v>
      </c>
      <c r="K767" s="73"/>
      <c r="L767" s="73"/>
      <c r="M767" s="73"/>
      <c r="N767" s="74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30.0" customHeight="1">
      <c r="A768" s="68"/>
      <c r="B768" s="68">
        <v>782.0</v>
      </c>
      <c r="C768" s="68"/>
      <c r="D768" s="69" t="str">
        <f>CONCATENATE(PROPER('BIÑAN INFO'!$G768),", ",PROPER('BIÑAN INFO'!$E768)," ",PROPER('BIÑAN INFO'!$F768),"."," (",UPPER('BIÑAN INFO'!$H768),")")</f>
        <v>,  . ()</v>
      </c>
      <c r="E768" s="70"/>
      <c r="F768" s="70"/>
      <c r="G768" s="69"/>
      <c r="H768" s="69"/>
      <c r="I768" s="71">
        <v>0.12</v>
      </c>
      <c r="J768" s="72">
        <v>1000.0</v>
      </c>
      <c r="K768" s="73"/>
      <c r="L768" s="73"/>
      <c r="M768" s="73"/>
      <c r="N768" s="74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30.0" customHeight="1">
      <c r="A769" s="68"/>
      <c r="B769" s="68">
        <v>783.0</v>
      </c>
      <c r="C769" s="68"/>
      <c r="D769" s="69" t="str">
        <f>CONCATENATE(PROPER('BIÑAN INFO'!$G769),", ",PROPER('BIÑAN INFO'!$E769)," ",PROPER('BIÑAN INFO'!$F769),"."," (",UPPER('BIÑAN INFO'!$H769),")")</f>
        <v>Manalansan, Alvin . ()</v>
      </c>
      <c r="E769" s="70" t="s">
        <v>451</v>
      </c>
      <c r="F769" s="70"/>
      <c r="G769" s="69" t="s">
        <v>452</v>
      </c>
      <c r="H769" s="69"/>
      <c r="I769" s="71">
        <v>0.12</v>
      </c>
      <c r="J769" s="72">
        <v>1000.0</v>
      </c>
      <c r="K769" s="73"/>
      <c r="L769" s="73"/>
      <c r="M769" s="73"/>
      <c r="N769" s="74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30.0" customHeight="1">
      <c r="A770" s="68"/>
      <c r="B770" s="68">
        <v>784.0</v>
      </c>
      <c r="C770" s="68"/>
      <c r="D770" s="69" t="str">
        <f>CONCATENATE(PROPER('BIÑAN INFO'!$G770),", ",PROPER('BIÑAN INFO'!$E770)," ",PROPER('BIÑAN INFO'!$F770),"."," (",UPPER('BIÑAN INFO'!$H770),")")</f>
        <v>Villanueva, Mhar . ()</v>
      </c>
      <c r="E770" s="70" t="s">
        <v>453</v>
      </c>
      <c r="F770" s="70"/>
      <c r="G770" s="70" t="s">
        <v>454</v>
      </c>
      <c r="H770" s="69"/>
      <c r="I770" s="71">
        <v>0.12</v>
      </c>
      <c r="J770" s="72">
        <v>3000.0</v>
      </c>
      <c r="K770" s="73"/>
      <c r="L770" s="73"/>
      <c r="M770" s="73"/>
      <c r="N770" s="74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30.0" customHeight="1">
      <c r="A771" s="68"/>
      <c r="B771" s="68">
        <v>785.0</v>
      </c>
      <c r="C771" s="68"/>
      <c r="D771" s="69" t="str">
        <f>CONCATENATE(PROPER('BIÑAN INFO'!$G771),", ",PROPER('BIÑAN INFO'!$E771)," ",PROPER('BIÑAN INFO'!$F771),"."," (",UPPER('BIÑAN INFO'!$H771),")")</f>
        <v>,  . ()</v>
      </c>
      <c r="E771" s="70"/>
      <c r="F771" s="70"/>
      <c r="G771" s="70"/>
      <c r="H771" s="69"/>
      <c r="I771" s="71">
        <v>0.12</v>
      </c>
      <c r="J771" s="72">
        <v>1000.0</v>
      </c>
      <c r="K771" s="73"/>
      <c r="L771" s="73"/>
      <c r="M771" s="73"/>
      <c r="N771" s="74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30.0" customHeight="1">
      <c r="A772" s="68"/>
      <c r="B772" s="68">
        <v>786.0</v>
      </c>
      <c r="C772" s="68"/>
      <c r="D772" s="69" t="str">
        <f>CONCATENATE(PROPER('BIÑAN INFO'!$G772),", ",PROPER('BIÑAN INFO'!$E772)," ",PROPER('BIÑAN INFO'!$F772),"."," (",UPPER('BIÑAN INFO'!$H772),")")</f>
        <v>,  . ()</v>
      </c>
      <c r="E772" s="70"/>
      <c r="F772" s="70"/>
      <c r="G772" s="70"/>
      <c r="H772" s="69"/>
      <c r="I772" s="71">
        <v>0.12</v>
      </c>
      <c r="J772" s="72">
        <v>1000.0</v>
      </c>
      <c r="K772" s="73"/>
      <c r="L772" s="73"/>
      <c r="M772" s="73"/>
      <c r="N772" s="74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30.0" customHeight="1">
      <c r="A773" s="68"/>
      <c r="B773" s="68">
        <v>787.0</v>
      </c>
      <c r="C773" s="68"/>
      <c r="D773" s="69" t="str">
        <f>CONCATENATE(PROPER('BIÑAN INFO'!$G773),", ",PROPER('BIÑAN INFO'!$E773)," ",PROPER('BIÑAN INFO'!$F773),"."," (",UPPER('BIÑAN INFO'!$H773),")")</f>
        <v>,  . ()</v>
      </c>
      <c r="E773" s="70"/>
      <c r="F773" s="70"/>
      <c r="G773" s="69"/>
      <c r="H773" s="69"/>
      <c r="I773" s="71">
        <v>0.12</v>
      </c>
      <c r="J773" s="72">
        <v>1000.0</v>
      </c>
      <c r="K773" s="73"/>
      <c r="L773" s="73"/>
      <c r="M773" s="73"/>
      <c r="N773" s="74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30.0" customHeight="1">
      <c r="A774" s="68"/>
      <c r="B774" s="68">
        <v>788.0</v>
      </c>
      <c r="C774" s="68"/>
      <c r="D774" s="69" t="str">
        <f>CONCATENATE(PROPER('BIÑAN INFO'!$G774),", ",PROPER('BIÑAN INFO'!$E774)," ",PROPER('BIÑAN INFO'!$F774),"."," (",UPPER('BIÑAN INFO'!$H774),")")</f>
        <v>,  . ()</v>
      </c>
      <c r="E774" s="70"/>
      <c r="F774" s="70"/>
      <c r="G774" s="70"/>
      <c r="H774" s="69"/>
      <c r="I774" s="71">
        <v>0.12</v>
      </c>
      <c r="J774" s="72">
        <v>1000.0</v>
      </c>
      <c r="K774" s="73"/>
      <c r="L774" s="73"/>
      <c r="M774" s="73"/>
      <c r="N774" s="74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30.0" customHeight="1">
      <c r="A775" s="68"/>
      <c r="B775" s="68">
        <v>789.0</v>
      </c>
      <c r="C775" s="68"/>
      <c r="D775" s="69" t="str">
        <f>CONCATENATE(PROPER('BIÑAN INFO'!$G775),", ",PROPER('BIÑAN INFO'!$E775)," ",PROPER('BIÑAN INFO'!$F775),"."," (",UPPER('BIÑAN INFO'!$H775),")")</f>
        <v>,  . ()</v>
      </c>
      <c r="E775" s="70"/>
      <c r="F775" s="70"/>
      <c r="G775" s="69"/>
      <c r="H775" s="69"/>
      <c r="I775" s="71">
        <v>0.12</v>
      </c>
      <c r="J775" s="72">
        <v>1000.0</v>
      </c>
      <c r="K775" s="73"/>
      <c r="L775" s="73"/>
      <c r="M775" s="73"/>
      <c r="N775" s="74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30.0" customHeight="1">
      <c r="A776" s="68"/>
      <c r="B776" s="68">
        <v>790.0</v>
      </c>
      <c r="C776" s="68"/>
      <c r="D776" s="69" t="str">
        <f>CONCATENATE(PROPER('BIÑAN INFO'!$G776),", ",PROPER('BIÑAN INFO'!$E776)," ",PROPER('BIÑAN INFO'!$F776),"."," (",UPPER('BIÑAN INFO'!$H776),")")</f>
        <v>,  . ()</v>
      </c>
      <c r="E776" s="70"/>
      <c r="F776" s="70"/>
      <c r="G776" s="69"/>
      <c r="H776" s="69"/>
      <c r="I776" s="71">
        <v>0.12</v>
      </c>
      <c r="J776" s="72">
        <v>1000.0</v>
      </c>
      <c r="K776" s="73"/>
      <c r="L776" s="73"/>
      <c r="M776" s="73"/>
      <c r="N776" s="74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30.0" customHeight="1">
      <c r="A777" s="68"/>
      <c r="B777" s="68">
        <v>791.0</v>
      </c>
      <c r="C777" s="68"/>
      <c r="D777" s="69" t="str">
        <f>CONCATENATE(PROPER('BIÑAN INFO'!$G777),", ",PROPER('BIÑAN INFO'!$E777)," ",PROPER('BIÑAN INFO'!$F777),"."," (",UPPER('BIÑAN INFO'!$H777),")")</f>
        <v>,  . ()</v>
      </c>
      <c r="E777" s="70"/>
      <c r="F777" s="70"/>
      <c r="G777" s="69"/>
      <c r="H777" s="69"/>
      <c r="I777" s="71">
        <v>0.12</v>
      </c>
      <c r="J777" s="72">
        <v>1000.0</v>
      </c>
      <c r="K777" s="73"/>
      <c r="L777" s="73"/>
      <c r="M777" s="73"/>
      <c r="N777" s="74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30.0" customHeight="1">
      <c r="A778" s="68"/>
      <c r="B778" s="68">
        <v>792.0</v>
      </c>
      <c r="C778" s="68"/>
      <c r="D778" s="69" t="str">
        <f>CONCATENATE(PROPER('BIÑAN INFO'!$G778),", ",PROPER('BIÑAN INFO'!$E778)," ",PROPER('BIÑAN INFO'!$F778),"."," (",UPPER('BIÑAN INFO'!$H778),")")</f>
        <v>,  . ()</v>
      </c>
      <c r="E778" s="70"/>
      <c r="F778" s="70"/>
      <c r="G778" s="69"/>
      <c r="H778" s="69"/>
      <c r="I778" s="71">
        <v>0.12</v>
      </c>
      <c r="J778" s="72">
        <v>1000.0</v>
      </c>
      <c r="K778" s="73"/>
      <c r="L778" s="73"/>
      <c r="M778" s="73"/>
      <c r="N778" s="74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30.0" customHeight="1">
      <c r="A779" s="68"/>
      <c r="B779" s="68">
        <v>793.0</v>
      </c>
      <c r="C779" s="68"/>
      <c r="D779" s="69" t="str">
        <f>CONCATENATE(PROPER('BIÑAN INFO'!$G779),", ",PROPER('BIÑAN INFO'!$E779)," ",PROPER('BIÑAN INFO'!$F779),"."," (",UPPER('BIÑAN INFO'!$H779),")")</f>
        <v>,  . ()</v>
      </c>
      <c r="E779" s="70"/>
      <c r="F779" s="70"/>
      <c r="G779" s="69"/>
      <c r="H779" s="69"/>
      <c r="I779" s="71">
        <v>0.12</v>
      </c>
      <c r="J779" s="72">
        <v>1000.0</v>
      </c>
      <c r="K779" s="73"/>
      <c r="L779" s="73"/>
      <c r="M779" s="73"/>
      <c r="N779" s="74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30.0" customHeight="1">
      <c r="A780" s="68"/>
      <c r="B780" s="68">
        <v>794.0</v>
      </c>
      <c r="C780" s="68"/>
      <c r="D780" s="69" t="str">
        <f>CONCATENATE(PROPER('BIÑAN INFO'!$G780),", ",PROPER('BIÑAN INFO'!$E780)," ",PROPER('BIÑAN INFO'!$F780),"."," (",UPPER('BIÑAN INFO'!$H780),")")</f>
        <v>,  . ()</v>
      </c>
      <c r="E780" s="70"/>
      <c r="F780" s="70"/>
      <c r="G780" s="69"/>
      <c r="H780" s="69"/>
      <c r="I780" s="71">
        <v>0.12</v>
      </c>
      <c r="J780" s="72">
        <v>1000.0</v>
      </c>
      <c r="K780" s="73"/>
      <c r="L780" s="73"/>
      <c r="M780" s="73"/>
      <c r="N780" s="74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30.0" customHeight="1">
      <c r="A781" s="68"/>
      <c r="B781" s="68">
        <v>795.0</v>
      </c>
      <c r="C781" s="68"/>
      <c r="D781" s="69" t="str">
        <f>CONCATENATE(PROPER('BIÑAN INFO'!$G781),", ",PROPER('BIÑAN INFO'!$E781)," ",PROPER('BIÑAN INFO'!$F781),"."," (",UPPER('BIÑAN INFO'!$H781),")")</f>
        <v>,  . ()</v>
      </c>
      <c r="E781" s="70"/>
      <c r="F781" s="70"/>
      <c r="G781" s="69"/>
      <c r="H781" s="69"/>
      <c r="I781" s="71">
        <v>0.12</v>
      </c>
      <c r="J781" s="72">
        <v>1000.0</v>
      </c>
      <c r="K781" s="73"/>
      <c r="L781" s="73"/>
      <c r="M781" s="73"/>
      <c r="N781" s="74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30.0" customHeight="1">
      <c r="A782" s="68"/>
      <c r="B782" s="68">
        <v>796.0</v>
      </c>
      <c r="C782" s="68"/>
      <c r="D782" s="69" t="str">
        <f>CONCATENATE(PROPER('BIÑAN INFO'!$G782),", ",PROPER('BIÑAN INFO'!$E782)," ",PROPER('BIÑAN INFO'!$F782),"."," (",UPPER('BIÑAN INFO'!$H782),")")</f>
        <v>,  . ()</v>
      </c>
      <c r="E782" s="70"/>
      <c r="F782" s="70"/>
      <c r="G782" s="69"/>
      <c r="H782" s="69"/>
      <c r="I782" s="71">
        <v>0.12</v>
      </c>
      <c r="J782" s="72">
        <v>1000.0</v>
      </c>
      <c r="K782" s="73"/>
      <c r="L782" s="73"/>
      <c r="M782" s="73"/>
      <c r="N782" s="74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30.0" customHeight="1">
      <c r="A783" s="68"/>
      <c r="B783" s="68">
        <v>797.0</v>
      </c>
      <c r="C783" s="68"/>
      <c r="D783" s="69" t="str">
        <f>CONCATENATE(PROPER('BIÑAN INFO'!$G783),", ",PROPER('BIÑAN INFO'!$E783)," ",PROPER('BIÑAN INFO'!$F783),"."," (",UPPER('BIÑAN INFO'!$H783),")")</f>
        <v>,  . ()</v>
      </c>
      <c r="E783" s="70"/>
      <c r="F783" s="70"/>
      <c r="G783" s="69"/>
      <c r="H783" s="69"/>
      <c r="I783" s="71">
        <v>0.12</v>
      </c>
      <c r="J783" s="72">
        <v>1000.0</v>
      </c>
      <c r="K783" s="73"/>
      <c r="L783" s="73"/>
      <c r="M783" s="73"/>
      <c r="N783" s="74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30.0" customHeight="1">
      <c r="A784" s="68"/>
      <c r="B784" s="68">
        <v>798.0</v>
      </c>
      <c r="C784" s="68"/>
      <c r="D784" s="69" t="str">
        <f>CONCATENATE(PROPER('BIÑAN INFO'!$G784),", ",PROPER('BIÑAN INFO'!$E784)," ",PROPER('BIÑAN INFO'!$F784),"."," (",UPPER('BIÑAN INFO'!$H784),")")</f>
        <v>,  . ()</v>
      </c>
      <c r="E784" s="70"/>
      <c r="F784" s="70"/>
      <c r="G784" s="69"/>
      <c r="H784" s="69"/>
      <c r="I784" s="71">
        <v>0.12</v>
      </c>
      <c r="J784" s="72">
        <v>1000.0</v>
      </c>
      <c r="K784" s="73"/>
      <c r="L784" s="73"/>
      <c r="M784" s="73"/>
      <c r="N784" s="74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30.0" customHeight="1">
      <c r="A785" s="68"/>
      <c r="B785" s="68">
        <v>799.0</v>
      </c>
      <c r="C785" s="68"/>
      <c r="D785" s="69" t="str">
        <f>CONCATENATE(PROPER('BIÑAN INFO'!$G785),", ",PROPER('BIÑAN INFO'!$E785)," ",PROPER('BIÑAN INFO'!$F785),"."," (",UPPER('BIÑAN INFO'!$H785),")")</f>
        <v>,  . ()</v>
      </c>
      <c r="E785" s="70"/>
      <c r="F785" s="70"/>
      <c r="G785" s="69"/>
      <c r="H785" s="69"/>
      <c r="I785" s="71">
        <v>0.12</v>
      </c>
      <c r="J785" s="72">
        <v>1000.0</v>
      </c>
      <c r="K785" s="73"/>
      <c r="L785" s="73"/>
      <c r="M785" s="73"/>
      <c r="N785" s="74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30.0" customHeight="1">
      <c r="A786" s="68"/>
      <c r="B786" s="68">
        <v>800.0</v>
      </c>
      <c r="C786" s="68"/>
      <c r="D786" s="69" t="str">
        <f>CONCATENATE(PROPER('BIÑAN INFO'!$G786),", ",PROPER('BIÑAN INFO'!$E786)," ",PROPER('BIÑAN INFO'!$F786),"."," (",UPPER('BIÑAN INFO'!$H786),")")</f>
        <v>,  . ()</v>
      </c>
      <c r="E786" s="70"/>
      <c r="F786" s="70"/>
      <c r="G786" s="69"/>
      <c r="H786" s="69"/>
      <c r="I786" s="71">
        <v>0.12</v>
      </c>
      <c r="J786" s="72">
        <v>1000.0</v>
      </c>
      <c r="K786" s="73"/>
      <c r="L786" s="73"/>
      <c r="M786" s="73"/>
      <c r="N786" s="74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30.0" customHeight="1">
      <c r="A787" s="68"/>
      <c r="B787" s="68">
        <v>801.0</v>
      </c>
      <c r="C787" s="68"/>
      <c r="D787" s="69" t="str">
        <f>CONCATENATE(PROPER('BIÑAN INFO'!$G787),", ",PROPER('BIÑAN INFO'!$E787)," ",PROPER('BIÑAN INFO'!$F787),"."," (",UPPER('BIÑAN INFO'!$H787),")")</f>
        <v>Laserna, Vivien . ()</v>
      </c>
      <c r="E787" s="70" t="s">
        <v>455</v>
      </c>
      <c r="F787" s="70"/>
      <c r="G787" s="69" t="s">
        <v>456</v>
      </c>
      <c r="H787" s="69"/>
      <c r="I787" s="71">
        <v>0.05</v>
      </c>
      <c r="J787" s="72">
        <v>1000.0</v>
      </c>
      <c r="K787" s="73" t="s">
        <v>50</v>
      </c>
      <c r="L787" s="73"/>
      <c r="M787" s="73"/>
      <c r="N787" s="74" t="s">
        <v>457</v>
      </c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30.0" customHeight="1">
      <c r="A788" s="68"/>
      <c r="B788" s="68">
        <v>802.0</v>
      </c>
      <c r="C788" s="68"/>
      <c r="D788" s="69" t="str">
        <f>CONCATENATE(PROPER('BIÑAN INFO'!$G788),", ",PROPER('BIÑAN INFO'!$E788)," ",PROPER('BIÑAN INFO'!$F788),"."," (",UPPER('BIÑAN INFO'!$H788),")")</f>
        <v>,  . ()</v>
      </c>
      <c r="E788" s="70"/>
      <c r="F788" s="70"/>
      <c r="G788" s="69"/>
      <c r="H788" s="69"/>
      <c r="I788" s="71">
        <v>0.12</v>
      </c>
      <c r="J788" s="72">
        <v>1000.0</v>
      </c>
      <c r="K788" s="73"/>
      <c r="L788" s="73"/>
      <c r="M788" s="73"/>
      <c r="N788" s="74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30.0" customHeight="1">
      <c r="A789" s="68"/>
      <c r="B789" s="68">
        <v>803.0</v>
      </c>
      <c r="C789" s="68"/>
      <c r="D789" s="69" t="str">
        <f>CONCATENATE(PROPER('BIÑAN INFO'!$G789),", ",PROPER('BIÑAN INFO'!$E789)," ",PROPER('BIÑAN INFO'!$F789),"."," (",UPPER('BIÑAN INFO'!$H789),")")</f>
        <v>,  . ()</v>
      </c>
      <c r="E789" s="70"/>
      <c r="F789" s="70"/>
      <c r="G789" s="69"/>
      <c r="H789" s="69"/>
      <c r="I789" s="71">
        <v>0.12</v>
      </c>
      <c r="J789" s="72">
        <v>1000.0</v>
      </c>
      <c r="K789" s="73"/>
      <c r="L789" s="73"/>
      <c r="M789" s="73"/>
      <c r="N789" s="74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30.0" customHeight="1">
      <c r="A790" s="68"/>
      <c r="B790" s="68">
        <v>804.0</v>
      </c>
      <c r="C790" s="68"/>
      <c r="D790" s="69" t="str">
        <f>CONCATENATE(PROPER('BIÑAN INFO'!$G790),", ",PROPER('BIÑAN INFO'!$E790)," ",PROPER('BIÑAN INFO'!$F790),"."," (",UPPER('BIÑAN INFO'!$H790),")")</f>
        <v>,  . ()</v>
      </c>
      <c r="E790" s="70"/>
      <c r="F790" s="70"/>
      <c r="G790" s="69"/>
      <c r="H790" s="69"/>
      <c r="I790" s="71">
        <v>0.12</v>
      </c>
      <c r="J790" s="72">
        <v>1000.0</v>
      </c>
      <c r="K790" s="73"/>
      <c r="L790" s="73"/>
      <c r="M790" s="73"/>
      <c r="N790" s="74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30.0" customHeight="1">
      <c r="A791" s="68"/>
      <c r="B791" s="68">
        <v>805.0</v>
      </c>
      <c r="C791" s="68"/>
      <c r="D791" s="69" t="str">
        <f>CONCATENATE(PROPER('BIÑAN INFO'!$G791),", ",PROPER('BIÑAN INFO'!$E791)," ",PROPER('BIÑAN INFO'!$F791),"."," (",UPPER('BIÑAN INFO'!$H791),")")</f>
        <v>,  . ()</v>
      </c>
      <c r="E791" s="70"/>
      <c r="F791" s="70"/>
      <c r="G791" s="69"/>
      <c r="H791" s="69"/>
      <c r="I791" s="71">
        <v>0.12</v>
      </c>
      <c r="J791" s="72">
        <v>1000.0</v>
      </c>
      <c r="K791" s="73"/>
      <c r="L791" s="73"/>
      <c r="M791" s="73"/>
      <c r="N791" s="74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30.0" customHeight="1">
      <c r="A792" s="68"/>
      <c r="B792" s="68">
        <v>806.0</v>
      </c>
      <c r="C792" s="68"/>
      <c r="D792" s="69" t="str">
        <f>CONCATENATE(PROPER('BIÑAN INFO'!$G792),", ",PROPER('BIÑAN INFO'!$E792)," ",PROPER('BIÑAN INFO'!$F792),"."," (",UPPER('BIÑAN INFO'!$H792),")")</f>
        <v>,  . ()</v>
      </c>
      <c r="E792" s="70"/>
      <c r="F792" s="70"/>
      <c r="G792" s="69"/>
      <c r="H792" s="69"/>
      <c r="I792" s="71">
        <v>0.12</v>
      </c>
      <c r="J792" s="72">
        <v>1000.0</v>
      </c>
      <c r="K792" s="73"/>
      <c r="L792" s="73"/>
      <c r="M792" s="73"/>
      <c r="N792" s="74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30.0" customHeight="1">
      <c r="A793" s="68"/>
      <c r="B793" s="68">
        <v>807.0</v>
      </c>
      <c r="C793" s="68"/>
      <c r="D793" s="69" t="str">
        <f>CONCATENATE(PROPER('BIÑAN INFO'!$G793),", ",PROPER('BIÑAN INFO'!$E793)," ",PROPER('BIÑAN INFO'!$F793),"."," (",UPPER('BIÑAN INFO'!$H793),")")</f>
        <v>Hubilla, Elizabeth . ()</v>
      </c>
      <c r="E793" s="70" t="s">
        <v>458</v>
      </c>
      <c r="F793" s="70"/>
      <c r="G793" s="69" t="s">
        <v>459</v>
      </c>
      <c r="H793" s="69"/>
      <c r="I793" s="71">
        <v>0.05</v>
      </c>
      <c r="J793" s="72">
        <v>1000.0</v>
      </c>
      <c r="K793" s="73" t="s">
        <v>50</v>
      </c>
      <c r="L793" s="73"/>
      <c r="M793" s="73"/>
      <c r="N793" s="74" t="s">
        <v>460</v>
      </c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30.0" customHeight="1">
      <c r="A794" s="68"/>
      <c r="B794" s="68">
        <v>808.0</v>
      </c>
      <c r="C794" s="68"/>
      <c r="D794" s="69" t="str">
        <f>CONCATENATE(PROPER('BIÑAN INFO'!$G794),", ",PROPER('BIÑAN INFO'!$E794)," ",PROPER('BIÑAN INFO'!$F794),"."," (",UPPER('BIÑAN INFO'!$H794),")")</f>
        <v>,  . ()</v>
      </c>
      <c r="E794" s="70"/>
      <c r="F794" s="70"/>
      <c r="G794" s="69"/>
      <c r="H794" s="69"/>
      <c r="I794" s="71">
        <v>0.12</v>
      </c>
      <c r="J794" s="72">
        <v>1000.0</v>
      </c>
      <c r="K794" s="73"/>
      <c r="L794" s="73"/>
      <c r="M794" s="73"/>
      <c r="N794" s="74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30.0" customHeight="1">
      <c r="A795" s="68"/>
      <c r="B795" s="68">
        <v>809.0</v>
      </c>
      <c r="C795" s="68"/>
      <c r="D795" s="69" t="str">
        <f>CONCATENATE(PROPER('BIÑAN INFO'!$G795),", ",PROPER('BIÑAN INFO'!$E795)," ",PROPER('BIÑAN INFO'!$F795),"."," (",UPPER('BIÑAN INFO'!$H795),")")</f>
        <v>,  . ()</v>
      </c>
      <c r="E795" s="70"/>
      <c r="F795" s="70"/>
      <c r="G795" s="69"/>
      <c r="H795" s="69"/>
      <c r="I795" s="71">
        <v>0.12</v>
      </c>
      <c r="J795" s="72">
        <v>1000.0</v>
      </c>
      <c r="K795" s="73"/>
      <c r="L795" s="73"/>
      <c r="M795" s="73"/>
      <c r="N795" s="74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30.0" customHeight="1">
      <c r="A796" s="68"/>
      <c r="B796" s="68">
        <v>810.0</v>
      </c>
      <c r="C796" s="68"/>
      <c r="D796" s="69" t="str">
        <f>CONCATENATE(PROPER('BIÑAN INFO'!$G796),", ",PROPER('BIÑAN INFO'!$E796)," ",PROPER('BIÑAN INFO'!$F796),"."," (",UPPER('BIÑAN INFO'!$H796),")")</f>
        <v>,  . ()</v>
      </c>
      <c r="E796" s="70"/>
      <c r="F796" s="70"/>
      <c r="G796" s="69"/>
      <c r="H796" s="69"/>
      <c r="I796" s="71">
        <v>0.12</v>
      </c>
      <c r="J796" s="72">
        <v>1000.0</v>
      </c>
      <c r="K796" s="73"/>
      <c r="L796" s="73"/>
      <c r="M796" s="73"/>
      <c r="N796" s="74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30.0" customHeight="1">
      <c r="A797" s="68"/>
      <c r="B797" s="68">
        <v>811.0</v>
      </c>
      <c r="C797" s="68"/>
      <c r="D797" s="69" t="str">
        <f>CONCATENATE(PROPER('BIÑAN INFO'!$G797),", ",PROPER('BIÑAN INFO'!$E797)," ",PROPER('BIÑAN INFO'!$F797),"."," (",UPPER('BIÑAN INFO'!$H797),")")</f>
        <v>,  . ()</v>
      </c>
      <c r="E797" s="70"/>
      <c r="F797" s="70"/>
      <c r="G797" s="69"/>
      <c r="H797" s="69"/>
      <c r="I797" s="71">
        <v>0.12</v>
      </c>
      <c r="J797" s="72">
        <v>1000.0</v>
      </c>
      <c r="K797" s="73"/>
      <c r="L797" s="73"/>
      <c r="M797" s="73"/>
      <c r="N797" s="74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30.0" customHeight="1">
      <c r="A798" s="68"/>
      <c r="B798" s="68">
        <v>812.0</v>
      </c>
      <c r="C798" s="68"/>
      <c r="D798" s="69" t="str">
        <f>CONCATENATE(PROPER('BIÑAN INFO'!$G798),", ",PROPER('BIÑAN INFO'!$E798)," ",PROPER('BIÑAN INFO'!$F798),"."," (",UPPER('BIÑAN INFO'!$H798),")")</f>
        <v>,  . ()</v>
      </c>
      <c r="E798" s="70"/>
      <c r="F798" s="70"/>
      <c r="G798" s="69"/>
      <c r="H798" s="69"/>
      <c r="I798" s="71">
        <v>0.12</v>
      </c>
      <c r="J798" s="72">
        <v>1000.0</v>
      </c>
      <c r="K798" s="73"/>
      <c r="L798" s="73"/>
      <c r="M798" s="73"/>
      <c r="N798" s="74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30.0" customHeight="1">
      <c r="A799" s="68"/>
      <c r="B799" s="68">
        <v>813.0</v>
      </c>
      <c r="C799" s="68"/>
      <c r="D799" s="69" t="str">
        <f>CONCATENATE(PROPER('BIÑAN INFO'!$G799),", ",PROPER('BIÑAN INFO'!$E799)," ",PROPER('BIÑAN INFO'!$F799),"."," (",UPPER('BIÑAN INFO'!$H799),")")</f>
        <v>Cabadillo, Anthony . ()</v>
      </c>
      <c r="E799" s="70" t="s">
        <v>360</v>
      </c>
      <c r="F799" s="70"/>
      <c r="G799" s="69" t="s">
        <v>461</v>
      </c>
      <c r="H799" s="69"/>
      <c r="I799" s="71">
        <v>0.12</v>
      </c>
      <c r="J799" s="72">
        <v>1000.0</v>
      </c>
      <c r="K799" s="73"/>
      <c r="L799" s="73"/>
      <c r="M799" s="73"/>
      <c r="N799" s="74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30.0" customHeight="1">
      <c r="A800" s="68"/>
      <c r="B800" s="68">
        <v>814.0</v>
      </c>
      <c r="C800" s="68"/>
      <c r="D800" s="69" t="str">
        <f>CONCATENATE(PROPER('BIÑAN INFO'!$G800),", ",PROPER('BIÑAN INFO'!$E800)," ",PROPER('BIÑAN INFO'!$F800),"."," (",UPPER('BIÑAN INFO'!$H800),")")</f>
        <v>,  . ()</v>
      </c>
      <c r="E800" s="70"/>
      <c r="F800" s="70"/>
      <c r="G800" s="70"/>
      <c r="H800" s="69"/>
      <c r="I800" s="71">
        <v>0.12</v>
      </c>
      <c r="J800" s="72">
        <v>1000.0</v>
      </c>
      <c r="K800" s="73"/>
      <c r="L800" s="73"/>
      <c r="M800" s="73"/>
      <c r="N800" s="74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30.0" customHeight="1">
      <c r="A801" s="68"/>
      <c r="B801" s="68">
        <v>815.0</v>
      </c>
      <c r="C801" s="68"/>
      <c r="D801" s="69" t="str">
        <f>CONCATENATE(PROPER('BIÑAN INFO'!$G801),", ",PROPER('BIÑAN INFO'!$E801)," ",PROPER('BIÑAN INFO'!$F801),"."," (",UPPER('BIÑAN INFO'!$H801),")")</f>
        <v>,  . ()</v>
      </c>
      <c r="E801" s="70"/>
      <c r="F801" s="70"/>
      <c r="G801" s="70"/>
      <c r="H801" s="69"/>
      <c r="I801" s="71">
        <v>0.12</v>
      </c>
      <c r="J801" s="72">
        <v>1000.0</v>
      </c>
      <c r="K801" s="73"/>
      <c r="L801" s="73"/>
      <c r="M801" s="73"/>
      <c r="N801" s="74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30.0" customHeight="1">
      <c r="A802" s="68"/>
      <c r="B802" s="68">
        <v>816.0</v>
      </c>
      <c r="C802" s="68"/>
      <c r="D802" s="69" t="str">
        <f>CONCATENATE(PROPER('BIÑAN INFO'!$G802),", ",PROPER('BIÑAN INFO'!$E802)," ",PROPER('BIÑAN INFO'!$F802),"."," (",UPPER('BIÑAN INFO'!$H802),")")</f>
        <v>,  . ()</v>
      </c>
      <c r="E802" s="70"/>
      <c r="F802" s="70"/>
      <c r="G802" s="70"/>
      <c r="H802" s="69"/>
      <c r="I802" s="71">
        <v>0.12</v>
      </c>
      <c r="J802" s="72">
        <v>1000.0</v>
      </c>
      <c r="K802" s="73"/>
      <c r="L802" s="73"/>
      <c r="M802" s="73"/>
      <c r="N802" s="74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30.0" customHeight="1">
      <c r="A803" s="68"/>
      <c r="B803" s="68">
        <v>817.0</v>
      </c>
      <c r="C803" s="68"/>
      <c r="D803" s="69" t="str">
        <f>CONCATENATE(PROPER('BIÑAN INFO'!$G803),", ",PROPER('BIÑAN INFO'!$E803)," ",PROPER('BIÑAN INFO'!$F803),"."," (",UPPER('BIÑAN INFO'!$H803),")")</f>
        <v>,  . ()</v>
      </c>
      <c r="E803" s="70"/>
      <c r="F803" s="70"/>
      <c r="G803" s="70"/>
      <c r="H803" s="69"/>
      <c r="I803" s="71">
        <v>0.12</v>
      </c>
      <c r="J803" s="72">
        <v>1000.0</v>
      </c>
      <c r="K803" s="73"/>
      <c r="L803" s="73"/>
      <c r="M803" s="73"/>
      <c r="N803" s="74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30.0" customHeight="1">
      <c r="A804" s="68"/>
      <c r="B804" s="68">
        <v>818.0</v>
      </c>
      <c r="C804" s="68"/>
      <c r="D804" s="69" t="str">
        <f>CONCATENATE(PROPER('BIÑAN INFO'!$G804),", ",PROPER('BIÑAN INFO'!$E804)," ",PROPER('BIÑAN INFO'!$F804),"."," (",UPPER('BIÑAN INFO'!$H804),")")</f>
        <v>Cayabyab, John Melson Justo. ()</v>
      </c>
      <c r="E804" s="70" t="s">
        <v>462</v>
      </c>
      <c r="F804" s="70" t="s">
        <v>463</v>
      </c>
      <c r="G804" s="70" t="s">
        <v>464</v>
      </c>
      <c r="H804" s="69"/>
      <c r="I804" s="71">
        <v>0.05</v>
      </c>
      <c r="J804" s="72">
        <v>1000.0</v>
      </c>
      <c r="K804" s="73" t="s">
        <v>50</v>
      </c>
      <c r="L804" s="73" t="s">
        <v>465</v>
      </c>
      <c r="M804" s="73">
        <v>2022.0</v>
      </c>
      <c r="N804" s="74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30.0" customHeight="1">
      <c r="A805" s="68"/>
      <c r="B805" s="68">
        <v>819.0</v>
      </c>
      <c r="C805" s="68"/>
      <c r="D805" s="69" t="str">
        <f>CONCATENATE(PROPER('BIÑAN INFO'!$G805),", ",PROPER('BIÑAN INFO'!$E805)," ",PROPER('BIÑAN INFO'!$F805),"."," (",UPPER('BIÑAN INFO'!$H805),")")</f>
        <v>,  . ()</v>
      </c>
      <c r="E805" s="70"/>
      <c r="F805" s="70"/>
      <c r="G805" s="70"/>
      <c r="H805" s="69"/>
      <c r="I805" s="71">
        <v>0.12</v>
      </c>
      <c r="J805" s="72">
        <v>1000.0</v>
      </c>
      <c r="K805" s="73"/>
      <c r="L805" s="73"/>
      <c r="M805" s="73"/>
      <c r="N805" s="74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30.0" customHeight="1">
      <c r="A806" s="68"/>
      <c r="B806" s="68">
        <v>820.0</v>
      </c>
      <c r="C806" s="68"/>
      <c r="D806" s="69" t="str">
        <f>CONCATENATE(PROPER('BIÑAN INFO'!$G806),", ",PROPER('BIÑAN INFO'!$E806)," ",PROPER('BIÑAN INFO'!$F806),"."," (",UPPER('BIÑAN INFO'!$H806),")")</f>
        <v>,  . ()</v>
      </c>
      <c r="E806" s="70"/>
      <c r="F806" s="70"/>
      <c r="G806" s="70"/>
      <c r="H806" s="69"/>
      <c r="I806" s="71">
        <v>0.12</v>
      </c>
      <c r="J806" s="72">
        <v>1000.0</v>
      </c>
      <c r="K806" s="73"/>
      <c r="L806" s="73"/>
      <c r="M806" s="73"/>
      <c r="N806" s="74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30.0" customHeight="1">
      <c r="A807" s="68"/>
      <c r="B807" s="68">
        <v>821.0</v>
      </c>
      <c r="C807" s="68"/>
      <c r="D807" s="69" t="str">
        <f>CONCATENATE(PROPER('BIÑAN INFO'!$G807),", ",PROPER('BIÑAN INFO'!$E807)," ",PROPER('BIÑAN INFO'!$F807),"."," (",UPPER('BIÑAN INFO'!$H807),")")</f>
        <v>,  . ()</v>
      </c>
      <c r="E807" s="70"/>
      <c r="F807" s="70"/>
      <c r="G807" s="70"/>
      <c r="H807" s="69"/>
      <c r="I807" s="71">
        <v>0.12</v>
      </c>
      <c r="J807" s="72">
        <v>1000.0</v>
      </c>
      <c r="K807" s="73"/>
      <c r="L807" s="73"/>
      <c r="M807" s="73"/>
      <c r="N807" s="74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30.0" customHeight="1">
      <c r="A808" s="68"/>
      <c r="B808" s="68">
        <v>822.0</v>
      </c>
      <c r="C808" s="68"/>
      <c r="D808" s="69" t="str">
        <f>CONCATENATE(PROPER('BIÑAN INFO'!$G808),", ",PROPER('BIÑAN INFO'!$E808)," ",PROPER('BIÑAN INFO'!$F808),"."," (",UPPER('BIÑAN INFO'!$H808),")")</f>
        <v>,  . ()</v>
      </c>
      <c r="E808" s="70"/>
      <c r="F808" s="70"/>
      <c r="G808" s="70"/>
      <c r="H808" s="69"/>
      <c r="I808" s="71">
        <v>0.12</v>
      </c>
      <c r="J808" s="72">
        <v>1000.0</v>
      </c>
      <c r="K808" s="73"/>
      <c r="L808" s="73"/>
      <c r="M808" s="73"/>
      <c r="N808" s="74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30.0" customHeight="1">
      <c r="A809" s="68"/>
      <c r="B809" s="68">
        <v>823.0</v>
      </c>
      <c r="C809" s="68"/>
      <c r="D809" s="69" t="str">
        <f>CONCATENATE(PROPER('BIÑAN INFO'!$G809),", ",PROPER('BIÑAN INFO'!$E809)," ",PROPER('BIÑAN INFO'!$F809),"."," (",UPPER('BIÑAN INFO'!$H809),")")</f>
        <v>,  . ()</v>
      </c>
      <c r="E809" s="70"/>
      <c r="F809" s="70"/>
      <c r="G809" s="70"/>
      <c r="H809" s="69"/>
      <c r="I809" s="71">
        <v>0.05</v>
      </c>
      <c r="J809" s="72">
        <v>1000.0</v>
      </c>
      <c r="K809" s="73" t="s">
        <v>50</v>
      </c>
      <c r="L809" s="73"/>
      <c r="M809" s="73"/>
      <c r="N809" s="74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30.0" customHeight="1">
      <c r="A810" s="68"/>
      <c r="B810" s="68">
        <v>824.0</v>
      </c>
      <c r="C810" s="68"/>
      <c r="D810" s="69" t="str">
        <f>CONCATENATE(PROPER('BIÑAN INFO'!$G810),", ",PROPER('BIÑAN INFO'!$E810)," ",PROPER('BIÑAN INFO'!$F810),"."," (",UPPER('BIÑAN INFO'!$H810),")")</f>
        <v>,  . ()</v>
      </c>
      <c r="E810" s="70"/>
      <c r="F810" s="70"/>
      <c r="G810" s="70"/>
      <c r="H810" s="69"/>
      <c r="I810" s="71">
        <v>0.12</v>
      </c>
      <c r="J810" s="72">
        <v>1000.0</v>
      </c>
      <c r="K810" s="73"/>
      <c r="L810" s="73"/>
      <c r="M810" s="73"/>
      <c r="N810" s="74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30.0" customHeight="1">
      <c r="A811" s="68"/>
      <c r="B811" s="68">
        <v>825.0</v>
      </c>
      <c r="C811" s="68"/>
      <c r="D811" s="69" t="str">
        <f>CONCATENATE(PROPER('BIÑAN INFO'!$G811),", ",PROPER('BIÑAN INFO'!$E811)," ",PROPER('BIÑAN INFO'!$F811),"."," (",UPPER('BIÑAN INFO'!$H811),")")</f>
        <v>,  . ()</v>
      </c>
      <c r="E811" s="70"/>
      <c r="F811" s="70"/>
      <c r="G811" s="70"/>
      <c r="H811" s="69"/>
      <c r="I811" s="71">
        <v>0.05</v>
      </c>
      <c r="J811" s="72">
        <v>1000.0</v>
      </c>
      <c r="K811" s="73"/>
      <c r="L811" s="73"/>
      <c r="M811" s="73"/>
      <c r="N811" s="74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30.0" customHeight="1">
      <c r="A812" s="68"/>
      <c r="B812" s="68">
        <v>826.0</v>
      </c>
      <c r="C812" s="68"/>
      <c r="D812" s="69" t="str">
        <f>CONCATENATE(PROPER('BIÑAN INFO'!$G812),", ",PROPER('BIÑAN INFO'!$E812)," ",PROPER('BIÑAN INFO'!$F812),"."," (",UPPER('BIÑAN INFO'!$H812),")")</f>
        <v>,  . ()</v>
      </c>
      <c r="E812" s="70"/>
      <c r="F812" s="70"/>
      <c r="G812" s="70"/>
      <c r="H812" s="69"/>
      <c r="I812" s="71">
        <v>0.12</v>
      </c>
      <c r="J812" s="72">
        <v>1000.0</v>
      </c>
      <c r="K812" s="73"/>
      <c r="L812" s="73"/>
      <c r="M812" s="73"/>
      <c r="N812" s="74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30.0" customHeight="1">
      <c r="A813" s="68"/>
      <c r="B813" s="68">
        <v>827.0</v>
      </c>
      <c r="C813" s="68"/>
      <c r="D813" s="69" t="str">
        <f>CONCATENATE(PROPER('BIÑAN INFO'!$G813),", ",PROPER('BIÑAN INFO'!$E813)," ",PROPER('BIÑAN INFO'!$F813),"."," (",UPPER('BIÑAN INFO'!$H813),")")</f>
        <v>,  . ()</v>
      </c>
      <c r="E813" s="70"/>
      <c r="F813" s="70"/>
      <c r="G813" s="70"/>
      <c r="H813" s="69"/>
      <c r="I813" s="71">
        <v>0.12</v>
      </c>
      <c r="J813" s="72">
        <v>1000.0</v>
      </c>
      <c r="K813" s="73"/>
      <c r="L813" s="73"/>
      <c r="M813" s="73"/>
      <c r="N813" s="74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30.0" customHeight="1">
      <c r="A814" s="68"/>
      <c r="B814" s="68">
        <v>828.0</v>
      </c>
      <c r="C814" s="68"/>
      <c r="D814" s="69" t="str">
        <f>CONCATENATE(PROPER('BIÑAN INFO'!$G814),", ",PROPER('BIÑAN INFO'!$E814)," ",PROPER('BIÑAN INFO'!$F814),"."," (",UPPER('BIÑAN INFO'!$H814),")")</f>
        <v>,  . ()</v>
      </c>
      <c r="E814" s="70"/>
      <c r="F814" s="70"/>
      <c r="G814" s="70"/>
      <c r="H814" s="69"/>
      <c r="I814" s="71">
        <v>0.05</v>
      </c>
      <c r="J814" s="72">
        <v>1000.0</v>
      </c>
      <c r="K814" s="73" t="s">
        <v>466</v>
      </c>
      <c r="L814" s="73"/>
      <c r="M814" s="73"/>
      <c r="N814" s="74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30.0" customHeight="1">
      <c r="A815" s="68"/>
      <c r="B815" s="68">
        <v>829.0</v>
      </c>
      <c r="C815" s="68"/>
      <c r="D815" s="69" t="str">
        <f>CONCATENATE(PROPER('BIÑAN INFO'!$G815),", ",PROPER('BIÑAN INFO'!$E815)," ",PROPER('BIÑAN INFO'!$F815),"."," (",UPPER('BIÑAN INFO'!$H815),")")</f>
        <v>,  . ()</v>
      </c>
      <c r="E815" s="70"/>
      <c r="F815" s="70"/>
      <c r="G815" s="70"/>
      <c r="H815" s="69"/>
      <c r="I815" s="71">
        <v>0.12</v>
      </c>
      <c r="J815" s="72">
        <v>1000.0</v>
      </c>
      <c r="K815" s="73"/>
      <c r="L815" s="73"/>
      <c r="M815" s="73"/>
      <c r="N815" s="74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30.0" customHeight="1">
      <c r="A816" s="68"/>
      <c r="B816" s="68">
        <v>830.0</v>
      </c>
      <c r="C816" s="68"/>
      <c r="D816" s="69" t="str">
        <f>CONCATENATE(PROPER('BIÑAN INFO'!$G816),", ",PROPER('BIÑAN INFO'!$E816)," ",PROPER('BIÑAN INFO'!$F816),"."," (",UPPER('BIÑAN INFO'!$H816),")")</f>
        <v>Lagradilla, Diana . ()</v>
      </c>
      <c r="E816" s="70" t="s">
        <v>467</v>
      </c>
      <c r="F816" s="70"/>
      <c r="G816" s="70" t="s">
        <v>468</v>
      </c>
      <c r="H816" s="69"/>
      <c r="I816" s="71">
        <v>0.05</v>
      </c>
      <c r="J816" s="72">
        <v>1000.0</v>
      </c>
      <c r="K816" s="73" t="s">
        <v>50</v>
      </c>
      <c r="L816" s="73"/>
      <c r="M816" s="73"/>
      <c r="N816" s="74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30.0" customHeight="1">
      <c r="A817" s="68"/>
      <c r="B817" s="68">
        <v>831.0</v>
      </c>
      <c r="C817" s="68"/>
      <c r="D817" s="69" t="str">
        <f>CONCATENATE(PROPER('BIÑAN INFO'!$G817),", ",PROPER('BIÑAN INFO'!$E817)," ",PROPER('BIÑAN INFO'!$F817),"."," (",UPPER('BIÑAN INFO'!$H817),")")</f>
        <v>,  . ()</v>
      </c>
      <c r="E817" s="70"/>
      <c r="F817" s="70"/>
      <c r="G817" s="70"/>
      <c r="H817" s="69"/>
      <c r="I817" s="71">
        <v>0.12</v>
      </c>
      <c r="J817" s="72">
        <v>1000.0</v>
      </c>
      <c r="K817" s="73"/>
      <c r="L817" s="73"/>
      <c r="M817" s="73"/>
      <c r="N817" s="74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30.0" customHeight="1">
      <c r="A818" s="68"/>
      <c r="B818" s="68">
        <v>832.0</v>
      </c>
      <c r="C818" s="68"/>
      <c r="D818" s="69" t="str">
        <f>CONCATENATE(PROPER('BIÑAN INFO'!$G818),", ",PROPER('BIÑAN INFO'!$E818)," ",PROPER('BIÑAN INFO'!$F818),"."," (",UPPER('BIÑAN INFO'!$H818),")")</f>
        <v>,  . ()</v>
      </c>
      <c r="E818" s="70"/>
      <c r="F818" s="70"/>
      <c r="G818" s="70"/>
      <c r="H818" s="69"/>
      <c r="I818" s="71">
        <v>0.12</v>
      </c>
      <c r="J818" s="72">
        <v>1000.0</v>
      </c>
      <c r="K818" s="73"/>
      <c r="L818" s="73"/>
      <c r="M818" s="73"/>
      <c r="N818" s="74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30.0" customHeight="1">
      <c r="A819" s="68"/>
      <c r="B819" s="68">
        <v>833.0</v>
      </c>
      <c r="C819" s="68"/>
      <c r="D819" s="69" t="str">
        <f>CONCATENATE(PROPER('BIÑAN INFO'!$G819),", ",PROPER('BIÑAN INFO'!$E819)," ",PROPER('BIÑAN INFO'!$F819),"."," (",UPPER('BIÑAN INFO'!$H819),")")</f>
        <v>,  . ()</v>
      </c>
      <c r="E819" s="70"/>
      <c r="F819" s="70"/>
      <c r="G819" s="70"/>
      <c r="H819" s="69"/>
      <c r="I819" s="71">
        <v>0.12</v>
      </c>
      <c r="J819" s="72">
        <v>1000.0</v>
      </c>
      <c r="K819" s="73"/>
      <c r="L819" s="73"/>
      <c r="M819" s="73"/>
      <c r="N819" s="74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30.0" customHeight="1">
      <c r="A820" s="68"/>
      <c r="B820" s="68">
        <v>834.0</v>
      </c>
      <c r="C820" s="68"/>
      <c r="D820" s="69" t="str">
        <f>CONCATENATE(PROPER('BIÑAN INFO'!$G820),", ",PROPER('BIÑAN INFO'!$E820)," ",PROPER('BIÑAN INFO'!$F820),"."," (",UPPER('BIÑAN INFO'!$H820),")")</f>
        <v>,  . ()</v>
      </c>
      <c r="E820" s="70"/>
      <c r="F820" s="70"/>
      <c r="G820" s="70"/>
      <c r="H820" s="70"/>
      <c r="I820" s="71">
        <v>0.12</v>
      </c>
      <c r="J820" s="72">
        <v>1000.0</v>
      </c>
      <c r="K820" s="73"/>
      <c r="L820" s="73"/>
      <c r="M820" s="73"/>
      <c r="N820" s="74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30.0" customHeight="1">
      <c r="A821" s="68"/>
      <c r="B821" s="68">
        <v>835.0</v>
      </c>
      <c r="C821" s="68"/>
      <c r="D821" s="69" t="str">
        <f>CONCATENATE(PROPER('BIÑAN INFO'!$G821),", ",PROPER('BIÑAN INFO'!$E821)," ",PROPER('BIÑAN INFO'!$F821),"."," (",UPPER('BIÑAN INFO'!$H821),")")</f>
        <v>, Beth . ()</v>
      </c>
      <c r="E821" s="70" t="s">
        <v>469</v>
      </c>
      <c r="F821" s="70"/>
      <c r="G821" s="70"/>
      <c r="H821" s="70"/>
      <c r="I821" s="71">
        <v>0.05</v>
      </c>
      <c r="J821" s="72">
        <v>1000.0</v>
      </c>
      <c r="K821" s="73" t="s">
        <v>470</v>
      </c>
      <c r="L821" s="73"/>
      <c r="M821" s="73"/>
      <c r="N821" s="74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30.0" customHeight="1">
      <c r="A822" s="68"/>
      <c r="B822" s="68">
        <v>836.0</v>
      </c>
      <c r="C822" s="68"/>
      <c r="D822" s="69" t="str">
        <f>CONCATENATE(PROPER('BIÑAN INFO'!$G822),", ",PROPER('BIÑAN INFO'!$E822)," ",PROPER('BIÑAN INFO'!$F822),"."," (",UPPER('BIÑAN INFO'!$H822),")")</f>
        <v>,  . ()</v>
      </c>
      <c r="E822" s="70"/>
      <c r="F822" s="70"/>
      <c r="G822" s="70"/>
      <c r="H822" s="69"/>
      <c r="I822" s="71">
        <v>0.12</v>
      </c>
      <c r="J822" s="72">
        <v>1000.0</v>
      </c>
      <c r="K822" s="73"/>
      <c r="L822" s="73"/>
      <c r="M822" s="73"/>
      <c r="N822" s="74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30.0" customHeight="1">
      <c r="A823" s="68"/>
      <c r="B823" s="68">
        <v>837.0</v>
      </c>
      <c r="C823" s="68"/>
      <c r="D823" s="69" t="str">
        <f>CONCATENATE(PROPER('BIÑAN INFO'!$G823),", ",PROPER('BIÑAN INFO'!$E823)," ",PROPER('BIÑAN INFO'!$F823),"."," (",UPPER('BIÑAN INFO'!$H823),")")</f>
        <v>,  . ()</v>
      </c>
      <c r="E823" s="70"/>
      <c r="F823" s="70"/>
      <c r="G823" s="69"/>
      <c r="H823" s="69"/>
      <c r="I823" s="71">
        <v>0.12</v>
      </c>
      <c r="J823" s="72">
        <v>1000.0</v>
      </c>
      <c r="K823" s="73"/>
      <c r="L823" s="73"/>
      <c r="M823" s="73"/>
      <c r="N823" s="74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30.0" customHeight="1">
      <c r="A824" s="68"/>
      <c r="B824" s="68">
        <v>838.0</v>
      </c>
      <c r="C824" s="68"/>
      <c r="D824" s="69" t="str">
        <f>CONCATENATE(PROPER('BIÑAN INFO'!$G824),", ",PROPER('BIÑAN INFO'!$E824)," ",PROPER('BIÑAN INFO'!$F824),"."," (",UPPER('BIÑAN INFO'!$H824),")")</f>
        <v>,  . ()</v>
      </c>
      <c r="E824" s="70"/>
      <c r="F824" s="70"/>
      <c r="G824" s="69"/>
      <c r="H824" s="69"/>
      <c r="I824" s="71">
        <v>0.12</v>
      </c>
      <c r="J824" s="72">
        <v>1000.0</v>
      </c>
      <c r="K824" s="73"/>
      <c r="L824" s="73"/>
      <c r="M824" s="73"/>
      <c r="N824" s="74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30.0" customHeight="1">
      <c r="A825" s="68"/>
      <c r="B825" s="68">
        <v>839.0</v>
      </c>
      <c r="C825" s="68"/>
      <c r="D825" s="69" t="str">
        <f>CONCATENATE(PROPER('BIÑAN INFO'!$G825),", ",PROPER('BIÑAN INFO'!$E825)," ",PROPER('BIÑAN INFO'!$F825),"."," (",UPPER('BIÑAN INFO'!$H825),")")</f>
        <v>,  . ()</v>
      </c>
      <c r="E825" s="70"/>
      <c r="F825" s="70"/>
      <c r="G825" s="69"/>
      <c r="H825" s="69"/>
      <c r="I825" s="71">
        <v>0.12</v>
      </c>
      <c r="J825" s="72">
        <v>1000.0</v>
      </c>
      <c r="K825" s="73"/>
      <c r="L825" s="73"/>
      <c r="M825" s="73"/>
      <c r="N825" s="74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30.0" customHeight="1">
      <c r="A826" s="68"/>
      <c r="B826" s="68">
        <v>840.0</v>
      </c>
      <c r="C826" s="68"/>
      <c r="D826" s="69" t="str">
        <f>CONCATENATE(PROPER('BIÑAN INFO'!$G826),", ",PROPER('BIÑAN INFO'!$E826)," ",PROPER('BIÑAN INFO'!$F826),"."," (",UPPER('BIÑAN INFO'!$H826),")")</f>
        <v>,  . ()</v>
      </c>
      <c r="E826" s="70"/>
      <c r="F826" s="70"/>
      <c r="G826" s="69"/>
      <c r="H826" s="69"/>
      <c r="I826" s="71">
        <v>0.12</v>
      </c>
      <c r="J826" s="72">
        <v>1000.0</v>
      </c>
      <c r="K826" s="73"/>
      <c r="L826" s="73"/>
      <c r="M826" s="73"/>
      <c r="N826" s="74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30.0" customHeight="1">
      <c r="A827" s="68"/>
      <c r="B827" s="68">
        <v>841.0</v>
      </c>
      <c r="C827" s="68"/>
      <c r="D827" s="69" t="str">
        <f>CONCATENATE(PROPER('BIÑAN INFO'!$G827),", ",PROPER('BIÑAN INFO'!$E827)," ",PROPER('BIÑAN INFO'!$F827),"."," (",UPPER('BIÑAN INFO'!$H827),")")</f>
        <v>,  . ()</v>
      </c>
      <c r="E827" s="70"/>
      <c r="F827" s="70"/>
      <c r="G827" s="69"/>
      <c r="H827" s="69"/>
      <c r="I827" s="71">
        <v>0.12</v>
      </c>
      <c r="J827" s="72">
        <v>1000.0</v>
      </c>
      <c r="K827" s="73"/>
      <c r="L827" s="73"/>
      <c r="M827" s="73"/>
      <c r="N827" s="74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30.0" customHeight="1">
      <c r="A828" s="68"/>
      <c r="B828" s="68">
        <v>842.0</v>
      </c>
      <c r="C828" s="68"/>
      <c r="D828" s="69" t="str">
        <f>CONCATENATE(PROPER('BIÑAN INFO'!$G828),", ",PROPER('BIÑAN INFO'!$E828)," ",PROPER('BIÑAN INFO'!$F828),"."," (",UPPER('BIÑAN INFO'!$H828),")")</f>
        <v>,  . ()</v>
      </c>
      <c r="E828" s="70"/>
      <c r="F828" s="70"/>
      <c r="G828" s="69"/>
      <c r="H828" s="69"/>
      <c r="I828" s="71">
        <v>0.12</v>
      </c>
      <c r="J828" s="72">
        <v>1000.0</v>
      </c>
      <c r="K828" s="73"/>
      <c r="L828" s="73"/>
      <c r="M828" s="73"/>
      <c r="N828" s="74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30.0" customHeight="1">
      <c r="A829" s="68"/>
      <c r="B829" s="68">
        <v>843.0</v>
      </c>
      <c r="C829" s="68"/>
      <c r="D829" s="69" t="str">
        <f>CONCATENATE(PROPER('BIÑAN INFO'!$G829),", ",PROPER('BIÑAN INFO'!$E829)," ",PROPER('BIÑAN INFO'!$F829),"."," (",UPPER('BIÑAN INFO'!$H829),")")</f>
        <v>,  . ()</v>
      </c>
      <c r="E829" s="70"/>
      <c r="F829" s="70"/>
      <c r="G829" s="69"/>
      <c r="H829" s="69"/>
      <c r="I829" s="71">
        <v>0.12</v>
      </c>
      <c r="J829" s="72">
        <v>1000.0</v>
      </c>
      <c r="K829" s="73"/>
      <c r="L829" s="73"/>
      <c r="M829" s="73"/>
      <c r="N829" s="74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30.0" customHeight="1">
      <c r="A830" s="68"/>
      <c r="B830" s="68">
        <v>844.0</v>
      </c>
      <c r="C830" s="68"/>
      <c r="D830" s="69" t="str">
        <f>CONCATENATE(PROPER('BIÑAN INFO'!$G830),", ",PROPER('BIÑAN INFO'!$E830)," ",PROPER('BIÑAN INFO'!$F830),"."," (",UPPER('BIÑAN INFO'!$H830),")")</f>
        <v>,  . ()</v>
      </c>
      <c r="E830" s="70"/>
      <c r="F830" s="70"/>
      <c r="G830" s="69"/>
      <c r="H830" s="69"/>
      <c r="I830" s="71">
        <v>0.12</v>
      </c>
      <c r="J830" s="72">
        <v>1000.0</v>
      </c>
      <c r="K830" s="73"/>
      <c r="L830" s="73"/>
      <c r="M830" s="73"/>
      <c r="N830" s="74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30.0" customHeight="1">
      <c r="A831" s="68"/>
      <c r="B831" s="68">
        <v>845.0</v>
      </c>
      <c r="C831" s="68"/>
      <c r="D831" s="69" t="str">
        <f>CONCATENATE(PROPER('BIÑAN INFO'!$G831),", ",PROPER('BIÑAN INFO'!$E831)," ",PROPER('BIÑAN INFO'!$F831),"."," (",UPPER('BIÑAN INFO'!$H831),")")</f>
        <v>,  . ()</v>
      </c>
      <c r="E831" s="70"/>
      <c r="F831" s="70"/>
      <c r="G831" s="69"/>
      <c r="H831" s="69"/>
      <c r="I831" s="71">
        <v>0.12</v>
      </c>
      <c r="J831" s="72">
        <v>1000.0</v>
      </c>
      <c r="K831" s="73"/>
      <c r="L831" s="73"/>
      <c r="M831" s="73"/>
      <c r="N831" s="74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30.0" customHeight="1">
      <c r="A832" s="68"/>
      <c r="B832" s="68">
        <v>846.0</v>
      </c>
      <c r="C832" s="68"/>
      <c r="D832" s="69" t="str">
        <f>CONCATENATE(PROPER('BIÑAN INFO'!$G832),", ",PROPER('BIÑAN INFO'!$E832)," ",PROPER('BIÑAN INFO'!$F832),"."," (",UPPER('BIÑAN INFO'!$H832),")")</f>
        <v>Salaysay, Wilma . ()</v>
      </c>
      <c r="E832" s="70" t="s">
        <v>471</v>
      </c>
      <c r="F832" s="70"/>
      <c r="G832" s="69" t="s">
        <v>472</v>
      </c>
      <c r="H832" s="69"/>
      <c r="I832" s="71">
        <v>0.05</v>
      </c>
      <c r="J832" s="72">
        <v>1000.0</v>
      </c>
      <c r="K832" s="73" t="s">
        <v>50</v>
      </c>
      <c r="L832" s="73"/>
      <c r="M832" s="73"/>
      <c r="N832" s="74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30.0" customHeight="1">
      <c r="A833" s="68"/>
      <c r="B833" s="68">
        <v>847.0</v>
      </c>
      <c r="C833" s="68"/>
      <c r="D833" s="69" t="str">
        <f>CONCATENATE(PROPER('BIÑAN INFO'!$G833),", ",PROPER('BIÑAN INFO'!$E833)," ",PROPER('BIÑAN INFO'!$F833),"."," (",UPPER('BIÑAN INFO'!$H833),")")</f>
        <v>,  . ()</v>
      </c>
      <c r="E833" s="70"/>
      <c r="F833" s="70"/>
      <c r="G833" s="69"/>
      <c r="H833" s="69"/>
      <c r="I833" s="71">
        <v>0.12</v>
      </c>
      <c r="J833" s="72">
        <v>1000.0</v>
      </c>
      <c r="K833" s="73"/>
      <c r="L833" s="73"/>
      <c r="M833" s="73"/>
      <c r="N833" s="74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30.0" customHeight="1">
      <c r="A834" s="68"/>
      <c r="B834" s="68">
        <v>848.0</v>
      </c>
      <c r="C834" s="68"/>
      <c r="D834" s="69" t="str">
        <f>CONCATENATE(PROPER('BIÑAN INFO'!$G834),", ",PROPER('BIÑAN INFO'!$E834)," ",PROPER('BIÑAN INFO'!$F834),"."," (",UPPER('BIÑAN INFO'!$H834),")")</f>
        <v>,  . ()</v>
      </c>
      <c r="E834" s="70"/>
      <c r="F834" s="70"/>
      <c r="G834" s="69"/>
      <c r="H834" s="69"/>
      <c r="I834" s="71">
        <v>0.12</v>
      </c>
      <c r="J834" s="72">
        <v>1000.0</v>
      </c>
      <c r="K834" s="73"/>
      <c r="L834" s="73"/>
      <c r="M834" s="73"/>
      <c r="N834" s="74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30.0" customHeight="1">
      <c r="A835" s="68"/>
      <c r="B835" s="68">
        <v>849.0</v>
      </c>
      <c r="C835" s="68"/>
      <c r="D835" s="69" t="str">
        <f>CONCATENATE(PROPER('BIÑAN INFO'!$G835),", ",PROPER('BIÑAN INFO'!$E835)," ",PROPER('BIÑAN INFO'!$F835),"."," (",UPPER('BIÑAN INFO'!$H835),")")</f>
        <v>,  . ()</v>
      </c>
      <c r="E835" s="70"/>
      <c r="F835" s="70"/>
      <c r="G835" s="69"/>
      <c r="H835" s="69"/>
      <c r="I835" s="71">
        <v>0.12</v>
      </c>
      <c r="J835" s="72">
        <v>1000.0</v>
      </c>
      <c r="K835" s="73"/>
      <c r="L835" s="73"/>
      <c r="M835" s="73"/>
      <c r="N835" s="74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30.0" customHeight="1">
      <c r="A836" s="68"/>
      <c r="B836" s="68">
        <v>850.0</v>
      </c>
      <c r="C836" s="68"/>
      <c r="D836" s="69" t="str">
        <f>CONCATENATE(PROPER('BIÑAN INFO'!$G836),", ",PROPER('BIÑAN INFO'!$E836)," ",PROPER('BIÑAN INFO'!$F836),"."," (",UPPER('BIÑAN INFO'!$H836),")")</f>
        <v>De Lara, Orly . ()</v>
      </c>
      <c r="E836" s="70" t="s">
        <v>473</v>
      </c>
      <c r="F836" s="70"/>
      <c r="G836" s="69" t="s">
        <v>163</v>
      </c>
      <c r="H836" s="69"/>
      <c r="I836" s="71">
        <v>0.12</v>
      </c>
      <c r="J836" s="72">
        <v>1000.0</v>
      </c>
      <c r="K836" s="73"/>
      <c r="L836" s="73"/>
      <c r="M836" s="73"/>
      <c r="N836" s="74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30.0" customHeight="1">
      <c r="A837" s="68"/>
      <c r="B837" s="68">
        <v>851.0</v>
      </c>
      <c r="C837" s="68"/>
      <c r="D837" s="69" t="str">
        <f>CONCATENATE(PROPER('BIÑAN INFO'!$G837),", ",PROPER('BIÑAN INFO'!$E837)," ",PROPER('BIÑAN INFO'!$F837),"."," (",UPPER('BIÑAN INFO'!$H837),")")</f>
        <v>,  . ()</v>
      </c>
      <c r="E837" s="70"/>
      <c r="F837" s="70"/>
      <c r="G837" s="69"/>
      <c r="H837" s="69"/>
      <c r="I837" s="71">
        <v>0.12</v>
      </c>
      <c r="J837" s="72">
        <v>1000.0</v>
      </c>
      <c r="K837" s="73"/>
      <c r="L837" s="73"/>
      <c r="M837" s="73"/>
      <c r="N837" s="74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30.0" customHeight="1">
      <c r="A838" s="68"/>
      <c r="B838" s="68">
        <v>852.0</v>
      </c>
      <c r="C838" s="68"/>
      <c r="D838" s="69" t="str">
        <f>CONCATENATE(PROPER('BIÑAN INFO'!$G838),", ",PROPER('BIÑAN INFO'!$E838)," ",PROPER('BIÑAN INFO'!$F838),"."," (",UPPER('BIÑAN INFO'!$H838),")")</f>
        <v>,  . ()</v>
      </c>
      <c r="E838" s="70"/>
      <c r="F838" s="70"/>
      <c r="G838" s="69"/>
      <c r="H838" s="69"/>
      <c r="I838" s="71">
        <v>0.12</v>
      </c>
      <c r="J838" s="72">
        <v>1000.0</v>
      </c>
      <c r="K838" s="73"/>
      <c r="L838" s="73"/>
      <c r="M838" s="73"/>
      <c r="N838" s="74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30.0" customHeight="1">
      <c r="A839" s="68"/>
      <c r="B839" s="68">
        <v>853.0</v>
      </c>
      <c r="C839" s="68"/>
      <c r="D839" s="69" t="str">
        <f>CONCATENATE(PROPER('BIÑAN INFO'!$G839),", ",PROPER('BIÑAN INFO'!$E839)," ",PROPER('BIÑAN INFO'!$F839),"."," (",UPPER('BIÑAN INFO'!$H839),")")</f>
        <v>,  . ()</v>
      </c>
      <c r="E839" s="70"/>
      <c r="F839" s="70"/>
      <c r="G839" s="69"/>
      <c r="H839" s="69"/>
      <c r="I839" s="71">
        <v>0.12</v>
      </c>
      <c r="J839" s="72">
        <v>1000.0</v>
      </c>
      <c r="K839" s="73"/>
      <c r="L839" s="73"/>
      <c r="M839" s="73"/>
      <c r="N839" s="74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30.0" customHeight="1">
      <c r="A840" s="68"/>
      <c r="B840" s="68">
        <v>854.0</v>
      </c>
      <c r="C840" s="68"/>
      <c r="D840" s="69" t="str">
        <f>CONCATENATE(PROPER('BIÑAN INFO'!$G840),", ",PROPER('BIÑAN INFO'!$E840)," ",PROPER('BIÑAN INFO'!$F840),"."," (",UPPER('BIÑAN INFO'!$H840),")")</f>
        <v>,  . ()</v>
      </c>
      <c r="E840" s="70"/>
      <c r="F840" s="70"/>
      <c r="G840" s="69"/>
      <c r="H840" s="69"/>
      <c r="I840" s="71">
        <v>0.12</v>
      </c>
      <c r="J840" s="72">
        <v>1000.0</v>
      </c>
      <c r="K840" s="73"/>
      <c r="L840" s="73"/>
      <c r="M840" s="73"/>
      <c r="N840" s="74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30.0" customHeight="1">
      <c r="A841" s="68"/>
      <c r="B841" s="68">
        <v>855.0</v>
      </c>
      <c r="C841" s="68"/>
      <c r="D841" s="69" t="str">
        <f>CONCATENATE(PROPER('BIÑAN INFO'!$G841),", ",PROPER('BIÑAN INFO'!$E841)," ",PROPER('BIÑAN INFO'!$F841),"."," (",UPPER('BIÑAN INFO'!$H841),")")</f>
        <v>,  . ()</v>
      </c>
      <c r="E841" s="70"/>
      <c r="F841" s="70"/>
      <c r="G841" s="69"/>
      <c r="H841" s="69"/>
      <c r="I841" s="71">
        <v>0.12</v>
      </c>
      <c r="J841" s="72">
        <v>1000.0</v>
      </c>
      <c r="K841" s="73"/>
      <c r="L841" s="73"/>
      <c r="M841" s="73"/>
      <c r="N841" s="74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30.0" customHeight="1">
      <c r="A842" s="68"/>
      <c r="B842" s="68">
        <v>856.0</v>
      </c>
      <c r="C842" s="68"/>
      <c r="D842" s="69" t="str">
        <f>CONCATENATE(PROPER('BIÑAN INFO'!$G842),", ",PROPER('BIÑAN INFO'!$E842)," ",PROPER('BIÑAN INFO'!$F842),"."," (",UPPER('BIÑAN INFO'!$H842),")")</f>
        <v>,  . ()</v>
      </c>
      <c r="E842" s="70"/>
      <c r="F842" s="70"/>
      <c r="G842" s="69"/>
      <c r="H842" s="69"/>
      <c r="I842" s="71">
        <v>0.12</v>
      </c>
      <c r="J842" s="72">
        <v>1000.0</v>
      </c>
      <c r="K842" s="73"/>
      <c r="L842" s="73"/>
      <c r="M842" s="73"/>
      <c r="N842" s="74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30.0" customHeight="1">
      <c r="A843" s="68"/>
      <c r="B843" s="68">
        <v>857.0</v>
      </c>
      <c r="C843" s="68"/>
      <c r="D843" s="69" t="str">
        <f>CONCATENATE(PROPER('BIÑAN INFO'!$G843),", ",PROPER('BIÑAN INFO'!$E843)," ",PROPER('BIÑAN INFO'!$F843),"."," (",UPPER('BIÑAN INFO'!$H843),")")</f>
        <v>,  . ()</v>
      </c>
      <c r="E843" s="70"/>
      <c r="F843" s="70"/>
      <c r="G843" s="70"/>
      <c r="H843" s="69"/>
      <c r="I843" s="71">
        <v>0.12</v>
      </c>
      <c r="J843" s="72">
        <v>1000.0</v>
      </c>
      <c r="K843" s="73"/>
      <c r="L843" s="73"/>
      <c r="M843" s="73"/>
      <c r="N843" s="74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30.0" customHeight="1">
      <c r="A844" s="68"/>
      <c r="B844" s="68">
        <v>858.0</v>
      </c>
      <c r="C844" s="68"/>
      <c r="D844" s="69" t="str">
        <f>CONCATENATE(PROPER('BIÑAN INFO'!$G844),", ",PROPER('BIÑAN INFO'!$E844)," ",PROPER('BIÑAN INFO'!$F844),"."," (",UPPER('BIÑAN INFO'!$H844),")")</f>
        <v>Argana, Mary Grace . ()</v>
      </c>
      <c r="E844" s="70" t="s">
        <v>474</v>
      </c>
      <c r="F844" s="70"/>
      <c r="G844" s="70" t="s">
        <v>475</v>
      </c>
      <c r="H844" s="69"/>
      <c r="I844" s="71">
        <v>0.05</v>
      </c>
      <c r="J844" s="72">
        <v>3000.0</v>
      </c>
      <c r="K844" s="73" t="s">
        <v>50</v>
      </c>
      <c r="L844" s="73"/>
      <c r="M844" s="73"/>
      <c r="N844" s="74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30.0" customHeight="1">
      <c r="A845" s="68"/>
      <c r="B845" s="68">
        <v>859.0</v>
      </c>
      <c r="C845" s="68"/>
      <c r="D845" s="69" t="str">
        <f>CONCATENATE(PROPER('BIÑAN INFO'!$G845),", ",PROPER('BIÑAN INFO'!$E845)," ",PROPER('BIÑAN INFO'!$F845),"."," (",UPPER('BIÑAN INFO'!$H845),")")</f>
        <v>,  . ()</v>
      </c>
      <c r="E845" s="70"/>
      <c r="F845" s="70"/>
      <c r="G845" s="70"/>
      <c r="H845" s="69"/>
      <c r="I845" s="71">
        <v>0.12</v>
      </c>
      <c r="J845" s="72">
        <v>1000.0</v>
      </c>
      <c r="K845" s="73"/>
      <c r="L845" s="73"/>
      <c r="M845" s="73"/>
      <c r="N845" s="74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30.0" customHeight="1">
      <c r="A846" s="68"/>
      <c r="B846" s="68">
        <v>860.0</v>
      </c>
      <c r="C846" s="68"/>
      <c r="D846" s="69" t="str">
        <f>CONCATENATE(PROPER('BIÑAN INFO'!$G846),", ",PROPER('BIÑAN INFO'!$E846)," ",PROPER('BIÑAN INFO'!$F846),"."," (",UPPER('BIÑAN INFO'!$H846),")")</f>
        <v>,  . ()</v>
      </c>
      <c r="E846" s="70"/>
      <c r="F846" s="70"/>
      <c r="G846" s="70"/>
      <c r="H846" s="69"/>
      <c r="I846" s="71">
        <v>0.12</v>
      </c>
      <c r="J846" s="72">
        <v>1000.0</v>
      </c>
      <c r="K846" s="73"/>
      <c r="L846" s="73"/>
      <c r="M846" s="73"/>
      <c r="N846" s="74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30.0" customHeight="1">
      <c r="A847" s="68"/>
      <c r="B847" s="68">
        <v>861.0</v>
      </c>
      <c r="C847" s="68"/>
      <c r="D847" s="69" t="str">
        <f>CONCATENATE(PROPER('BIÑAN INFO'!$G847),", ",PROPER('BIÑAN INFO'!$E847)," ",PROPER('BIÑAN INFO'!$F847),"."," (",UPPER('BIÑAN INFO'!$H847),")")</f>
        <v>,  . ()</v>
      </c>
      <c r="E847" s="70"/>
      <c r="F847" s="70"/>
      <c r="G847" s="70"/>
      <c r="H847" s="69"/>
      <c r="I847" s="71">
        <v>0.12</v>
      </c>
      <c r="J847" s="72">
        <v>1000.0</v>
      </c>
      <c r="K847" s="73"/>
      <c r="L847" s="73"/>
      <c r="M847" s="73"/>
      <c r="N847" s="74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30.0" customHeight="1">
      <c r="A848" s="68"/>
      <c r="B848" s="68">
        <v>862.0</v>
      </c>
      <c r="C848" s="68"/>
      <c r="D848" s="69" t="str">
        <f>CONCATENATE(PROPER('BIÑAN INFO'!$G848),", ",PROPER('BIÑAN INFO'!$E848)," ",PROPER('BIÑAN INFO'!$F848),"."," (",UPPER('BIÑAN INFO'!$H848),")")</f>
        <v>,  . ()</v>
      </c>
      <c r="E848" s="70"/>
      <c r="F848" s="70"/>
      <c r="G848" s="70"/>
      <c r="H848" s="69"/>
      <c r="I848" s="71">
        <v>0.12</v>
      </c>
      <c r="J848" s="72">
        <v>1000.0</v>
      </c>
      <c r="K848" s="73"/>
      <c r="L848" s="73"/>
      <c r="M848" s="73"/>
      <c r="N848" s="74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30.0" customHeight="1">
      <c r="A849" s="68"/>
      <c r="B849" s="68">
        <v>863.0</v>
      </c>
      <c r="C849" s="68"/>
      <c r="D849" s="69" t="str">
        <f>CONCATENATE(PROPER('BIÑAN INFO'!$G849),", ",PROPER('BIÑAN INFO'!$E849)," ",PROPER('BIÑAN INFO'!$F849),"."," (",UPPER('BIÑAN INFO'!$H849),")")</f>
        <v>,  . ()</v>
      </c>
      <c r="E849" s="70"/>
      <c r="F849" s="70"/>
      <c r="G849" s="70"/>
      <c r="H849" s="69"/>
      <c r="I849" s="71">
        <v>0.12</v>
      </c>
      <c r="J849" s="72">
        <v>1000.0</v>
      </c>
      <c r="K849" s="73"/>
      <c r="L849" s="73"/>
      <c r="M849" s="73"/>
      <c r="N849" s="74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30.0" customHeight="1">
      <c r="A850" s="68"/>
      <c r="B850" s="68">
        <v>864.0</v>
      </c>
      <c r="C850" s="68"/>
      <c r="D850" s="69" t="str">
        <f>CONCATENATE(PROPER('BIÑAN INFO'!$G850),", ",PROPER('BIÑAN INFO'!$E850)," ",PROPER('BIÑAN INFO'!$F850),"."," (",UPPER('BIÑAN INFO'!$H850),")")</f>
        <v>,  . ()</v>
      </c>
      <c r="E850" s="70"/>
      <c r="F850" s="70"/>
      <c r="G850" s="70"/>
      <c r="H850" s="69"/>
      <c r="I850" s="71">
        <v>0.12</v>
      </c>
      <c r="J850" s="72">
        <v>1000.0</v>
      </c>
      <c r="K850" s="73"/>
      <c r="L850" s="73"/>
      <c r="M850" s="73"/>
      <c r="N850" s="74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30.0" customHeight="1">
      <c r="A851" s="68"/>
      <c r="B851" s="68">
        <v>865.0</v>
      </c>
      <c r="C851" s="68"/>
      <c r="D851" s="69" t="str">
        <f>CONCATENATE(PROPER('BIÑAN INFO'!$G851),", ",PROPER('BIÑAN INFO'!$E851)," ",PROPER('BIÑAN INFO'!$F851),"."," (",UPPER('BIÑAN INFO'!$H851),")")</f>
        <v>,  . ()</v>
      </c>
      <c r="E851" s="70"/>
      <c r="F851" s="70"/>
      <c r="G851" s="70"/>
      <c r="H851" s="70"/>
      <c r="I851" s="71">
        <v>0.12</v>
      </c>
      <c r="J851" s="72">
        <v>1000.0</v>
      </c>
      <c r="K851" s="73"/>
      <c r="L851" s="73"/>
      <c r="M851" s="73"/>
      <c r="N851" s="74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30.0" customHeight="1">
      <c r="A852" s="68"/>
      <c r="B852" s="68">
        <v>866.0</v>
      </c>
      <c r="C852" s="68"/>
      <c r="D852" s="69" t="str">
        <f>CONCATENATE(PROPER('BIÑAN INFO'!$G852),", ",PROPER('BIÑAN INFO'!$E852)," ",PROPER('BIÑAN INFO'!$F852),"."," (",UPPER('BIÑAN INFO'!$H852),")")</f>
        <v>,  . ()</v>
      </c>
      <c r="E852" s="70"/>
      <c r="F852" s="70"/>
      <c r="G852" s="69"/>
      <c r="H852" s="69"/>
      <c r="I852" s="71">
        <v>0.12</v>
      </c>
      <c r="J852" s="72">
        <v>1000.0</v>
      </c>
      <c r="K852" s="73"/>
      <c r="L852" s="73"/>
      <c r="M852" s="73"/>
      <c r="N852" s="74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30.0" customHeight="1">
      <c r="A853" s="68"/>
      <c r="B853" s="68">
        <v>867.0</v>
      </c>
      <c r="C853" s="68"/>
      <c r="D853" s="69" t="str">
        <f>CONCATENATE(PROPER('BIÑAN INFO'!$G853),", ",PROPER('BIÑAN INFO'!$E853)," ",PROPER('BIÑAN INFO'!$F853),"."," (",UPPER('BIÑAN INFO'!$H853),")")</f>
        <v>,  . ()</v>
      </c>
      <c r="E853" s="70"/>
      <c r="F853" s="70"/>
      <c r="G853" s="69"/>
      <c r="H853" s="69"/>
      <c r="I853" s="71">
        <v>0.12</v>
      </c>
      <c r="J853" s="72">
        <v>1000.0</v>
      </c>
      <c r="K853" s="73"/>
      <c r="L853" s="73"/>
      <c r="M853" s="73"/>
      <c r="N853" s="74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30.0" customHeight="1">
      <c r="A854" s="68"/>
      <c r="B854" s="68">
        <v>868.0</v>
      </c>
      <c r="C854" s="68"/>
      <c r="D854" s="69" t="str">
        <f>CONCATENATE(PROPER('BIÑAN INFO'!$G854),", ",PROPER('BIÑAN INFO'!$E854)," ",PROPER('BIÑAN INFO'!$F854),"."," (",UPPER('BIÑAN INFO'!$H854),")")</f>
        <v>,  . ()</v>
      </c>
      <c r="E854" s="70"/>
      <c r="F854" s="70"/>
      <c r="G854" s="69"/>
      <c r="H854" s="69"/>
      <c r="I854" s="71">
        <v>0.12</v>
      </c>
      <c r="J854" s="72">
        <v>1000.0</v>
      </c>
      <c r="K854" s="73"/>
      <c r="L854" s="73"/>
      <c r="M854" s="73"/>
      <c r="N854" s="74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30.0" customHeight="1">
      <c r="A855" s="68"/>
      <c r="B855" s="68">
        <v>869.0</v>
      </c>
      <c r="C855" s="68"/>
      <c r="D855" s="69" t="str">
        <f>CONCATENATE(PROPER('BIÑAN INFO'!$G855),", ",PROPER('BIÑAN INFO'!$E855)," ",PROPER('BIÑAN INFO'!$F855),"."," (",UPPER('BIÑAN INFO'!$H855),")")</f>
        <v>,  . ()</v>
      </c>
      <c r="E855" s="70"/>
      <c r="F855" s="70"/>
      <c r="G855" s="69"/>
      <c r="H855" s="69"/>
      <c r="I855" s="71">
        <v>0.12</v>
      </c>
      <c r="J855" s="72">
        <v>1000.0</v>
      </c>
      <c r="K855" s="73"/>
      <c r="L855" s="73"/>
      <c r="M855" s="73"/>
      <c r="N855" s="74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30.0" customHeight="1">
      <c r="A856" s="68"/>
      <c r="B856" s="68">
        <v>870.0</v>
      </c>
      <c r="C856" s="68"/>
      <c r="D856" s="69" t="str">
        <f>CONCATENATE(PROPER('BIÑAN INFO'!$G856),", ",PROPER('BIÑAN INFO'!$E856)," ",PROPER('BIÑAN INFO'!$F856),"."," (",UPPER('BIÑAN INFO'!$H856),")")</f>
        <v>Raby, Maximo . ()</v>
      </c>
      <c r="E856" s="70" t="s">
        <v>476</v>
      </c>
      <c r="F856" s="70"/>
      <c r="G856" s="69" t="s">
        <v>477</v>
      </c>
      <c r="H856" s="69"/>
      <c r="I856" s="71">
        <v>0.05</v>
      </c>
      <c r="J856" s="72">
        <v>1000.0</v>
      </c>
      <c r="K856" s="73" t="s">
        <v>50</v>
      </c>
      <c r="L856" s="73"/>
      <c r="M856" s="73"/>
      <c r="N856" s="74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30.0" customHeight="1">
      <c r="A857" s="68"/>
      <c r="B857" s="68">
        <v>871.0</v>
      </c>
      <c r="C857" s="68"/>
      <c r="D857" s="69" t="str">
        <f>CONCATENATE(PROPER('BIÑAN INFO'!$G857),", ",PROPER('BIÑAN INFO'!$E857)," ",PROPER('BIÑAN INFO'!$F857),"."," (",UPPER('BIÑAN INFO'!$H857),")")</f>
        <v>,  . ()</v>
      </c>
      <c r="E857" s="70"/>
      <c r="F857" s="70"/>
      <c r="G857" s="69"/>
      <c r="H857" s="69"/>
      <c r="I857" s="71">
        <v>0.12</v>
      </c>
      <c r="J857" s="72">
        <v>1000.0</v>
      </c>
      <c r="K857" s="73"/>
      <c r="L857" s="73"/>
      <c r="M857" s="73"/>
      <c r="N857" s="74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30.0" customHeight="1">
      <c r="A858" s="68"/>
      <c r="B858" s="68">
        <v>872.0</v>
      </c>
      <c r="C858" s="68"/>
      <c r="D858" s="69" t="str">
        <f>CONCATENATE(PROPER('BIÑAN INFO'!$G858),", ",PROPER('BIÑAN INFO'!$E858)," ",PROPER('BIÑAN INFO'!$F858),"."," (",UPPER('BIÑAN INFO'!$H858),")")</f>
        <v>,  . ()</v>
      </c>
      <c r="E858" s="70"/>
      <c r="F858" s="70"/>
      <c r="G858" s="69"/>
      <c r="H858" s="69"/>
      <c r="I858" s="71">
        <v>0.12</v>
      </c>
      <c r="J858" s="72">
        <v>1000.0</v>
      </c>
      <c r="K858" s="73"/>
      <c r="L858" s="73"/>
      <c r="M858" s="73"/>
      <c r="N858" s="74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30.0" customHeight="1">
      <c r="A859" s="68"/>
      <c r="B859" s="68">
        <v>873.0</v>
      </c>
      <c r="C859" s="68"/>
      <c r="D859" s="69" t="str">
        <f>CONCATENATE(PROPER('BIÑAN INFO'!$G859),", ",PROPER('BIÑAN INFO'!$E859)," ",PROPER('BIÑAN INFO'!$F859),"."," (",UPPER('BIÑAN INFO'!$H859),")")</f>
        <v>,  . ()</v>
      </c>
      <c r="E859" s="70"/>
      <c r="F859" s="70"/>
      <c r="G859" s="69"/>
      <c r="H859" s="69"/>
      <c r="I859" s="71">
        <v>0.12</v>
      </c>
      <c r="J859" s="72">
        <v>1000.0</v>
      </c>
      <c r="K859" s="73"/>
      <c r="L859" s="73"/>
      <c r="M859" s="73"/>
      <c r="N859" s="74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30.0" customHeight="1">
      <c r="A860" s="68"/>
      <c r="B860" s="68">
        <v>874.0</v>
      </c>
      <c r="C860" s="68"/>
      <c r="D860" s="69" t="str">
        <f>CONCATENATE(PROPER('BIÑAN INFO'!$G860),", ",PROPER('BIÑAN INFO'!$E860)," ",PROPER('BIÑAN INFO'!$F860),"."," (",UPPER('BIÑAN INFO'!$H860),")")</f>
        <v>,  . ()</v>
      </c>
      <c r="E860" s="70"/>
      <c r="F860" s="70"/>
      <c r="G860" s="69"/>
      <c r="H860" s="69"/>
      <c r="I860" s="71">
        <v>0.12</v>
      </c>
      <c r="J860" s="72">
        <v>1000.0</v>
      </c>
      <c r="K860" s="73"/>
      <c r="L860" s="73"/>
      <c r="M860" s="73"/>
      <c r="N860" s="74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30.0" customHeight="1">
      <c r="A861" s="68"/>
      <c r="B861" s="68">
        <v>875.0</v>
      </c>
      <c r="C861" s="68"/>
      <c r="D861" s="69" t="str">
        <f>CONCATENATE(PROPER('BIÑAN INFO'!$G861),", ",PROPER('BIÑAN INFO'!$E861)," ",PROPER('BIÑAN INFO'!$F861),"."," (",UPPER('BIÑAN INFO'!$H861),")")</f>
        <v>,  . ()</v>
      </c>
      <c r="E861" s="70"/>
      <c r="F861" s="70"/>
      <c r="G861" s="69"/>
      <c r="H861" s="69"/>
      <c r="I861" s="71">
        <v>0.12</v>
      </c>
      <c r="J861" s="72">
        <v>1000.0</v>
      </c>
      <c r="K861" s="73"/>
      <c r="L861" s="73"/>
      <c r="M861" s="73"/>
      <c r="N861" s="74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30.0" customHeight="1">
      <c r="A862" s="68"/>
      <c r="B862" s="68">
        <v>876.0</v>
      </c>
      <c r="C862" s="68"/>
      <c r="D862" s="69" t="str">
        <f>CONCATENATE(PROPER('BIÑAN INFO'!$G862),", ",PROPER('BIÑAN INFO'!$E862)," ",PROPER('BIÑAN INFO'!$F862),"."," (",UPPER('BIÑAN INFO'!$H862),")")</f>
        <v>,  . ()</v>
      </c>
      <c r="E862" s="70"/>
      <c r="F862" s="70"/>
      <c r="G862" s="69"/>
      <c r="H862" s="69"/>
      <c r="I862" s="71">
        <v>0.12</v>
      </c>
      <c r="J862" s="72">
        <v>1000.0</v>
      </c>
      <c r="K862" s="73"/>
      <c r="L862" s="73"/>
      <c r="M862" s="73"/>
      <c r="N862" s="74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30.0" customHeight="1">
      <c r="A863" s="68"/>
      <c r="B863" s="68">
        <v>877.0</v>
      </c>
      <c r="C863" s="68"/>
      <c r="D863" s="69" t="str">
        <f>CONCATENATE(PROPER('BIÑAN INFO'!$G863),", ",PROPER('BIÑAN INFO'!$E863)," ",PROPER('BIÑAN INFO'!$F863),"."," (",UPPER('BIÑAN INFO'!$H863),")")</f>
        <v>,  . ()</v>
      </c>
      <c r="E863" s="70"/>
      <c r="F863" s="70"/>
      <c r="G863" s="69"/>
      <c r="H863" s="69"/>
      <c r="I863" s="71">
        <v>0.12</v>
      </c>
      <c r="J863" s="72">
        <v>1000.0</v>
      </c>
      <c r="K863" s="73"/>
      <c r="L863" s="73"/>
      <c r="M863" s="73"/>
      <c r="N863" s="74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30.0" customHeight="1">
      <c r="A864" s="68"/>
      <c r="B864" s="68">
        <v>878.0</v>
      </c>
      <c r="C864" s="68"/>
      <c r="D864" s="69" t="str">
        <f>CONCATENATE(PROPER('BIÑAN INFO'!$G864),", ",PROPER('BIÑAN INFO'!$E864)," ",PROPER('BIÑAN INFO'!$F864),"."," (",UPPER('BIÑAN INFO'!$H864),")")</f>
        <v>,  . ()</v>
      </c>
      <c r="E864" s="70"/>
      <c r="F864" s="70"/>
      <c r="G864" s="69"/>
      <c r="H864" s="69"/>
      <c r="I864" s="71">
        <v>0.12</v>
      </c>
      <c r="J864" s="72">
        <v>1000.0</v>
      </c>
      <c r="K864" s="73"/>
      <c r="L864" s="73"/>
      <c r="M864" s="73"/>
      <c r="N864" s="74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30.0" customHeight="1">
      <c r="A865" s="68"/>
      <c r="B865" s="68">
        <v>879.0</v>
      </c>
      <c r="C865" s="68"/>
      <c r="D865" s="69" t="str">
        <f>CONCATENATE(PROPER('BIÑAN INFO'!$G865),", ",PROPER('BIÑAN INFO'!$E865)," ",PROPER('BIÑAN INFO'!$F865),"."," (",UPPER('BIÑAN INFO'!$H865),")")</f>
        <v>,  . ()</v>
      </c>
      <c r="E865" s="70"/>
      <c r="F865" s="70"/>
      <c r="G865" s="69"/>
      <c r="H865" s="69"/>
      <c r="I865" s="71">
        <v>0.12</v>
      </c>
      <c r="J865" s="72">
        <v>1000.0</v>
      </c>
      <c r="K865" s="73"/>
      <c r="L865" s="73"/>
      <c r="M865" s="73"/>
      <c r="N865" s="74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30.0" customHeight="1">
      <c r="A866" s="68"/>
      <c r="B866" s="68">
        <v>880.0</v>
      </c>
      <c r="C866" s="68"/>
      <c r="D866" s="69" t="str">
        <f>CONCATENATE(PROPER('BIÑAN INFO'!$G866),", ",PROPER('BIÑAN INFO'!$E866)," ",PROPER('BIÑAN INFO'!$F866),"."," (",UPPER('BIÑAN INFO'!$H866),")")</f>
        <v>,  . ()</v>
      </c>
      <c r="E866" s="70"/>
      <c r="F866" s="70"/>
      <c r="G866" s="69"/>
      <c r="H866" s="69"/>
      <c r="I866" s="71">
        <v>0.12</v>
      </c>
      <c r="J866" s="72">
        <v>1000.0</v>
      </c>
      <c r="K866" s="73"/>
      <c r="L866" s="73"/>
      <c r="M866" s="73"/>
      <c r="N866" s="74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30.0" customHeight="1">
      <c r="A867" s="68"/>
      <c r="B867" s="68">
        <v>881.0</v>
      </c>
      <c r="C867" s="68"/>
      <c r="D867" s="69" t="str">
        <f>CONCATENATE(PROPER('BIÑAN INFO'!$G867),", ",PROPER('BIÑAN INFO'!$E867)," ",PROPER('BIÑAN INFO'!$F867),"."," (",UPPER('BIÑAN INFO'!$H867),")")</f>
        <v>,  . ()</v>
      </c>
      <c r="E867" s="70"/>
      <c r="F867" s="70"/>
      <c r="G867" s="69"/>
      <c r="H867" s="69"/>
      <c r="I867" s="71">
        <v>0.12</v>
      </c>
      <c r="J867" s="72">
        <v>1000.0</v>
      </c>
      <c r="K867" s="73"/>
      <c r="L867" s="73"/>
      <c r="M867" s="73"/>
      <c r="N867" s="74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30.0" customHeight="1">
      <c r="A868" s="68"/>
      <c r="B868" s="68">
        <v>882.0</v>
      </c>
      <c r="C868" s="68"/>
      <c r="D868" s="69" t="str">
        <f>CONCATENATE(PROPER('BIÑAN INFO'!$G868),", ",PROPER('BIÑAN INFO'!$E868)," ",PROPER('BIÑAN INFO'!$F868),"."," (",UPPER('BIÑAN INFO'!$H868),")")</f>
        <v>,  . ()</v>
      </c>
      <c r="E868" s="70"/>
      <c r="F868" s="70"/>
      <c r="G868" s="69"/>
      <c r="H868" s="69"/>
      <c r="I868" s="71">
        <v>0.12</v>
      </c>
      <c r="J868" s="72">
        <v>1000.0</v>
      </c>
      <c r="K868" s="73"/>
      <c r="L868" s="73"/>
      <c r="M868" s="73"/>
      <c r="N868" s="74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30.0" customHeight="1">
      <c r="A869" s="68"/>
      <c r="B869" s="68">
        <v>883.0</v>
      </c>
      <c r="C869" s="68"/>
      <c r="D869" s="69" t="str">
        <f>CONCATENATE(PROPER('BIÑAN INFO'!$G869),", ",PROPER('BIÑAN INFO'!$E869)," ",PROPER('BIÑAN INFO'!$F869),"."," (",UPPER('BIÑAN INFO'!$H869),")")</f>
        <v>,  . ()</v>
      </c>
      <c r="E869" s="70"/>
      <c r="F869" s="70"/>
      <c r="G869" s="69"/>
      <c r="H869" s="69"/>
      <c r="I869" s="71">
        <v>0.12</v>
      </c>
      <c r="J869" s="72">
        <v>1000.0</v>
      </c>
      <c r="K869" s="73"/>
      <c r="L869" s="73"/>
      <c r="M869" s="73"/>
      <c r="N869" s="74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30.0" customHeight="1">
      <c r="A870" s="68"/>
      <c r="B870" s="68">
        <v>884.0</v>
      </c>
      <c r="C870" s="68"/>
      <c r="D870" s="69" t="str">
        <f>CONCATENATE(PROPER('BIÑAN INFO'!$G870),", ",PROPER('BIÑAN INFO'!$E870)," ",PROPER('BIÑAN INFO'!$F870),"."," (",UPPER('BIÑAN INFO'!$H870),")")</f>
        <v>,  . ()</v>
      </c>
      <c r="E870" s="70"/>
      <c r="F870" s="70"/>
      <c r="G870" s="69"/>
      <c r="H870" s="69"/>
      <c r="I870" s="71">
        <v>0.12</v>
      </c>
      <c r="J870" s="72">
        <v>1000.0</v>
      </c>
      <c r="K870" s="73"/>
      <c r="L870" s="73"/>
      <c r="M870" s="73"/>
      <c r="N870" s="74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30.0" customHeight="1">
      <c r="A871" s="68"/>
      <c r="B871" s="68">
        <v>885.0</v>
      </c>
      <c r="C871" s="68"/>
      <c r="D871" s="69" t="str">
        <f>CONCATENATE(PROPER('BIÑAN INFO'!$G871),", ",PROPER('BIÑAN INFO'!$E871)," ",PROPER('BIÑAN INFO'!$F871),"."," (",UPPER('BIÑAN INFO'!$H871),")")</f>
        <v>,  . ()</v>
      </c>
      <c r="E871" s="70"/>
      <c r="F871" s="70"/>
      <c r="G871" s="69"/>
      <c r="H871" s="69"/>
      <c r="I871" s="71">
        <v>0.12</v>
      </c>
      <c r="J871" s="72">
        <v>1000.0</v>
      </c>
      <c r="K871" s="73"/>
      <c r="L871" s="73"/>
      <c r="M871" s="73"/>
      <c r="N871" s="74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30.0" customHeight="1">
      <c r="A872" s="68"/>
      <c r="B872" s="68">
        <v>886.0</v>
      </c>
      <c r="C872" s="68"/>
      <c r="D872" s="69" t="str">
        <f>CONCATENATE(PROPER('BIÑAN INFO'!$G872),", ",PROPER('BIÑAN INFO'!$E872)," ",PROPER('BIÑAN INFO'!$F872),"."," (",UPPER('BIÑAN INFO'!$H872),")")</f>
        <v>,  . ()</v>
      </c>
      <c r="E872" s="70"/>
      <c r="F872" s="70"/>
      <c r="G872" s="69"/>
      <c r="H872" s="69"/>
      <c r="I872" s="71">
        <v>0.12</v>
      </c>
      <c r="J872" s="72">
        <v>1000.0</v>
      </c>
      <c r="K872" s="73"/>
      <c r="L872" s="73"/>
      <c r="M872" s="73"/>
      <c r="N872" s="74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30.0" customHeight="1">
      <c r="A873" s="68"/>
      <c r="B873" s="68">
        <v>887.0</v>
      </c>
      <c r="C873" s="68"/>
      <c r="D873" s="69" t="str">
        <f>CONCATENATE(PROPER('BIÑAN INFO'!$G873),", ",PROPER('BIÑAN INFO'!$E873)," ",PROPER('BIÑAN INFO'!$F873),"."," (",UPPER('BIÑAN INFO'!$H873),")")</f>
        <v>,  . ()</v>
      </c>
      <c r="E873" s="70"/>
      <c r="F873" s="70"/>
      <c r="G873" s="69"/>
      <c r="H873" s="69"/>
      <c r="I873" s="71">
        <v>0.12</v>
      </c>
      <c r="J873" s="72">
        <v>1000.0</v>
      </c>
      <c r="K873" s="73"/>
      <c r="L873" s="73"/>
      <c r="M873" s="73"/>
      <c r="N873" s="74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30.0" customHeight="1">
      <c r="A874" s="68"/>
      <c r="B874" s="68">
        <v>888.0</v>
      </c>
      <c r="C874" s="68"/>
      <c r="D874" s="69" t="str">
        <f>CONCATENATE(PROPER('BIÑAN INFO'!$G874),", ",PROPER('BIÑAN INFO'!$E874)," ",PROPER('BIÑAN INFO'!$F874),"."," (",UPPER('BIÑAN INFO'!$H874),")")</f>
        <v>,  . ()</v>
      </c>
      <c r="E874" s="70"/>
      <c r="F874" s="70"/>
      <c r="G874" s="69"/>
      <c r="H874" s="69"/>
      <c r="I874" s="71">
        <v>0.12</v>
      </c>
      <c r="J874" s="72">
        <v>1000.0</v>
      </c>
      <c r="K874" s="73"/>
      <c r="L874" s="73"/>
      <c r="M874" s="73"/>
      <c r="N874" s="74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30.0" customHeight="1">
      <c r="A875" s="68"/>
      <c r="B875" s="68">
        <v>889.0</v>
      </c>
      <c r="C875" s="68"/>
      <c r="D875" s="69" t="str">
        <f>CONCATENATE(PROPER('BIÑAN INFO'!$G875),", ",PROPER('BIÑAN INFO'!$E875)," ",PROPER('BIÑAN INFO'!$F875),"."," (",UPPER('BIÑAN INFO'!$H875),")")</f>
        <v>,  . ()</v>
      </c>
      <c r="E875" s="70"/>
      <c r="F875" s="70"/>
      <c r="G875" s="69"/>
      <c r="H875" s="69"/>
      <c r="I875" s="71">
        <v>0.12</v>
      </c>
      <c r="J875" s="72">
        <v>1000.0</v>
      </c>
      <c r="K875" s="73"/>
      <c r="L875" s="73"/>
      <c r="M875" s="73"/>
      <c r="N875" s="74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30.0" customHeight="1">
      <c r="A876" s="68"/>
      <c r="B876" s="68">
        <v>890.0</v>
      </c>
      <c r="C876" s="68"/>
      <c r="D876" s="69" t="str">
        <f>CONCATENATE(PROPER('BIÑAN INFO'!$G876),", ",PROPER('BIÑAN INFO'!$E876)," ",PROPER('BIÑAN INFO'!$F876),"."," (",UPPER('BIÑAN INFO'!$H876),")")</f>
        <v>,  . ()</v>
      </c>
      <c r="E876" s="70"/>
      <c r="F876" s="70"/>
      <c r="G876" s="70"/>
      <c r="H876" s="69"/>
      <c r="I876" s="71">
        <v>0.12</v>
      </c>
      <c r="J876" s="72">
        <v>1000.0</v>
      </c>
      <c r="K876" s="73"/>
      <c r="L876" s="73"/>
      <c r="M876" s="73"/>
      <c r="N876" s="74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30.0" customHeight="1">
      <c r="A877" s="68"/>
      <c r="B877" s="68">
        <v>891.0</v>
      </c>
      <c r="C877" s="68"/>
      <c r="D877" s="69" t="str">
        <f>CONCATENATE(PROPER('BIÑAN INFO'!$G877),", ",PROPER('BIÑAN INFO'!$E877)," ",PROPER('BIÑAN INFO'!$F877),"."," (",UPPER('BIÑAN INFO'!$H877),")")</f>
        <v>,  . ()</v>
      </c>
      <c r="E877" s="70"/>
      <c r="F877" s="70"/>
      <c r="G877" s="70"/>
      <c r="H877" s="69"/>
      <c r="I877" s="71">
        <v>0.12</v>
      </c>
      <c r="J877" s="72">
        <v>1000.0</v>
      </c>
      <c r="K877" s="73"/>
      <c r="L877" s="73"/>
      <c r="M877" s="73"/>
      <c r="N877" s="74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30.0" customHeight="1">
      <c r="A878" s="68"/>
      <c r="B878" s="68">
        <v>892.0</v>
      </c>
      <c r="C878" s="68"/>
      <c r="D878" s="69" t="str">
        <f>CONCATENATE(PROPER('BIÑAN INFO'!$G878),", ",PROPER('BIÑAN INFO'!$E878)," ",PROPER('BIÑAN INFO'!$F878),"."," (",UPPER('BIÑAN INFO'!$H878),")")</f>
        <v>,  . ()</v>
      </c>
      <c r="E878" s="70"/>
      <c r="F878" s="70"/>
      <c r="G878" s="70"/>
      <c r="H878" s="69"/>
      <c r="I878" s="71">
        <v>0.12</v>
      </c>
      <c r="J878" s="72">
        <v>1000.0</v>
      </c>
      <c r="K878" s="73"/>
      <c r="L878" s="73"/>
      <c r="M878" s="73"/>
      <c r="N878" s="74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30.0" customHeight="1">
      <c r="A879" s="68"/>
      <c r="B879" s="68">
        <v>893.0</v>
      </c>
      <c r="C879" s="68"/>
      <c r="D879" s="69" t="str">
        <f>CONCATENATE(PROPER('BIÑAN INFO'!$G879),", ",PROPER('BIÑAN INFO'!$E879)," ",PROPER('BIÑAN INFO'!$F879),"."," (",UPPER('BIÑAN INFO'!$H879),")")</f>
        <v>,  . ()</v>
      </c>
      <c r="E879" s="70"/>
      <c r="F879" s="70"/>
      <c r="G879" s="70"/>
      <c r="H879" s="69"/>
      <c r="I879" s="71">
        <v>0.12</v>
      </c>
      <c r="J879" s="72">
        <v>1000.0</v>
      </c>
      <c r="K879" s="73"/>
      <c r="L879" s="73"/>
      <c r="M879" s="73"/>
      <c r="N879" s="74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30.0" customHeight="1">
      <c r="A880" s="68"/>
      <c r="B880" s="68">
        <v>894.0</v>
      </c>
      <c r="C880" s="68"/>
      <c r="D880" s="69" t="str">
        <f>CONCATENATE(PROPER('BIÑAN INFO'!$G880),", ",PROPER('BIÑAN INFO'!$E880)," ",PROPER('BIÑAN INFO'!$F880),"."," (",UPPER('BIÑAN INFO'!$H880),")")</f>
        <v>Revalde, Elena . ()</v>
      </c>
      <c r="E880" s="70" t="s">
        <v>478</v>
      </c>
      <c r="F880" s="70"/>
      <c r="G880" s="70" t="s">
        <v>479</v>
      </c>
      <c r="H880" s="69"/>
      <c r="I880" s="71">
        <v>0.05</v>
      </c>
      <c r="J880" s="72">
        <v>1000.0</v>
      </c>
      <c r="K880" s="73" t="s">
        <v>50</v>
      </c>
      <c r="L880" s="73" t="s">
        <v>480</v>
      </c>
      <c r="M880" s="73">
        <v>2022.0</v>
      </c>
      <c r="N880" s="74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30.0" customHeight="1">
      <c r="A881" s="68"/>
      <c r="B881" s="68">
        <v>895.0</v>
      </c>
      <c r="C881" s="68"/>
      <c r="D881" s="69" t="str">
        <f>CONCATENATE(PROPER('BIÑAN INFO'!$G881),", ",PROPER('BIÑAN INFO'!$E881)," ",PROPER('BIÑAN INFO'!$F881),"."," (",UPPER('BIÑAN INFO'!$H881),")")</f>
        <v>,  . ()</v>
      </c>
      <c r="E881" s="70"/>
      <c r="F881" s="70"/>
      <c r="G881" s="70"/>
      <c r="H881" s="69"/>
      <c r="I881" s="71">
        <v>0.12</v>
      </c>
      <c r="J881" s="72">
        <v>1000.0</v>
      </c>
      <c r="K881" s="73"/>
      <c r="L881" s="73"/>
      <c r="M881" s="73"/>
      <c r="N881" s="74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30.0" customHeight="1">
      <c r="A882" s="68"/>
      <c r="B882" s="68">
        <v>896.0</v>
      </c>
      <c r="C882" s="68"/>
      <c r="D882" s="69" t="str">
        <f>CONCATENATE(PROPER('BIÑAN INFO'!$G882),", ",PROPER('BIÑAN INFO'!$E882)," ",PROPER('BIÑAN INFO'!$F882),"."," (",UPPER('BIÑAN INFO'!$H882),")")</f>
        <v>,  . ()</v>
      </c>
      <c r="E882" s="70"/>
      <c r="F882" s="70"/>
      <c r="G882" s="70"/>
      <c r="H882" s="69"/>
      <c r="I882" s="71">
        <v>0.12</v>
      </c>
      <c r="J882" s="72">
        <v>1000.0</v>
      </c>
      <c r="K882" s="73"/>
      <c r="L882" s="73"/>
      <c r="M882" s="73"/>
      <c r="N882" s="74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30.0" customHeight="1">
      <c r="A883" s="68"/>
      <c r="B883" s="68">
        <v>897.0</v>
      </c>
      <c r="C883" s="68"/>
      <c r="D883" s="69" t="str">
        <f>CONCATENATE(PROPER('BIÑAN INFO'!$G883),", ",PROPER('BIÑAN INFO'!$E883)," ",PROPER('BIÑAN INFO'!$F883),"."," (",UPPER('BIÑAN INFO'!$H883),")")</f>
        <v>,  . ()</v>
      </c>
      <c r="E883" s="70"/>
      <c r="F883" s="70"/>
      <c r="G883" s="70"/>
      <c r="H883" s="69"/>
      <c r="I883" s="71">
        <v>0.12</v>
      </c>
      <c r="J883" s="72">
        <v>1000.0</v>
      </c>
      <c r="K883" s="73"/>
      <c r="L883" s="73"/>
      <c r="M883" s="73"/>
      <c r="N883" s="74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30.0" customHeight="1">
      <c r="A884" s="68"/>
      <c r="B884" s="68">
        <v>898.0</v>
      </c>
      <c r="C884" s="68"/>
      <c r="D884" s="69" t="str">
        <f>CONCATENATE(PROPER('BIÑAN INFO'!$G884),", ",PROPER('BIÑAN INFO'!$E884)," ",PROPER('BIÑAN INFO'!$F884),"."," (",UPPER('BIÑAN INFO'!$H884),")")</f>
        <v>,  . ()</v>
      </c>
      <c r="E884" s="70"/>
      <c r="F884" s="70"/>
      <c r="G884" s="70"/>
      <c r="H884" s="69"/>
      <c r="I884" s="71">
        <v>0.12</v>
      </c>
      <c r="J884" s="72">
        <v>1000.0</v>
      </c>
      <c r="K884" s="73"/>
      <c r="L884" s="73"/>
      <c r="M884" s="73"/>
      <c r="N884" s="74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30.0" customHeight="1">
      <c r="A885" s="68"/>
      <c r="B885" s="68">
        <v>899.0</v>
      </c>
      <c r="C885" s="68"/>
      <c r="D885" s="69" t="str">
        <f>CONCATENATE(PROPER('BIÑAN INFO'!$G885),", ",PROPER('BIÑAN INFO'!$E885)," ",PROPER('BIÑAN INFO'!$F885),"."," (",UPPER('BIÑAN INFO'!$H885),")")</f>
        <v>,  . ()</v>
      </c>
      <c r="E885" s="70"/>
      <c r="F885" s="70"/>
      <c r="G885" s="70"/>
      <c r="H885" s="69"/>
      <c r="I885" s="71">
        <v>0.12</v>
      </c>
      <c r="J885" s="72">
        <v>1000.0</v>
      </c>
      <c r="K885" s="73"/>
      <c r="L885" s="73"/>
      <c r="M885" s="73"/>
      <c r="N885" s="74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30.0" customHeight="1">
      <c r="A886" s="68"/>
      <c r="B886" s="68">
        <v>900.0</v>
      </c>
      <c r="C886" s="68"/>
      <c r="D886" s="69" t="str">
        <f>CONCATENATE(PROPER('BIÑAN INFO'!$G886),", ",PROPER('BIÑAN INFO'!$E886)," ",PROPER('BIÑAN INFO'!$F886),"."," (",UPPER('BIÑAN INFO'!$H886),")")</f>
        <v>Baez, Fedelina . ()</v>
      </c>
      <c r="E886" s="70" t="s">
        <v>481</v>
      </c>
      <c r="F886" s="70"/>
      <c r="G886" s="70" t="s">
        <v>482</v>
      </c>
      <c r="H886" s="69"/>
      <c r="I886" s="71">
        <v>0.05</v>
      </c>
      <c r="J886" s="72">
        <v>1000.0</v>
      </c>
      <c r="K886" s="73" t="s">
        <v>50</v>
      </c>
      <c r="L886" s="73"/>
      <c r="M886" s="73"/>
      <c r="N886" s="74" t="s">
        <v>483</v>
      </c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30.0" customHeight="1">
      <c r="A887" s="68"/>
      <c r="B887" s="68">
        <v>901.0</v>
      </c>
      <c r="C887" s="68"/>
      <c r="D887" s="69" t="str">
        <f>CONCATENATE(PROPER('BIÑAN INFO'!$G887),", ",PROPER('BIÑAN INFO'!$E887)," ",PROPER('BIÑAN INFO'!$F887),"."," (",UPPER('BIÑAN INFO'!$H887),")")</f>
        <v>,  . ()</v>
      </c>
      <c r="E887" s="70"/>
      <c r="F887" s="70"/>
      <c r="G887" s="70"/>
      <c r="H887" s="69"/>
      <c r="I887" s="71">
        <v>0.12</v>
      </c>
      <c r="J887" s="72">
        <v>1000.0</v>
      </c>
      <c r="K887" s="73"/>
      <c r="L887" s="73"/>
      <c r="M887" s="73"/>
      <c r="N887" s="74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30.0" customHeight="1">
      <c r="A888" s="68"/>
      <c r="B888" s="68">
        <v>902.0</v>
      </c>
      <c r="C888" s="68"/>
      <c r="D888" s="69" t="str">
        <f>CONCATENATE(PROPER('BIÑAN INFO'!$G888),", ",PROPER('BIÑAN INFO'!$E888)," ",PROPER('BIÑAN INFO'!$F888),"."," (",UPPER('BIÑAN INFO'!$H888),")")</f>
        <v>Telebrico, Arthur . ()</v>
      </c>
      <c r="E888" s="70" t="s">
        <v>484</v>
      </c>
      <c r="F888" s="70"/>
      <c r="G888" s="70" t="s">
        <v>485</v>
      </c>
      <c r="H888" s="69"/>
      <c r="I888" s="71">
        <v>0.12</v>
      </c>
      <c r="J888" s="72">
        <v>1000.0</v>
      </c>
      <c r="K888" s="73"/>
      <c r="L888" s="73"/>
      <c r="M888" s="73"/>
      <c r="N888" s="74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30.0" customHeight="1">
      <c r="A889" s="68"/>
      <c r="B889" s="68">
        <v>903.0</v>
      </c>
      <c r="C889" s="68"/>
      <c r="D889" s="69" t="str">
        <f>CONCATENATE(PROPER('BIÑAN INFO'!$G889),", ",PROPER('BIÑAN INFO'!$E889)," ",PROPER('BIÑAN INFO'!$F889),"."," (",UPPER('BIÑAN INFO'!$H889),")")</f>
        <v>,  . ()</v>
      </c>
      <c r="E889" s="70"/>
      <c r="F889" s="70"/>
      <c r="G889" s="70"/>
      <c r="H889" s="69"/>
      <c r="I889" s="71">
        <v>0.12</v>
      </c>
      <c r="J889" s="72">
        <v>1000.0</v>
      </c>
      <c r="K889" s="73"/>
      <c r="L889" s="73"/>
      <c r="M889" s="73"/>
      <c r="N889" s="74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30.0" customHeight="1">
      <c r="A890" s="68"/>
      <c r="B890" s="68">
        <v>904.0</v>
      </c>
      <c r="C890" s="68"/>
      <c r="D890" s="69" t="str">
        <f>CONCATENATE(PROPER('BIÑAN INFO'!$G890),", ",PROPER('BIÑAN INFO'!$E890)," ",PROPER('BIÑAN INFO'!$F890),"."," (",UPPER('BIÑAN INFO'!$H890),")")</f>
        <v>,  . ()</v>
      </c>
      <c r="E890" s="70"/>
      <c r="F890" s="70"/>
      <c r="G890" s="70"/>
      <c r="H890" s="69"/>
      <c r="I890" s="71">
        <v>0.12</v>
      </c>
      <c r="J890" s="72">
        <v>1000.0</v>
      </c>
      <c r="K890" s="73"/>
      <c r="L890" s="73"/>
      <c r="M890" s="73"/>
      <c r="N890" s="74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30.0" customHeight="1">
      <c r="A891" s="68"/>
      <c r="B891" s="68">
        <v>905.0</v>
      </c>
      <c r="C891" s="68"/>
      <c r="D891" s="69" t="str">
        <f>CONCATENATE(PROPER('BIÑAN INFO'!$G891),", ",PROPER('BIÑAN INFO'!$E891)," ",PROPER('BIÑAN INFO'!$F891),"."," (",UPPER('BIÑAN INFO'!$H891),")")</f>
        <v>,  . ()</v>
      </c>
      <c r="E891" s="70"/>
      <c r="F891" s="70"/>
      <c r="G891" s="70"/>
      <c r="H891" s="69"/>
      <c r="I891" s="71">
        <v>0.12</v>
      </c>
      <c r="J891" s="72">
        <v>1000.0</v>
      </c>
      <c r="K891" s="73"/>
      <c r="L891" s="73"/>
      <c r="M891" s="73"/>
      <c r="N891" s="74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30.0" customHeight="1">
      <c r="A892" s="68"/>
      <c r="B892" s="68">
        <v>906.0</v>
      </c>
      <c r="C892" s="68"/>
      <c r="D892" s="69" t="str">
        <f>CONCATENATE(PROPER('BIÑAN INFO'!$G892),", ",PROPER('BIÑAN INFO'!$E892)," ",PROPER('BIÑAN INFO'!$F892),"."," (",UPPER('BIÑAN INFO'!$H892),")")</f>
        <v>,  . ()</v>
      </c>
      <c r="E892" s="70"/>
      <c r="F892" s="70"/>
      <c r="G892" s="69"/>
      <c r="H892" s="69"/>
      <c r="I892" s="71">
        <v>0.12</v>
      </c>
      <c r="J892" s="72">
        <v>1000.0</v>
      </c>
      <c r="K892" s="73"/>
      <c r="L892" s="73"/>
      <c r="M892" s="73"/>
      <c r="N892" s="74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30.0" customHeight="1">
      <c r="A893" s="68"/>
      <c r="B893" s="68">
        <v>907.0</v>
      </c>
      <c r="C893" s="68"/>
      <c r="D893" s="69" t="str">
        <f>CONCATENATE(PROPER('BIÑAN INFO'!$G893),", ",PROPER('BIÑAN INFO'!$E893)," ",PROPER('BIÑAN INFO'!$F893),"."," (",UPPER('BIÑAN INFO'!$H893),")")</f>
        <v>,  . ()</v>
      </c>
      <c r="E893" s="70"/>
      <c r="F893" s="70"/>
      <c r="G893" s="69"/>
      <c r="H893" s="69"/>
      <c r="I893" s="71">
        <v>0.12</v>
      </c>
      <c r="J893" s="72">
        <v>1000.0</v>
      </c>
      <c r="K893" s="73"/>
      <c r="L893" s="73"/>
      <c r="M893" s="73"/>
      <c r="N893" s="74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30.0" customHeight="1">
      <c r="A894" s="68"/>
      <c r="B894" s="68">
        <v>908.0</v>
      </c>
      <c r="C894" s="68"/>
      <c r="D894" s="69" t="str">
        <f>CONCATENATE(PROPER('BIÑAN INFO'!$G894),", ",PROPER('BIÑAN INFO'!$E894)," ",PROPER('BIÑAN INFO'!$F894),"."," (",UPPER('BIÑAN INFO'!$H894),")")</f>
        <v>,  . ()</v>
      </c>
      <c r="E894" s="70"/>
      <c r="F894" s="70"/>
      <c r="G894" s="70"/>
      <c r="H894" s="69"/>
      <c r="I894" s="71">
        <v>0.12</v>
      </c>
      <c r="J894" s="72">
        <v>1000.0</v>
      </c>
      <c r="K894" s="73"/>
      <c r="L894" s="73"/>
      <c r="M894" s="73"/>
      <c r="N894" s="74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30.0" customHeight="1">
      <c r="A895" s="68"/>
      <c r="B895" s="68">
        <v>909.0</v>
      </c>
      <c r="C895" s="68"/>
      <c r="D895" s="69" t="str">
        <f>CONCATENATE(PROPER('BIÑAN INFO'!$G895),", ",PROPER('BIÑAN INFO'!$E895)," ",PROPER('BIÑAN INFO'!$F895),"."," (",UPPER('BIÑAN INFO'!$H895),")")</f>
        <v>Aquino, Merlita . ()</v>
      </c>
      <c r="E895" s="70" t="s">
        <v>486</v>
      </c>
      <c r="F895" s="70"/>
      <c r="G895" s="70" t="s">
        <v>331</v>
      </c>
      <c r="H895" s="69"/>
      <c r="I895" s="71">
        <v>0.05</v>
      </c>
      <c r="J895" s="72">
        <v>1000.0</v>
      </c>
      <c r="K895" s="73" t="s">
        <v>50</v>
      </c>
      <c r="L895" s="73"/>
      <c r="M895" s="73"/>
      <c r="N895" s="74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30.0" customHeight="1">
      <c r="A896" s="68"/>
      <c r="B896" s="68">
        <v>910.0</v>
      </c>
      <c r="C896" s="68"/>
      <c r="D896" s="69" t="str">
        <f>CONCATENATE(PROPER('BIÑAN INFO'!$G896),", ",PROPER('BIÑAN INFO'!$E896)," ",PROPER('BIÑAN INFO'!$F896),"."," (",UPPER('BIÑAN INFO'!$H896),")")</f>
        <v>,  . ()</v>
      </c>
      <c r="E896" s="70"/>
      <c r="F896" s="70"/>
      <c r="G896" s="70"/>
      <c r="H896" s="69"/>
      <c r="I896" s="71">
        <v>0.12</v>
      </c>
      <c r="J896" s="72">
        <v>1000.0</v>
      </c>
      <c r="K896" s="73"/>
      <c r="L896" s="73"/>
      <c r="M896" s="73"/>
      <c r="N896" s="74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30.0" customHeight="1">
      <c r="A897" s="68"/>
      <c r="B897" s="68">
        <v>911.0</v>
      </c>
      <c r="C897" s="68"/>
      <c r="D897" s="69" t="str">
        <f>CONCATENATE(PROPER('BIÑAN INFO'!$G897),", ",PROPER('BIÑAN INFO'!$E897)," ",PROPER('BIÑAN INFO'!$F897),"."," (",UPPER('BIÑAN INFO'!$H897),")")</f>
        <v>,  . ()</v>
      </c>
      <c r="E897" s="70"/>
      <c r="F897" s="70"/>
      <c r="G897" s="69"/>
      <c r="H897" s="69"/>
      <c r="I897" s="71">
        <v>0.12</v>
      </c>
      <c r="J897" s="72">
        <v>1000.0</v>
      </c>
      <c r="K897" s="73"/>
      <c r="L897" s="73"/>
      <c r="M897" s="73"/>
      <c r="N897" s="74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30.0" customHeight="1">
      <c r="A898" s="68"/>
      <c r="B898" s="68">
        <v>912.0</v>
      </c>
      <c r="C898" s="68"/>
      <c r="D898" s="69" t="str">
        <f>CONCATENATE(PROPER('BIÑAN INFO'!$G898),", ",PROPER('BIÑAN INFO'!$E898)," ",PROPER('BIÑAN INFO'!$F898),"."," (",UPPER('BIÑAN INFO'!$H898),")")</f>
        <v>,  . ()</v>
      </c>
      <c r="E898" s="70"/>
      <c r="F898" s="70"/>
      <c r="G898" s="69"/>
      <c r="H898" s="69"/>
      <c r="I898" s="71">
        <v>0.12</v>
      </c>
      <c r="J898" s="72">
        <v>1000.0</v>
      </c>
      <c r="K898" s="73"/>
      <c r="L898" s="73"/>
      <c r="M898" s="73"/>
      <c r="N898" s="74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30.0" customHeight="1">
      <c r="A899" s="68"/>
      <c r="B899" s="68">
        <v>913.0</v>
      </c>
      <c r="C899" s="68"/>
      <c r="D899" s="69" t="str">
        <f>CONCATENATE(PROPER('BIÑAN INFO'!$G899),", ",PROPER('BIÑAN INFO'!$E899)," ",PROPER('BIÑAN INFO'!$F899),"."," (",UPPER('BIÑAN INFO'!$H899),")")</f>
        <v>,  . ()</v>
      </c>
      <c r="E899" s="70"/>
      <c r="F899" s="70"/>
      <c r="G899" s="69"/>
      <c r="H899" s="69"/>
      <c r="I899" s="71">
        <v>0.12</v>
      </c>
      <c r="J899" s="72">
        <v>1000.0</v>
      </c>
      <c r="K899" s="73"/>
      <c r="L899" s="73"/>
      <c r="M899" s="73"/>
      <c r="N899" s="74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30.0" customHeight="1">
      <c r="A900" s="68"/>
      <c r="B900" s="68">
        <v>914.0</v>
      </c>
      <c r="C900" s="68"/>
      <c r="D900" s="69" t="str">
        <f>CONCATENATE(PROPER('BIÑAN INFO'!$G900),", ",PROPER('BIÑAN INFO'!$E900)," ",PROPER('BIÑAN INFO'!$F900),"."," (",UPPER('BIÑAN INFO'!$H900),")")</f>
        <v>,  . ()</v>
      </c>
      <c r="E900" s="70"/>
      <c r="F900" s="70"/>
      <c r="G900" s="69"/>
      <c r="H900" s="69"/>
      <c r="I900" s="71">
        <v>0.12</v>
      </c>
      <c r="J900" s="72">
        <v>1000.0</v>
      </c>
      <c r="K900" s="73"/>
      <c r="L900" s="73"/>
      <c r="M900" s="73"/>
      <c r="N900" s="74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30.0" customHeight="1">
      <c r="A901" s="68"/>
      <c r="B901" s="68">
        <v>915.0</v>
      </c>
      <c r="C901" s="68"/>
      <c r="D901" s="69" t="str">
        <f>CONCATENATE(PROPER('BIÑAN INFO'!$G901),", ",PROPER('BIÑAN INFO'!$E901)," ",PROPER('BIÑAN INFO'!$F901),"."," (",UPPER('BIÑAN INFO'!$H901),")")</f>
        <v>,  . ()</v>
      </c>
      <c r="E901" s="70"/>
      <c r="F901" s="70"/>
      <c r="G901" s="69"/>
      <c r="H901" s="69"/>
      <c r="I901" s="71">
        <v>0.12</v>
      </c>
      <c r="J901" s="72">
        <v>1000.0</v>
      </c>
      <c r="K901" s="73"/>
      <c r="L901" s="73"/>
      <c r="M901" s="73"/>
      <c r="N901" s="74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30.0" customHeight="1">
      <c r="A902" s="68"/>
      <c r="B902" s="68">
        <v>916.0</v>
      </c>
      <c r="C902" s="68"/>
      <c r="D902" s="69" t="str">
        <f>CONCATENATE(PROPER('BIÑAN INFO'!$G902),", ",PROPER('BIÑAN INFO'!$E902)," ",PROPER('BIÑAN INFO'!$F902),"."," (",UPPER('BIÑAN INFO'!$H902),")")</f>
        <v>,  . ()</v>
      </c>
      <c r="E902" s="70"/>
      <c r="F902" s="70"/>
      <c r="G902" s="69"/>
      <c r="H902" s="69"/>
      <c r="I902" s="71">
        <v>0.12</v>
      </c>
      <c r="J902" s="72">
        <v>1000.0</v>
      </c>
      <c r="K902" s="73"/>
      <c r="L902" s="73"/>
      <c r="M902" s="73"/>
      <c r="N902" s="74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30.0" customHeight="1">
      <c r="A903" s="68"/>
      <c r="B903" s="68">
        <v>917.0</v>
      </c>
      <c r="C903" s="68"/>
      <c r="D903" s="69" t="str">
        <f>CONCATENATE(PROPER('BIÑAN INFO'!$G903),", ",PROPER('BIÑAN INFO'!$E903)," ",PROPER('BIÑAN INFO'!$F903),"."," (",UPPER('BIÑAN INFO'!$H903),")")</f>
        <v>,  . ()</v>
      </c>
      <c r="E903" s="70"/>
      <c r="F903" s="70"/>
      <c r="G903" s="69"/>
      <c r="H903" s="69"/>
      <c r="I903" s="71">
        <v>0.12</v>
      </c>
      <c r="J903" s="72">
        <v>1000.0</v>
      </c>
      <c r="K903" s="73"/>
      <c r="L903" s="73"/>
      <c r="M903" s="73"/>
      <c r="N903" s="74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30.0" customHeight="1">
      <c r="A904" s="68"/>
      <c r="B904" s="68">
        <v>918.0</v>
      </c>
      <c r="C904" s="68"/>
      <c r="D904" s="69" t="str">
        <f>CONCATENATE(PROPER('BIÑAN INFO'!$G904),", ",PROPER('BIÑAN INFO'!$E904)," ",PROPER('BIÑAN INFO'!$F904),"."," (",UPPER('BIÑAN INFO'!$H904),")")</f>
        <v>,  . ()</v>
      </c>
      <c r="E904" s="70"/>
      <c r="F904" s="70"/>
      <c r="G904" s="69"/>
      <c r="H904" s="69"/>
      <c r="I904" s="71">
        <v>0.12</v>
      </c>
      <c r="J904" s="72">
        <v>1000.0</v>
      </c>
      <c r="K904" s="73"/>
      <c r="L904" s="73"/>
      <c r="M904" s="73"/>
      <c r="N904" s="74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30.0" customHeight="1">
      <c r="A905" s="68"/>
      <c r="B905" s="68">
        <v>919.0</v>
      </c>
      <c r="C905" s="68"/>
      <c r="D905" s="69" t="str">
        <f>CONCATENATE(PROPER('BIÑAN INFO'!$G905),", ",PROPER('BIÑAN INFO'!$E905)," ",PROPER('BIÑAN INFO'!$F905),"."," (",UPPER('BIÑAN INFO'!$H905),")")</f>
        <v>Cagulada, Nette . ()</v>
      </c>
      <c r="E905" s="70" t="s">
        <v>487</v>
      </c>
      <c r="F905" s="70"/>
      <c r="G905" s="69" t="s">
        <v>488</v>
      </c>
      <c r="H905" s="69"/>
      <c r="I905" s="71">
        <v>0.05</v>
      </c>
      <c r="J905" s="72">
        <v>1000.0</v>
      </c>
      <c r="K905" s="73" t="s">
        <v>50</v>
      </c>
      <c r="L905" s="73"/>
      <c r="M905" s="73"/>
      <c r="N905" s="74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30.0" customHeight="1">
      <c r="A906" s="68"/>
      <c r="B906" s="68">
        <v>920.0</v>
      </c>
      <c r="C906" s="68"/>
      <c r="D906" s="69" t="str">
        <f>CONCATENATE(PROPER('BIÑAN INFO'!$G906),", ",PROPER('BIÑAN INFO'!$E906)," ",PROPER('BIÑAN INFO'!$F906),"."," (",UPPER('BIÑAN INFO'!$H906),")")</f>
        <v>,  . ()</v>
      </c>
      <c r="E906" s="70"/>
      <c r="F906" s="70"/>
      <c r="G906" s="69"/>
      <c r="H906" s="69"/>
      <c r="I906" s="71">
        <v>0.12</v>
      </c>
      <c r="J906" s="72">
        <v>1000.0</v>
      </c>
      <c r="K906" s="73"/>
      <c r="L906" s="73"/>
      <c r="M906" s="73"/>
      <c r="N906" s="74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30.0" customHeight="1">
      <c r="A907" s="68"/>
      <c r="B907" s="68">
        <v>921.0</v>
      </c>
      <c r="C907" s="68"/>
      <c r="D907" s="69" t="str">
        <f>CONCATENATE(PROPER('BIÑAN INFO'!$G907),", ",PROPER('BIÑAN INFO'!$E907)," ",PROPER('BIÑAN INFO'!$F907),"."," (",UPPER('BIÑAN INFO'!$H907),")")</f>
        <v>,  . ()</v>
      </c>
      <c r="E907" s="70"/>
      <c r="F907" s="70"/>
      <c r="G907" s="69"/>
      <c r="H907" s="69"/>
      <c r="I907" s="71">
        <v>0.12</v>
      </c>
      <c r="J907" s="72">
        <v>1000.0</v>
      </c>
      <c r="K907" s="73"/>
      <c r="L907" s="73"/>
      <c r="M907" s="73"/>
      <c r="N907" s="74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30.0" customHeight="1">
      <c r="A908" s="68"/>
      <c r="B908" s="68">
        <v>922.0</v>
      </c>
      <c r="C908" s="68"/>
      <c r="D908" s="69" t="str">
        <f>CONCATENATE(PROPER('BIÑAN INFO'!$G908),", ",PROPER('BIÑAN INFO'!$E908)," ",PROPER('BIÑAN INFO'!$F908),"."," (",UPPER('BIÑAN INFO'!$H908),")")</f>
        <v>,  . ()</v>
      </c>
      <c r="E908" s="70"/>
      <c r="F908" s="70"/>
      <c r="G908" s="69"/>
      <c r="H908" s="69"/>
      <c r="I908" s="71">
        <v>0.12</v>
      </c>
      <c r="J908" s="72">
        <v>1000.0</v>
      </c>
      <c r="K908" s="73"/>
      <c r="L908" s="73"/>
      <c r="M908" s="73"/>
      <c r="N908" s="74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30.0" customHeight="1">
      <c r="A909" s="68"/>
      <c r="B909" s="68">
        <v>923.0</v>
      </c>
      <c r="C909" s="68"/>
      <c r="D909" s="69" t="str">
        <f>CONCATENATE(PROPER('BIÑAN INFO'!$G909),", ",PROPER('BIÑAN INFO'!$E909)," ",PROPER('BIÑAN INFO'!$F909),"."," (",UPPER('BIÑAN INFO'!$H909),")")</f>
        <v>,  . ()</v>
      </c>
      <c r="E909" s="70"/>
      <c r="F909" s="70"/>
      <c r="G909" s="69"/>
      <c r="H909" s="69"/>
      <c r="I909" s="71">
        <v>0.12</v>
      </c>
      <c r="J909" s="72">
        <v>1000.0</v>
      </c>
      <c r="K909" s="73"/>
      <c r="L909" s="73"/>
      <c r="M909" s="73"/>
      <c r="N909" s="74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30.0" customHeight="1">
      <c r="A910" s="68"/>
      <c r="B910" s="68">
        <v>924.0</v>
      </c>
      <c r="C910" s="68"/>
      <c r="D910" s="69" t="str">
        <f>CONCATENATE(PROPER('BIÑAN INFO'!$G910),", ",PROPER('BIÑAN INFO'!$E910)," ",PROPER('BIÑAN INFO'!$F910),"."," (",UPPER('BIÑAN INFO'!$H910),")")</f>
        <v>Matunog, Amy Aura . ()</v>
      </c>
      <c r="E910" s="70" t="s">
        <v>489</v>
      </c>
      <c r="F910" s="70"/>
      <c r="G910" s="69" t="s">
        <v>490</v>
      </c>
      <c r="H910" s="69"/>
      <c r="I910" s="71">
        <v>0.12</v>
      </c>
      <c r="J910" s="72">
        <v>1000.0</v>
      </c>
      <c r="K910" s="73"/>
      <c r="L910" s="73"/>
      <c r="M910" s="73"/>
      <c r="N910" s="74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30.0" customHeight="1">
      <c r="A911" s="68"/>
      <c r="B911" s="68">
        <v>925.0</v>
      </c>
      <c r="C911" s="68"/>
      <c r="D911" s="69" t="str">
        <f>CONCATENATE(PROPER('BIÑAN INFO'!$G911),", ",PROPER('BIÑAN INFO'!$E911)," ",PROPER('BIÑAN INFO'!$F911),"."," (",UPPER('BIÑAN INFO'!$H911),")")</f>
        <v>,  . ()</v>
      </c>
      <c r="E911" s="70"/>
      <c r="F911" s="70"/>
      <c r="G911" s="69"/>
      <c r="H911" s="69"/>
      <c r="I911" s="71">
        <v>0.12</v>
      </c>
      <c r="J911" s="72">
        <v>1000.0</v>
      </c>
      <c r="K911" s="73"/>
      <c r="L911" s="73"/>
      <c r="M911" s="73"/>
      <c r="N911" s="74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30.0" customHeight="1">
      <c r="A912" s="68"/>
      <c r="B912" s="68">
        <v>926.0</v>
      </c>
      <c r="C912" s="68"/>
      <c r="D912" s="69" t="str">
        <f>CONCATENATE(PROPER('BIÑAN INFO'!$G912),", ",PROPER('BIÑAN INFO'!$E912)," ",PROPER('BIÑAN INFO'!$F912),"."," (",UPPER('BIÑAN INFO'!$H912),")")</f>
        <v>,  . ()</v>
      </c>
      <c r="E912" s="70"/>
      <c r="F912" s="70"/>
      <c r="G912" s="69"/>
      <c r="H912" s="69"/>
      <c r="I912" s="71">
        <v>0.12</v>
      </c>
      <c r="J912" s="72">
        <v>1000.0</v>
      </c>
      <c r="K912" s="73"/>
      <c r="L912" s="73"/>
      <c r="M912" s="73"/>
      <c r="N912" s="74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30.0" customHeight="1">
      <c r="A913" s="68"/>
      <c r="B913" s="68">
        <v>927.0</v>
      </c>
      <c r="C913" s="68"/>
      <c r="D913" s="69" t="str">
        <f>CONCATENATE(PROPER('BIÑAN INFO'!$G913),", ",PROPER('BIÑAN INFO'!$E913)," ",PROPER('BIÑAN INFO'!$F913),"."," (",UPPER('BIÑAN INFO'!$H913),")")</f>
        <v>,  . ()</v>
      </c>
      <c r="E913" s="70"/>
      <c r="F913" s="70"/>
      <c r="G913" s="69"/>
      <c r="H913" s="69"/>
      <c r="I913" s="71">
        <v>0.12</v>
      </c>
      <c r="J913" s="72">
        <v>1000.0</v>
      </c>
      <c r="K913" s="73"/>
      <c r="L913" s="73"/>
      <c r="M913" s="73"/>
      <c r="N913" s="74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30.0" customHeight="1">
      <c r="A914" s="68"/>
      <c r="B914" s="68">
        <v>928.0</v>
      </c>
      <c r="C914" s="68"/>
      <c r="D914" s="69" t="str">
        <f>CONCATENATE(PROPER('BIÑAN INFO'!$G914),", ",PROPER('BIÑAN INFO'!$E914)," ",PROPER('BIÑAN INFO'!$F914),"."," (",UPPER('BIÑAN INFO'!$H914),")")</f>
        <v>,  . ()</v>
      </c>
      <c r="E914" s="70"/>
      <c r="F914" s="70"/>
      <c r="G914" s="69"/>
      <c r="H914" s="69"/>
      <c r="I914" s="71">
        <v>0.12</v>
      </c>
      <c r="J914" s="72">
        <v>1000.0</v>
      </c>
      <c r="K914" s="73"/>
      <c r="L914" s="73"/>
      <c r="M914" s="73"/>
      <c r="N914" s="74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30.0" customHeight="1">
      <c r="A915" s="68"/>
      <c r="B915" s="68">
        <v>929.0</v>
      </c>
      <c r="C915" s="68"/>
      <c r="D915" s="69" t="str">
        <f>CONCATENATE(PROPER('BIÑAN INFO'!$G915),", ",PROPER('BIÑAN INFO'!$E915)," ",PROPER('BIÑAN INFO'!$F915),"."," (",UPPER('BIÑAN INFO'!$H915),")")</f>
        <v>,  . ()</v>
      </c>
      <c r="E915" s="70"/>
      <c r="F915" s="70"/>
      <c r="G915" s="69"/>
      <c r="H915" s="69"/>
      <c r="I915" s="71">
        <v>0.12</v>
      </c>
      <c r="J915" s="72">
        <v>1000.0</v>
      </c>
      <c r="K915" s="73"/>
      <c r="L915" s="73"/>
      <c r="M915" s="73"/>
      <c r="N915" s="74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30.0" customHeight="1">
      <c r="A916" s="68"/>
      <c r="B916" s="68">
        <v>930.0</v>
      </c>
      <c r="C916" s="68"/>
      <c r="D916" s="69" t="str">
        <f>CONCATENATE(PROPER('BIÑAN INFO'!$G916),", ",PROPER('BIÑAN INFO'!$E916)," ",PROPER('BIÑAN INFO'!$F916),"."," (",UPPER('BIÑAN INFO'!$H916),")")</f>
        <v>,  . ()</v>
      </c>
      <c r="E916" s="70"/>
      <c r="F916" s="70"/>
      <c r="G916" s="69"/>
      <c r="H916" s="69"/>
      <c r="I916" s="71">
        <v>0.12</v>
      </c>
      <c r="J916" s="72">
        <v>1000.0</v>
      </c>
      <c r="K916" s="73"/>
      <c r="L916" s="73"/>
      <c r="M916" s="73"/>
      <c r="N916" s="74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30.0" customHeight="1">
      <c r="A917" s="68"/>
      <c r="B917" s="68">
        <v>931.0</v>
      </c>
      <c r="C917" s="68"/>
      <c r="D917" s="69" t="str">
        <f>CONCATENATE(PROPER('BIÑAN INFO'!$G917),", ",PROPER('BIÑAN INFO'!$E917)," ",PROPER('BIÑAN INFO'!$F917),"."," (",UPPER('BIÑAN INFO'!$H917),")")</f>
        <v>,  . ()</v>
      </c>
      <c r="E917" s="70"/>
      <c r="F917" s="70"/>
      <c r="G917" s="69"/>
      <c r="H917" s="69"/>
      <c r="I917" s="71">
        <v>0.12</v>
      </c>
      <c r="J917" s="72">
        <v>1000.0</v>
      </c>
      <c r="K917" s="73"/>
      <c r="L917" s="73"/>
      <c r="M917" s="73"/>
      <c r="N917" s="74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30.0" customHeight="1">
      <c r="A918" s="68"/>
      <c r="B918" s="68">
        <v>932.0</v>
      </c>
      <c r="C918" s="68"/>
      <c r="D918" s="69" t="str">
        <f>CONCATENATE(PROPER('BIÑAN INFO'!$G918),", ",PROPER('BIÑAN INFO'!$E918)," ",PROPER('BIÑAN INFO'!$F918),"."," (",UPPER('BIÑAN INFO'!$H918),")")</f>
        <v>,  . ()</v>
      </c>
      <c r="E918" s="70"/>
      <c r="F918" s="70"/>
      <c r="G918" s="69"/>
      <c r="H918" s="69"/>
      <c r="I918" s="71">
        <v>0.12</v>
      </c>
      <c r="J918" s="72">
        <v>1000.0</v>
      </c>
      <c r="K918" s="73"/>
      <c r="L918" s="73"/>
      <c r="M918" s="73"/>
      <c r="N918" s="74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30.0" customHeight="1">
      <c r="A919" s="68"/>
      <c r="B919" s="68">
        <v>933.0</v>
      </c>
      <c r="C919" s="68"/>
      <c r="D919" s="69" t="str">
        <f>CONCATENATE(PROPER('BIÑAN INFO'!$G919),", ",PROPER('BIÑAN INFO'!$E919)," ",PROPER('BIÑAN INFO'!$F919),"."," (",UPPER('BIÑAN INFO'!$H919),")")</f>
        <v>,  . ()</v>
      </c>
      <c r="E919" s="70"/>
      <c r="F919" s="70"/>
      <c r="G919" s="69"/>
      <c r="H919" s="69"/>
      <c r="I919" s="71">
        <v>0.12</v>
      </c>
      <c r="J919" s="72">
        <v>1000.0</v>
      </c>
      <c r="K919" s="73"/>
      <c r="L919" s="73"/>
      <c r="M919" s="73"/>
      <c r="N919" s="74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30.0" customHeight="1">
      <c r="A920" s="68"/>
      <c r="B920" s="68">
        <v>934.0</v>
      </c>
      <c r="C920" s="68"/>
      <c r="D920" s="69" t="str">
        <f>CONCATENATE(PROPER('BIÑAN INFO'!$G920),", ",PROPER('BIÑAN INFO'!$E920)," ",PROPER('BIÑAN INFO'!$F920),"."," (",UPPER('BIÑAN INFO'!$H920),")")</f>
        <v>,  . ()</v>
      </c>
      <c r="E920" s="70"/>
      <c r="F920" s="70"/>
      <c r="G920" s="70"/>
      <c r="H920" s="70"/>
      <c r="I920" s="71">
        <v>0.12</v>
      </c>
      <c r="J920" s="72">
        <v>1000.0</v>
      </c>
      <c r="K920" s="73"/>
      <c r="L920" s="73"/>
      <c r="M920" s="73"/>
      <c r="N920" s="74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30.0" customHeight="1">
      <c r="A921" s="68"/>
      <c r="B921" s="68">
        <v>935.0</v>
      </c>
      <c r="C921" s="68"/>
      <c r="D921" s="69" t="str">
        <f>CONCATENATE(PROPER('BIÑAN INFO'!$G921),", ",PROPER('BIÑAN INFO'!$E921)," ",PROPER('BIÑAN INFO'!$F921),"."," (",UPPER('BIÑAN INFO'!$H921),")")</f>
        <v>,  . ()</v>
      </c>
      <c r="E921" s="70"/>
      <c r="F921" s="70"/>
      <c r="G921" s="70"/>
      <c r="H921" s="70"/>
      <c r="I921" s="71">
        <v>0.12</v>
      </c>
      <c r="J921" s="72">
        <v>1000.0</v>
      </c>
      <c r="K921" s="73"/>
      <c r="L921" s="73"/>
      <c r="M921" s="73"/>
      <c r="N921" s="74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30.0" customHeight="1">
      <c r="A922" s="68"/>
      <c r="B922" s="68">
        <v>936.0</v>
      </c>
      <c r="C922" s="68"/>
      <c r="D922" s="69" t="str">
        <f>CONCATENATE(PROPER('BIÑAN INFO'!$G922),", ",PROPER('BIÑAN INFO'!$E922)," ",PROPER('BIÑAN INFO'!$F922),"."," (",UPPER('BIÑAN INFO'!$H922),")")</f>
        <v>,  . ()</v>
      </c>
      <c r="E922" s="70"/>
      <c r="F922" s="70"/>
      <c r="G922" s="70"/>
      <c r="H922" s="70"/>
      <c r="I922" s="71">
        <v>0.12</v>
      </c>
      <c r="J922" s="72">
        <v>1000.0</v>
      </c>
      <c r="K922" s="73"/>
      <c r="L922" s="73"/>
      <c r="M922" s="73"/>
      <c r="N922" s="74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30.0" customHeight="1">
      <c r="A923" s="68"/>
      <c r="B923" s="68">
        <v>937.0</v>
      </c>
      <c r="C923" s="68"/>
      <c r="D923" s="69" t="str">
        <f>CONCATENATE(PROPER('BIÑAN INFO'!$G923),", ",PROPER('BIÑAN INFO'!$E923)," ",PROPER('BIÑAN INFO'!$F923),"."," (",UPPER('BIÑAN INFO'!$H923),")")</f>
        <v>,  . ()</v>
      </c>
      <c r="E923" s="70"/>
      <c r="F923" s="70"/>
      <c r="G923" s="70"/>
      <c r="H923" s="70"/>
      <c r="I923" s="71">
        <v>0.12</v>
      </c>
      <c r="J923" s="72">
        <v>1000.0</v>
      </c>
      <c r="K923" s="73"/>
      <c r="L923" s="73"/>
      <c r="M923" s="73"/>
      <c r="N923" s="74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30.0" customHeight="1">
      <c r="A924" s="68"/>
      <c r="B924" s="68">
        <v>938.0</v>
      </c>
      <c r="C924" s="68"/>
      <c r="D924" s="69" t="str">
        <f>CONCATENATE(PROPER('BIÑAN INFO'!$G924),", ",PROPER('BIÑAN INFO'!$E924)," ",PROPER('BIÑAN INFO'!$F924),"."," (",UPPER('BIÑAN INFO'!$H924),")")</f>
        <v>,  . ()</v>
      </c>
      <c r="E924" s="70"/>
      <c r="F924" s="70"/>
      <c r="G924" s="70"/>
      <c r="H924" s="70"/>
      <c r="I924" s="71">
        <v>0.12</v>
      </c>
      <c r="J924" s="72">
        <v>1000.0</v>
      </c>
      <c r="K924" s="73"/>
      <c r="L924" s="73"/>
      <c r="M924" s="73"/>
      <c r="N924" s="74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30.0" customHeight="1">
      <c r="A925" s="68"/>
      <c r="B925" s="68">
        <v>939.0</v>
      </c>
      <c r="C925" s="68"/>
      <c r="D925" s="69" t="str">
        <f>CONCATENATE(PROPER('BIÑAN INFO'!$G925),", ",PROPER('BIÑAN INFO'!$E925)," ",PROPER('BIÑAN INFO'!$F925),"."," (",UPPER('BIÑAN INFO'!$H925),")")</f>
        <v>,  . ()</v>
      </c>
      <c r="E925" s="70"/>
      <c r="F925" s="70"/>
      <c r="G925" s="70"/>
      <c r="H925" s="70"/>
      <c r="I925" s="71">
        <v>0.12</v>
      </c>
      <c r="J925" s="72">
        <v>1000.0</v>
      </c>
      <c r="K925" s="73"/>
      <c r="L925" s="73"/>
      <c r="M925" s="73"/>
      <c r="N925" s="74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30.0" customHeight="1">
      <c r="A926" s="68"/>
      <c r="B926" s="68">
        <v>940.0</v>
      </c>
      <c r="C926" s="68"/>
      <c r="D926" s="69" t="str">
        <f>CONCATENATE(PROPER('BIÑAN INFO'!$G926),", ",PROPER('BIÑAN INFO'!$E926)," ",PROPER('BIÑAN INFO'!$F926),"."," (",UPPER('BIÑAN INFO'!$H926),")")</f>
        <v>,  . ()</v>
      </c>
      <c r="E926" s="70"/>
      <c r="F926" s="70"/>
      <c r="G926" s="70"/>
      <c r="H926" s="70"/>
      <c r="I926" s="71">
        <v>0.12</v>
      </c>
      <c r="J926" s="72">
        <v>1000.0</v>
      </c>
      <c r="K926" s="73"/>
      <c r="L926" s="73"/>
      <c r="M926" s="73"/>
      <c r="N926" s="74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30.0" customHeight="1">
      <c r="A927" s="68"/>
      <c r="B927" s="68">
        <v>941.0</v>
      </c>
      <c r="C927" s="68"/>
      <c r="D927" s="69" t="str">
        <f>CONCATENATE(PROPER('BIÑAN INFO'!$G927),", ",PROPER('BIÑAN INFO'!$E927)," ",PROPER('BIÑAN INFO'!$F927),"."," (",UPPER('BIÑAN INFO'!$H927),")")</f>
        <v>,  . ()</v>
      </c>
      <c r="E927" s="70"/>
      <c r="F927" s="70"/>
      <c r="G927" s="70"/>
      <c r="H927" s="70"/>
      <c r="I927" s="71">
        <v>0.12</v>
      </c>
      <c r="J927" s="72">
        <v>1000.0</v>
      </c>
      <c r="K927" s="73"/>
      <c r="L927" s="73"/>
      <c r="M927" s="73"/>
      <c r="N927" s="74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30.0" customHeight="1">
      <c r="A928" s="68"/>
      <c r="B928" s="68">
        <v>942.0</v>
      </c>
      <c r="C928" s="68"/>
      <c r="D928" s="69" t="str">
        <f>CONCATENATE(PROPER('BIÑAN INFO'!$G928),", ",PROPER('BIÑAN INFO'!$E928)," ",PROPER('BIÑAN INFO'!$F928),"."," (",UPPER('BIÑAN INFO'!$H928),")")</f>
        <v>,  . ()</v>
      </c>
      <c r="E928" s="70"/>
      <c r="F928" s="70"/>
      <c r="G928" s="70"/>
      <c r="H928" s="70"/>
      <c r="I928" s="71">
        <v>0.12</v>
      </c>
      <c r="J928" s="72">
        <v>1000.0</v>
      </c>
      <c r="K928" s="73"/>
      <c r="L928" s="73"/>
      <c r="M928" s="73"/>
      <c r="N928" s="74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30.0" customHeight="1">
      <c r="A929" s="68"/>
      <c r="B929" s="68">
        <v>943.0</v>
      </c>
      <c r="C929" s="68"/>
      <c r="D929" s="69" t="str">
        <f>CONCATENATE(PROPER('BIÑAN INFO'!$G929),", ",PROPER('BIÑAN INFO'!$E929)," ",PROPER('BIÑAN INFO'!$F929),"."," (",UPPER('BIÑAN INFO'!$H929),")")</f>
        <v>,  . ()</v>
      </c>
      <c r="E929" s="70"/>
      <c r="F929" s="70"/>
      <c r="G929" s="70"/>
      <c r="H929" s="70"/>
      <c r="I929" s="71">
        <v>0.12</v>
      </c>
      <c r="J929" s="72">
        <v>1000.0</v>
      </c>
      <c r="K929" s="73"/>
      <c r="L929" s="73"/>
      <c r="M929" s="73"/>
      <c r="N929" s="74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30.0" customHeight="1">
      <c r="A930" s="68"/>
      <c r="B930" s="68">
        <v>944.0</v>
      </c>
      <c r="C930" s="68"/>
      <c r="D930" s="69" t="str">
        <f>CONCATENATE(PROPER('BIÑAN INFO'!$G930),", ",PROPER('BIÑAN INFO'!$E930)," ",PROPER('BIÑAN INFO'!$F930),"."," (",UPPER('BIÑAN INFO'!$H930),")")</f>
        <v>Acob, Aleli . ()</v>
      </c>
      <c r="E930" s="70" t="s">
        <v>491</v>
      </c>
      <c r="F930" s="70"/>
      <c r="G930" s="70" t="s">
        <v>492</v>
      </c>
      <c r="H930" s="69"/>
      <c r="I930" s="71">
        <v>0.12</v>
      </c>
      <c r="J930" s="72">
        <v>1000.0</v>
      </c>
      <c r="K930" s="73"/>
      <c r="L930" s="73"/>
      <c r="M930" s="73"/>
      <c r="N930" s="74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30.0" customHeight="1">
      <c r="A931" s="68"/>
      <c r="B931" s="68">
        <v>945.0</v>
      </c>
      <c r="C931" s="68"/>
      <c r="D931" s="69" t="str">
        <f>CONCATENATE(PROPER('BIÑAN INFO'!$G931),", ",PROPER('BIÑAN INFO'!$E931)," ",PROPER('BIÑAN INFO'!$F931),"."," (",UPPER('BIÑAN INFO'!$H931),")")</f>
        <v>Rivera, Belma . ()</v>
      </c>
      <c r="E931" s="70" t="s">
        <v>493</v>
      </c>
      <c r="F931" s="70"/>
      <c r="G931" s="70" t="s">
        <v>494</v>
      </c>
      <c r="H931" s="69"/>
      <c r="I931" s="71">
        <v>0.12</v>
      </c>
      <c r="J931" s="72">
        <v>1000.0</v>
      </c>
      <c r="K931" s="73"/>
      <c r="L931" s="73"/>
      <c r="M931" s="73"/>
      <c r="N931" s="74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30.0" customHeight="1">
      <c r="A932" s="68"/>
      <c r="B932" s="68">
        <v>946.0</v>
      </c>
      <c r="C932" s="68"/>
      <c r="D932" s="69" t="str">
        <f>CONCATENATE(PROPER('BIÑAN INFO'!$G932),", ",PROPER('BIÑAN INFO'!$E932)," ",PROPER('BIÑAN INFO'!$F932),"."," (",UPPER('BIÑAN INFO'!$H932),")")</f>
        <v>,  . ()</v>
      </c>
      <c r="E932" s="70"/>
      <c r="F932" s="70"/>
      <c r="G932" s="70"/>
      <c r="H932" s="69"/>
      <c r="I932" s="71">
        <v>0.12</v>
      </c>
      <c r="J932" s="72">
        <v>1000.0</v>
      </c>
      <c r="K932" s="73"/>
      <c r="L932" s="73"/>
      <c r="M932" s="73"/>
      <c r="N932" s="74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30.0" customHeight="1">
      <c r="A933" s="68"/>
      <c r="B933" s="68">
        <v>947.0</v>
      </c>
      <c r="C933" s="68"/>
      <c r="D933" s="69" t="str">
        <f>CONCATENATE(PROPER('BIÑAN INFO'!$G933),", ",PROPER('BIÑAN INFO'!$E933)," ",PROPER('BIÑAN INFO'!$F933),"."," (",UPPER('BIÑAN INFO'!$H933),")")</f>
        <v>,  . ()</v>
      </c>
      <c r="E933" s="70"/>
      <c r="F933" s="70"/>
      <c r="G933" s="70"/>
      <c r="H933" s="69"/>
      <c r="I933" s="71">
        <v>0.12</v>
      </c>
      <c r="J933" s="72">
        <v>1000.0</v>
      </c>
      <c r="K933" s="73"/>
      <c r="L933" s="73"/>
      <c r="M933" s="73"/>
      <c r="N933" s="74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30.0" customHeight="1">
      <c r="A934" s="68"/>
      <c r="B934" s="68">
        <v>948.0</v>
      </c>
      <c r="C934" s="68"/>
      <c r="D934" s="69" t="str">
        <f>CONCATENATE(PROPER('BIÑAN INFO'!$G934),", ",PROPER('BIÑAN INFO'!$E934)," ",PROPER('BIÑAN INFO'!$F934),"."," (",UPPER('BIÑAN INFO'!$H934),")")</f>
        <v>Garcia, Garrie Leo . ()</v>
      </c>
      <c r="E934" s="70" t="s">
        <v>495</v>
      </c>
      <c r="F934" s="70"/>
      <c r="G934" s="70" t="s">
        <v>496</v>
      </c>
      <c r="H934" s="69"/>
      <c r="I934" s="71">
        <v>0.05</v>
      </c>
      <c r="J934" s="72">
        <v>1000.0</v>
      </c>
      <c r="K934" s="73"/>
      <c r="L934" s="73"/>
      <c r="M934" s="73"/>
      <c r="N934" s="74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30.0" customHeight="1">
      <c r="A935" s="68"/>
      <c r="B935" s="68">
        <v>949.0</v>
      </c>
      <c r="C935" s="68"/>
      <c r="D935" s="69" t="str">
        <f>CONCATENATE(PROPER('BIÑAN INFO'!$G935),", ",PROPER('BIÑAN INFO'!$E935)," ",PROPER('BIÑAN INFO'!$F935),"."," (",UPPER('BIÑAN INFO'!$H935),")")</f>
        <v>,  . ()</v>
      </c>
      <c r="E935" s="70"/>
      <c r="F935" s="70"/>
      <c r="G935" s="70"/>
      <c r="H935" s="69"/>
      <c r="I935" s="71">
        <v>0.12</v>
      </c>
      <c r="J935" s="72">
        <v>1000.0</v>
      </c>
      <c r="K935" s="73"/>
      <c r="L935" s="73"/>
      <c r="M935" s="73"/>
      <c r="N935" s="74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30.0" customHeight="1">
      <c r="A936" s="68"/>
      <c r="B936" s="68">
        <v>950.0</v>
      </c>
      <c r="C936" s="68"/>
      <c r="D936" s="69" t="str">
        <f>CONCATENATE(PROPER('BIÑAN INFO'!$G936),", ",PROPER('BIÑAN INFO'!$E936)," ",PROPER('BIÑAN INFO'!$F936),"."," (",UPPER('BIÑAN INFO'!$H936),")")</f>
        <v>,  . ()</v>
      </c>
      <c r="E936" s="70"/>
      <c r="F936" s="70"/>
      <c r="G936" s="70"/>
      <c r="H936" s="69"/>
      <c r="I936" s="71">
        <v>0.12</v>
      </c>
      <c r="J936" s="72">
        <v>1000.0</v>
      </c>
      <c r="K936" s="73"/>
      <c r="L936" s="73"/>
      <c r="M936" s="73"/>
      <c r="N936" s="74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30.0" customHeight="1">
      <c r="A937" s="68"/>
      <c r="B937" s="68">
        <v>951.0</v>
      </c>
      <c r="C937" s="68"/>
      <c r="D937" s="69" t="str">
        <f>CONCATENATE(PROPER('BIÑAN INFO'!$G937),", ",PROPER('BIÑAN INFO'!$E937)," ",PROPER('BIÑAN INFO'!$F937),"."," (",UPPER('BIÑAN INFO'!$H937),")")</f>
        <v>,  . ()</v>
      </c>
      <c r="E937" s="70"/>
      <c r="F937" s="70"/>
      <c r="G937" s="70"/>
      <c r="H937" s="69"/>
      <c r="I937" s="71">
        <v>0.12</v>
      </c>
      <c r="J937" s="72">
        <v>1000.0</v>
      </c>
      <c r="K937" s="73"/>
      <c r="L937" s="73"/>
      <c r="M937" s="73"/>
      <c r="N937" s="74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30.0" customHeight="1">
      <c r="A938" s="68"/>
      <c r="B938" s="68">
        <v>952.0</v>
      </c>
      <c r="C938" s="68"/>
      <c r="D938" s="69" t="str">
        <f>CONCATENATE(PROPER('BIÑAN INFO'!$G938),", ",PROPER('BIÑAN INFO'!$E938)," ",PROPER('BIÑAN INFO'!$F938),"."," (",UPPER('BIÑAN INFO'!$H938),")")</f>
        <v>Bague, Dennis . ()</v>
      </c>
      <c r="E938" s="70" t="s">
        <v>497</v>
      </c>
      <c r="F938" s="70"/>
      <c r="G938" s="70" t="s">
        <v>498</v>
      </c>
      <c r="H938" s="69"/>
      <c r="I938" s="71">
        <v>0.05</v>
      </c>
      <c r="J938" s="72">
        <v>1000.0</v>
      </c>
      <c r="K938" s="73" t="s">
        <v>50</v>
      </c>
      <c r="L938" s="73"/>
      <c r="M938" s="73"/>
      <c r="N938" s="74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30.0" customHeight="1">
      <c r="A939" s="68"/>
      <c r="B939" s="68">
        <v>953.0</v>
      </c>
      <c r="C939" s="68"/>
      <c r="D939" s="69" t="str">
        <f>CONCATENATE(PROPER('BIÑAN INFO'!$G939),", ",PROPER('BIÑAN INFO'!$E939)," ",PROPER('BIÑAN INFO'!$F939),"."," (",UPPER('BIÑAN INFO'!$H939),")")</f>
        <v>,  . ()</v>
      </c>
      <c r="E939" s="70"/>
      <c r="F939" s="70"/>
      <c r="G939" s="70"/>
      <c r="H939" s="69"/>
      <c r="I939" s="71">
        <v>0.12</v>
      </c>
      <c r="J939" s="72">
        <v>1000.0</v>
      </c>
      <c r="K939" s="73"/>
      <c r="L939" s="73"/>
      <c r="M939" s="73"/>
      <c r="N939" s="74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30.0" customHeight="1">
      <c r="A940" s="68"/>
      <c r="B940" s="68">
        <v>954.0</v>
      </c>
      <c r="C940" s="68"/>
      <c r="D940" s="69" t="str">
        <f>CONCATENATE(PROPER('BIÑAN INFO'!$G940),", ",PROPER('BIÑAN INFO'!$E940)," ",PROPER('BIÑAN INFO'!$F940),"."," (",UPPER('BIÑAN INFO'!$H940),")")</f>
        <v>,  . ()</v>
      </c>
      <c r="E940" s="70"/>
      <c r="F940" s="70"/>
      <c r="G940" s="70"/>
      <c r="H940" s="69"/>
      <c r="I940" s="71">
        <v>0.12</v>
      </c>
      <c r="J940" s="72">
        <v>1000.0</v>
      </c>
      <c r="K940" s="73"/>
      <c r="L940" s="73"/>
      <c r="M940" s="73"/>
      <c r="N940" s="74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30.0" customHeight="1">
      <c r="A941" s="68"/>
      <c r="B941" s="68">
        <v>955.0</v>
      </c>
      <c r="C941" s="68"/>
      <c r="D941" s="69" t="str">
        <f>CONCATENATE(PROPER('BIÑAN INFO'!$G941),", ",PROPER('BIÑAN INFO'!$E941)," ",PROPER('BIÑAN INFO'!$F941),"."," (",UPPER('BIÑAN INFO'!$H941),")")</f>
        <v>,  . ()</v>
      </c>
      <c r="E941" s="70"/>
      <c r="F941" s="70"/>
      <c r="G941" s="70"/>
      <c r="H941" s="69"/>
      <c r="I941" s="71">
        <v>0.12</v>
      </c>
      <c r="J941" s="72">
        <v>1000.0</v>
      </c>
      <c r="K941" s="73"/>
      <c r="L941" s="73"/>
      <c r="M941" s="73"/>
      <c r="N941" s="74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30.0" customHeight="1">
      <c r="A942" s="68"/>
      <c r="B942" s="68">
        <v>956.0</v>
      </c>
      <c r="C942" s="68"/>
      <c r="D942" s="69" t="str">
        <f>CONCATENATE(PROPER('BIÑAN INFO'!$G942),", ",PROPER('BIÑAN INFO'!$E942)," ",PROPER('BIÑAN INFO'!$F942),"."," (",UPPER('BIÑAN INFO'!$H942),")")</f>
        <v>,  . ()</v>
      </c>
      <c r="E942" s="70"/>
      <c r="F942" s="70"/>
      <c r="G942" s="70"/>
      <c r="H942" s="69"/>
      <c r="I942" s="71">
        <v>0.12</v>
      </c>
      <c r="J942" s="72">
        <v>1000.0</v>
      </c>
      <c r="K942" s="73"/>
      <c r="L942" s="73"/>
      <c r="M942" s="73"/>
      <c r="N942" s="74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30.0" customHeight="1">
      <c r="A943" s="68"/>
      <c r="B943" s="68">
        <v>957.0</v>
      </c>
      <c r="C943" s="68"/>
      <c r="D943" s="69" t="str">
        <f>CONCATENATE(PROPER('BIÑAN INFO'!$G943),", ",PROPER('BIÑAN INFO'!$E943)," ",PROPER('BIÑAN INFO'!$F943),"."," (",UPPER('BIÑAN INFO'!$H943),")")</f>
        <v>,  . ()</v>
      </c>
      <c r="E943" s="70"/>
      <c r="F943" s="70"/>
      <c r="G943" s="70"/>
      <c r="H943" s="69"/>
      <c r="I943" s="71">
        <v>0.12</v>
      </c>
      <c r="J943" s="72">
        <v>1000.0</v>
      </c>
      <c r="K943" s="73"/>
      <c r="L943" s="73"/>
      <c r="M943" s="73"/>
      <c r="N943" s="74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30.0" customHeight="1">
      <c r="A944" s="68"/>
      <c r="B944" s="68">
        <v>958.0</v>
      </c>
      <c r="C944" s="68"/>
      <c r="D944" s="69" t="str">
        <f>CONCATENATE(PROPER('BIÑAN INFO'!$G944),", ",PROPER('BIÑAN INFO'!$E944)," ",PROPER('BIÑAN INFO'!$F944),"."," (",UPPER('BIÑAN INFO'!$H944),")")</f>
        <v>,  . ()</v>
      </c>
      <c r="E944" s="70"/>
      <c r="F944" s="70"/>
      <c r="G944" s="70"/>
      <c r="H944" s="69"/>
      <c r="I944" s="71">
        <v>0.12</v>
      </c>
      <c r="J944" s="72">
        <v>1000.0</v>
      </c>
      <c r="K944" s="73"/>
      <c r="L944" s="73"/>
      <c r="M944" s="73"/>
      <c r="N944" s="74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30.0" customHeight="1">
      <c r="A945" s="68"/>
      <c r="B945" s="68">
        <v>959.0</v>
      </c>
      <c r="C945" s="68"/>
      <c r="D945" s="69" t="str">
        <f>CONCATENATE(PROPER('BIÑAN INFO'!$G945),", ",PROPER('BIÑAN INFO'!$E945)," ",PROPER('BIÑAN INFO'!$F945),"."," (",UPPER('BIÑAN INFO'!$H945),")")</f>
        <v>,  . ()</v>
      </c>
      <c r="E945" s="70"/>
      <c r="F945" s="70"/>
      <c r="G945" s="70"/>
      <c r="H945" s="69"/>
      <c r="I945" s="71">
        <v>0.12</v>
      </c>
      <c r="J945" s="72">
        <v>1000.0</v>
      </c>
      <c r="K945" s="73"/>
      <c r="L945" s="73"/>
      <c r="M945" s="73"/>
      <c r="N945" s="74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30.0" customHeight="1">
      <c r="A946" s="68"/>
      <c r="B946" s="68">
        <v>960.0</v>
      </c>
      <c r="C946" s="68"/>
      <c r="D946" s="69" t="str">
        <f>CONCATENATE(PROPER('BIÑAN INFO'!$G946),", ",PROPER('BIÑAN INFO'!$E946)," ",PROPER('BIÑAN INFO'!$F946),"."," (",UPPER('BIÑAN INFO'!$H946),")")</f>
        <v>,  . ()</v>
      </c>
      <c r="E946" s="70"/>
      <c r="F946" s="70"/>
      <c r="G946" s="70"/>
      <c r="H946" s="69"/>
      <c r="I946" s="71">
        <v>0.12</v>
      </c>
      <c r="J946" s="72">
        <v>1000.0</v>
      </c>
      <c r="K946" s="73"/>
      <c r="L946" s="73"/>
      <c r="M946" s="73"/>
      <c r="N946" s="74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30.0" customHeight="1">
      <c r="A947" s="68"/>
      <c r="B947" s="68">
        <v>961.0</v>
      </c>
      <c r="C947" s="68"/>
      <c r="D947" s="69" t="str">
        <f>CONCATENATE(PROPER('BIÑAN INFO'!$G947),", ",PROPER('BIÑAN INFO'!$E947)," ",PROPER('BIÑAN INFO'!$F947),"."," (",UPPER('BIÑAN INFO'!$H947),")")</f>
        <v>,  . ()</v>
      </c>
      <c r="E947" s="70"/>
      <c r="F947" s="70"/>
      <c r="G947" s="70"/>
      <c r="H947" s="69"/>
      <c r="I947" s="71">
        <v>0.12</v>
      </c>
      <c r="J947" s="72">
        <v>1000.0</v>
      </c>
      <c r="K947" s="73"/>
      <c r="L947" s="73"/>
      <c r="M947" s="73"/>
      <c r="N947" s="74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30.0" customHeight="1">
      <c r="A948" s="68"/>
      <c r="B948" s="68">
        <v>962.0</v>
      </c>
      <c r="C948" s="68"/>
      <c r="D948" s="69" t="str">
        <f>CONCATENATE(PROPER('BIÑAN INFO'!$G948),", ",PROPER('BIÑAN INFO'!$E948)," ",PROPER('BIÑAN INFO'!$F948),"."," (",UPPER('BIÑAN INFO'!$H948),")")</f>
        <v>Batangantang, Ma. Astrude . ()</v>
      </c>
      <c r="E948" s="70" t="s">
        <v>499</v>
      </c>
      <c r="F948" s="70"/>
      <c r="G948" s="70" t="s">
        <v>103</v>
      </c>
      <c r="H948" s="69"/>
      <c r="I948" s="71">
        <v>0.05</v>
      </c>
      <c r="J948" s="72">
        <v>5000.0</v>
      </c>
      <c r="K948" s="73" t="s">
        <v>50</v>
      </c>
      <c r="L948" s="73"/>
      <c r="M948" s="73"/>
      <c r="N948" s="74" t="s">
        <v>500</v>
      </c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30.0" customHeight="1">
      <c r="A949" s="68"/>
      <c r="B949" s="68">
        <v>963.0</v>
      </c>
      <c r="C949" s="68"/>
      <c r="D949" s="69" t="str">
        <f>CONCATENATE(PROPER('BIÑAN INFO'!$G949),", ",PROPER('BIÑAN INFO'!$E949)," ",PROPER('BIÑAN INFO'!$F949),"."," (",UPPER('BIÑAN INFO'!$H949),")")</f>
        <v>,  . ()</v>
      </c>
      <c r="E949" s="70"/>
      <c r="F949" s="70"/>
      <c r="G949" s="70"/>
      <c r="H949" s="69"/>
      <c r="I949" s="71">
        <v>0.12</v>
      </c>
      <c r="J949" s="72">
        <v>1000.0</v>
      </c>
      <c r="K949" s="73"/>
      <c r="L949" s="73"/>
      <c r="M949" s="73"/>
      <c r="N949" s="74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30.0" customHeight="1">
      <c r="A950" s="68"/>
      <c r="B950" s="68">
        <v>964.0</v>
      </c>
      <c r="C950" s="68"/>
      <c r="D950" s="69" t="str">
        <f>CONCATENATE(PROPER('BIÑAN INFO'!$G950),", ",PROPER('BIÑAN INFO'!$E950)," ",PROPER('BIÑAN INFO'!$F950),"."," (",UPPER('BIÑAN INFO'!$H950),")")</f>
        <v>,  . ()</v>
      </c>
      <c r="E950" s="70"/>
      <c r="F950" s="70"/>
      <c r="G950" s="70"/>
      <c r="H950" s="69"/>
      <c r="I950" s="71">
        <v>0.12</v>
      </c>
      <c r="J950" s="72">
        <v>1000.0</v>
      </c>
      <c r="K950" s="73"/>
      <c r="L950" s="73"/>
      <c r="M950" s="73"/>
      <c r="N950" s="74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30.0" customHeight="1">
      <c r="A951" s="68"/>
      <c r="B951" s="68">
        <v>965.0</v>
      </c>
      <c r="C951" s="68"/>
      <c r="D951" s="69" t="str">
        <f>CONCATENATE(PROPER('BIÑAN INFO'!$G951),", ",PROPER('BIÑAN INFO'!$E951)," ",PROPER('BIÑAN INFO'!$F951),"."," (",UPPER('BIÑAN INFO'!$H951),")")</f>
        <v>,  . ()</v>
      </c>
      <c r="E951" s="70"/>
      <c r="F951" s="70"/>
      <c r="G951" s="70"/>
      <c r="H951" s="69"/>
      <c r="I951" s="71">
        <v>0.12</v>
      </c>
      <c r="J951" s="72">
        <v>1000.0</v>
      </c>
      <c r="K951" s="73"/>
      <c r="L951" s="73"/>
      <c r="M951" s="73"/>
      <c r="N951" s="74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30.0" customHeight="1">
      <c r="A952" s="68"/>
      <c r="B952" s="68">
        <v>966.0</v>
      </c>
      <c r="C952" s="68"/>
      <c r="D952" s="69" t="str">
        <f>CONCATENATE(PROPER('BIÑAN INFO'!$G952),", ",PROPER('BIÑAN INFO'!$E952)," ",PROPER('BIÑAN INFO'!$F952),"."," (",UPPER('BIÑAN INFO'!$H952),")")</f>
        <v>Andaya, Joy . ()</v>
      </c>
      <c r="E952" s="70" t="s">
        <v>501</v>
      </c>
      <c r="F952" s="70"/>
      <c r="G952" s="70" t="s">
        <v>380</v>
      </c>
      <c r="H952" s="69"/>
      <c r="I952" s="71">
        <v>0.12</v>
      </c>
      <c r="J952" s="72">
        <v>1000.0</v>
      </c>
      <c r="K952" s="73"/>
      <c r="L952" s="73"/>
      <c r="M952" s="73"/>
      <c r="N952" s="74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30.0" customHeight="1">
      <c r="A953" s="68"/>
      <c r="B953" s="68">
        <v>967.0</v>
      </c>
      <c r="C953" s="68"/>
      <c r="D953" s="69" t="str">
        <f>CONCATENATE(PROPER('BIÑAN INFO'!$G953),", ",PROPER('BIÑAN INFO'!$E953)," ",PROPER('BIÑAN INFO'!$F953),"."," (",UPPER('BIÑAN INFO'!$H953),")")</f>
        <v>,  . ()</v>
      </c>
      <c r="E953" s="70"/>
      <c r="F953" s="70"/>
      <c r="G953" s="70"/>
      <c r="H953" s="70"/>
      <c r="I953" s="71">
        <v>0.12</v>
      </c>
      <c r="J953" s="72">
        <v>1000.0</v>
      </c>
      <c r="K953" s="73"/>
      <c r="L953" s="73"/>
      <c r="M953" s="73"/>
      <c r="N953" s="74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30.0" customHeight="1">
      <c r="A954" s="68"/>
      <c r="B954" s="68">
        <v>968.0</v>
      </c>
      <c r="C954" s="68"/>
      <c r="D954" s="69" t="str">
        <f>CONCATENATE(PROPER('BIÑAN INFO'!$G954),", ",PROPER('BIÑAN INFO'!$E954)," ",PROPER('BIÑAN INFO'!$F954),"."," (",UPPER('BIÑAN INFO'!$H954),")")</f>
        <v>,  . ()</v>
      </c>
      <c r="E954" s="70"/>
      <c r="F954" s="70"/>
      <c r="G954" s="70"/>
      <c r="H954" s="70"/>
      <c r="I954" s="71">
        <v>0.12</v>
      </c>
      <c r="J954" s="72">
        <v>1000.0</v>
      </c>
      <c r="K954" s="73"/>
      <c r="L954" s="73"/>
      <c r="M954" s="73"/>
      <c r="N954" s="74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30.0" customHeight="1">
      <c r="A955" s="68"/>
      <c r="B955" s="68">
        <v>969.0</v>
      </c>
      <c r="C955" s="68"/>
      <c r="D955" s="69" t="str">
        <f>CONCATENATE(PROPER('BIÑAN INFO'!$G955),", ",PROPER('BIÑAN INFO'!$E955)," ",PROPER('BIÑAN INFO'!$F955),"."," (",UPPER('BIÑAN INFO'!$H955),")")</f>
        <v>,  . ()</v>
      </c>
      <c r="E955" s="70"/>
      <c r="F955" s="70"/>
      <c r="G955" s="70"/>
      <c r="H955" s="70"/>
      <c r="I955" s="71">
        <v>0.05</v>
      </c>
      <c r="J955" s="72">
        <v>1000.0</v>
      </c>
      <c r="K955" s="73" t="s">
        <v>50</v>
      </c>
      <c r="L955" s="73"/>
      <c r="M955" s="73"/>
      <c r="N955" s="74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30.0" customHeight="1">
      <c r="A956" s="68"/>
      <c r="B956" s="68">
        <v>970.0</v>
      </c>
      <c r="C956" s="68"/>
      <c r="D956" s="69" t="str">
        <f>CONCATENATE(PROPER('BIÑAN INFO'!$G956),", ",PROPER('BIÑAN INFO'!$E956)," ",PROPER('BIÑAN INFO'!$F956),"."," (",UPPER('BIÑAN INFO'!$H956),")")</f>
        <v>,  . ()</v>
      </c>
      <c r="E956" s="70"/>
      <c r="F956" s="70"/>
      <c r="G956" s="70"/>
      <c r="H956" s="69"/>
      <c r="I956" s="71">
        <v>0.12</v>
      </c>
      <c r="J956" s="72">
        <v>1000.0</v>
      </c>
      <c r="K956" s="73"/>
      <c r="L956" s="73"/>
      <c r="M956" s="73"/>
      <c r="N956" s="74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30.0" customHeight="1">
      <c r="A957" s="68"/>
      <c r="B957" s="68">
        <v>971.0</v>
      </c>
      <c r="C957" s="68"/>
      <c r="D957" s="69" t="str">
        <f>CONCATENATE(PROPER('BIÑAN INFO'!$G957),", ",PROPER('BIÑAN INFO'!$E957)," ",PROPER('BIÑAN INFO'!$F957),"."," (",UPPER('BIÑAN INFO'!$H957),")")</f>
        <v>,  . ()</v>
      </c>
      <c r="E957" s="70"/>
      <c r="F957" s="70"/>
      <c r="G957" s="70"/>
      <c r="H957" s="69"/>
      <c r="I957" s="71">
        <v>0.12</v>
      </c>
      <c r="J957" s="72">
        <v>1000.0</v>
      </c>
      <c r="K957" s="73"/>
      <c r="L957" s="73"/>
      <c r="M957" s="73"/>
      <c r="N957" s="74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30.0" customHeight="1">
      <c r="A958" s="68"/>
      <c r="B958" s="68">
        <v>972.0</v>
      </c>
      <c r="C958" s="68"/>
      <c r="D958" s="69" t="str">
        <f>CONCATENATE(PROPER('BIÑAN INFO'!$G958),", ",PROPER('BIÑAN INFO'!$E958)," ",PROPER('BIÑAN INFO'!$F958),"."," (",UPPER('BIÑAN INFO'!$H958),")")</f>
        <v>Bejado, Reynold . ()</v>
      </c>
      <c r="E958" s="70" t="s">
        <v>502</v>
      </c>
      <c r="F958" s="70"/>
      <c r="G958" s="70" t="s">
        <v>503</v>
      </c>
      <c r="H958" s="69"/>
      <c r="I958" s="71">
        <v>0.12</v>
      </c>
      <c r="J958" s="72">
        <v>1000.0</v>
      </c>
      <c r="K958" s="73"/>
      <c r="L958" s="73"/>
      <c r="M958" s="73"/>
      <c r="N958" s="74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30.0" customHeight="1">
      <c r="A959" s="68"/>
      <c r="B959" s="68">
        <v>973.0</v>
      </c>
      <c r="C959" s="68"/>
      <c r="D959" s="69" t="str">
        <f>CONCATENATE(PROPER('BIÑAN INFO'!$G959),", ",PROPER('BIÑAN INFO'!$E959)," ",PROPER('BIÑAN INFO'!$F959),"."," (",UPPER('BIÑAN INFO'!$H959),")")</f>
        <v>,  . ()</v>
      </c>
      <c r="E959" s="70"/>
      <c r="F959" s="70"/>
      <c r="G959" s="70"/>
      <c r="H959" s="69"/>
      <c r="I959" s="71">
        <v>0.12</v>
      </c>
      <c r="J959" s="72">
        <v>1000.0</v>
      </c>
      <c r="K959" s="73"/>
      <c r="L959" s="73"/>
      <c r="M959" s="73"/>
      <c r="N959" s="74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30.0" customHeight="1">
      <c r="A960" s="68"/>
      <c r="B960" s="68">
        <v>974.0</v>
      </c>
      <c r="C960" s="68"/>
      <c r="D960" s="69" t="str">
        <f>CONCATENATE(PROPER('BIÑAN INFO'!$G960),", ",PROPER('BIÑAN INFO'!$E960)," ",PROPER('BIÑAN INFO'!$F960),"."," (",UPPER('BIÑAN INFO'!$H960),")")</f>
        <v>,  . ()</v>
      </c>
      <c r="E960" s="70"/>
      <c r="F960" s="70"/>
      <c r="G960" s="70"/>
      <c r="H960" s="69"/>
      <c r="I960" s="71">
        <v>0.12</v>
      </c>
      <c r="J960" s="72">
        <v>1000.0</v>
      </c>
      <c r="K960" s="73"/>
      <c r="L960" s="73"/>
      <c r="M960" s="73"/>
      <c r="N960" s="74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30.0" customHeight="1">
      <c r="A961" s="68"/>
      <c r="B961" s="68">
        <v>975.0</v>
      </c>
      <c r="C961" s="68"/>
      <c r="D961" s="69" t="str">
        <f>CONCATENATE(PROPER('BIÑAN INFO'!$G961),", ",PROPER('BIÑAN INFO'!$E961)," ",PROPER('BIÑAN INFO'!$F961),"."," (",UPPER('BIÑAN INFO'!$H961),")")</f>
        <v>,  . ()</v>
      </c>
      <c r="E961" s="70"/>
      <c r="F961" s="70"/>
      <c r="G961" s="70"/>
      <c r="H961" s="69"/>
      <c r="I961" s="71">
        <v>0.12</v>
      </c>
      <c r="J961" s="72">
        <v>1000.0</v>
      </c>
      <c r="K961" s="73"/>
      <c r="L961" s="73"/>
      <c r="M961" s="73"/>
      <c r="N961" s="74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30.0" customHeight="1">
      <c r="A962" s="68"/>
      <c r="B962" s="68">
        <v>976.0</v>
      </c>
      <c r="C962" s="68"/>
      <c r="D962" s="69" t="str">
        <f>CONCATENATE(PROPER('BIÑAN INFO'!$G962),", ",PROPER('BIÑAN INFO'!$E962)," ",PROPER('BIÑAN INFO'!$F962),"."," (",UPPER('BIÑAN INFO'!$H962),")")</f>
        <v>Castro, Emelinda . ()</v>
      </c>
      <c r="E962" s="70" t="s">
        <v>504</v>
      </c>
      <c r="F962" s="70"/>
      <c r="G962" s="70" t="s">
        <v>505</v>
      </c>
      <c r="H962" s="69"/>
      <c r="I962" s="71">
        <v>0.05</v>
      </c>
      <c r="J962" s="72">
        <v>1000.0</v>
      </c>
      <c r="K962" s="73" t="s">
        <v>50</v>
      </c>
      <c r="L962" s="73"/>
      <c r="M962" s="73"/>
      <c r="N962" s="74" t="s">
        <v>506</v>
      </c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30.0" customHeight="1">
      <c r="A963" s="68"/>
      <c r="B963" s="68">
        <v>977.0</v>
      </c>
      <c r="C963" s="68"/>
      <c r="D963" s="69" t="str">
        <f>CONCATENATE(PROPER('BIÑAN INFO'!$G963),", ",PROPER('BIÑAN INFO'!$E963)," ",PROPER('BIÑAN INFO'!$F963),"."," (",UPPER('BIÑAN INFO'!$H963),")")</f>
        <v>,  . ()</v>
      </c>
      <c r="E963" s="70"/>
      <c r="F963" s="70"/>
      <c r="G963" s="70"/>
      <c r="H963" s="69"/>
      <c r="I963" s="71">
        <v>0.12</v>
      </c>
      <c r="J963" s="72">
        <v>1000.0</v>
      </c>
      <c r="K963" s="73"/>
      <c r="L963" s="73"/>
      <c r="M963" s="73"/>
      <c r="N963" s="74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30.0" customHeight="1">
      <c r="A964" s="68"/>
      <c r="B964" s="68">
        <v>978.0</v>
      </c>
      <c r="C964" s="68"/>
      <c r="D964" s="69" t="str">
        <f>CONCATENATE(PROPER('BIÑAN INFO'!$G964),", ",PROPER('BIÑAN INFO'!$E964)," ",PROPER('BIÑAN INFO'!$F964),"."," (",UPPER('BIÑAN INFO'!$H964),")")</f>
        <v>,  . ()</v>
      </c>
      <c r="E964" s="70"/>
      <c r="F964" s="70"/>
      <c r="G964" s="70"/>
      <c r="H964" s="69"/>
      <c r="I964" s="71">
        <v>0.12</v>
      </c>
      <c r="J964" s="72">
        <v>1000.0</v>
      </c>
      <c r="K964" s="73"/>
      <c r="L964" s="73"/>
      <c r="M964" s="73"/>
      <c r="N964" s="74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30.0" customHeight="1">
      <c r="A965" s="68"/>
      <c r="B965" s="68">
        <v>979.0</v>
      </c>
      <c r="C965" s="68"/>
      <c r="D965" s="69" t="str">
        <f>CONCATENATE(PROPER('BIÑAN INFO'!$G965),", ",PROPER('BIÑAN INFO'!$E965)," ",PROPER('BIÑAN INFO'!$F965),"."," (",UPPER('BIÑAN INFO'!$H965),")")</f>
        <v>,  . ()</v>
      </c>
      <c r="E965" s="70"/>
      <c r="F965" s="70"/>
      <c r="G965" s="70"/>
      <c r="H965" s="69"/>
      <c r="I965" s="71">
        <v>0.12</v>
      </c>
      <c r="J965" s="72">
        <v>1000.0</v>
      </c>
      <c r="K965" s="73"/>
      <c r="L965" s="73"/>
      <c r="M965" s="73"/>
      <c r="N965" s="74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30.0" customHeight="1">
      <c r="A966" s="68"/>
      <c r="B966" s="68">
        <v>980.0</v>
      </c>
      <c r="C966" s="68"/>
      <c r="D966" s="69" t="str">
        <f>CONCATENATE(PROPER('BIÑAN INFO'!$G966),", ",PROPER('BIÑAN INFO'!$E966)," ",PROPER('BIÑAN INFO'!$F966),"."," (",UPPER('BIÑAN INFO'!$H966),")")</f>
        <v>,  . ()</v>
      </c>
      <c r="E966" s="70"/>
      <c r="F966" s="70"/>
      <c r="G966" s="70"/>
      <c r="H966" s="69"/>
      <c r="I966" s="71">
        <v>0.12</v>
      </c>
      <c r="J966" s="72">
        <v>1000.0</v>
      </c>
      <c r="K966" s="73"/>
      <c r="L966" s="73"/>
      <c r="M966" s="73"/>
      <c r="N966" s="74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30.0" customHeight="1">
      <c r="A967" s="68"/>
      <c r="B967" s="68">
        <v>981.0</v>
      </c>
      <c r="C967" s="68"/>
      <c r="D967" s="69" t="str">
        <f>CONCATENATE(PROPER('BIÑAN INFO'!$G967),", ",PROPER('BIÑAN INFO'!$E967)," ",PROPER('BIÑAN INFO'!$F967),"."," (",UPPER('BIÑAN INFO'!$H967),")")</f>
        <v>,  . ()</v>
      </c>
      <c r="E967" s="70"/>
      <c r="F967" s="70"/>
      <c r="G967" s="70"/>
      <c r="H967" s="69"/>
      <c r="I967" s="71">
        <v>0.12</v>
      </c>
      <c r="J967" s="72">
        <v>1000.0</v>
      </c>
      <c r="K967" s="73"/>
      <c r="L967" s="73"/>
      <c r="M967" s="73"/>
      <c r="N967" s="74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30.0" customHeight="1">
      <c r="A968" s="68"/>
      <c r="B968" s="68">
        <v>982.0</v>
      </c>
      <c r="C968" s="68"/>
      <c r="D968" s="69" t="str">
        <f>CONCATENATE(PROPER('BIÑAN INFO'!$G968),", ",PROPER('BIÑAN INFO'!$E968)," ",PROPER('BIÑAN INFO'!$F968),"."," (",UPPER('BIÑAN INFO'!$H968),")")</f>
        <v>Concepcion, Manuel . ()</v>
      </c>
      <c r="E968" s="70" t="s">
        <v>507</v>
      </c>
      <c r="F968" s="70"/>
      <c r="G968" s="70" t="s">
        <v>508</v>
      </c>
      <c r="H968" s="69"/>
      <c r="I968" s="71">
        <v>0.12</v>
      </c>
      <c r="J968" s="72">
        <v>1000.0</v>
      </c>
      <c r="K968" s="73"/>
      <c r="L968" s="73"/>
      <c r="M968" s="73"/>
      <c r="N968" s="74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30.0" customHeight="1">
      <c r="A969" s="68"/>
      <c r="B969" s="68">
        <v>983.0</v>
      </c>
      <c r="C969" s="68"/>
      <c r="D969" s="69" t="str">
        <f>CONCATENATE(PROPER('BIÑAN INFO'!$G969),", ",PROPER('BIÑAN INFO'!$E969)," ",PROPER('BIÑAN INFO'!$F969),"."," (",UPPER('BIÑAN INFO'!$H969),")")</f>
        <v>,  . ()</v>
      </c>
      <c r="E969" s="70"/>
      <c r="F969" s="70"/>
      <c r="G969" s="70"/>
      <c r="H969" s="69"/>
      <c r="I969" s="71">
        <v>0.12</v>
      </c>
      <c r="J969" s="72">
        <v>1000.0</v>
      </c>
      <c r="K969" s="73"/>
      <c r="L969" s="73"/>
      <c r="M969" s="73"/>
      <c r="N969" s="74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30.0" customHeight="1">
      <c r="A970" s="68"/>
      <c r="B970" s="68">
        <v>984.0</v>
      </c>
      <c r="C970" s="68"/>
      <c r="D970" s="69" t="str">
        <f>CONCATENATE(PROPER('BIÑAN INFO'!$G970),", ",PROPER('BIÑAN INFO'!$E970)," ",PROPER('BIÑAN INFO'!$F970),"."," (",UPPER('BIÑAN INFO'!$H970),")")</f>
        <v>Lanio, Francisco . ()</v>
      </c>
      <c r="E970" s="70" t="s">
        <v>509</v>
      </c>
      <c r="F970" s="70"/>
      <c r="G970" s="70" t="s">
        <v>510</v>
      </c>
      <c r="H970" s="69"/>
      <c r="I970" s="71">
        <v>0.05</v>
      </c>
      <c r="J970" s="72">
        <v>1000.0</v>
      </c>
      <c r="K970" s="73" t="s">
        <v>50</v>
      </c>
      <c r="L970" s="73"/>
      <c r="M970" s="73"/>
      <c r="N970" s="74" t="s">
        <v>511</v>
      </c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30.0" customHeight="1">
      <c r="A971" s="68"/>
      <c r="B971" s="68">
        <v>985.0</v>
      </c>
      <c r="C971" s="68"/>
      <c r="D971" s="69" t="str">
        <f>CONCATENATE(PROPER('BIÑAN INFO'!$G971),", ",PROPER('BIÑAN INFO'!$E971)," ",PROPER('BIÑAN INFO'!$F971),"."," (",UPPER('BIÑAN INFO'!$H971),")")</f>
        <v>,  . ()</v>
      </c>
      <c r="E971" s="70"/>
      <c r="F971" s="70"/>
      <c r="G971" s="70"/>
      <c r="H971" s="69"/>
      <c r="I971" s="71">
        <v>0.12</v>
      </c>
      <c r="J971" s="72">
        <v>1000.0</v>
      </c>
      <c r="K971" s="73"/>
      <c r="L971" s="73"/>
      <c r="M971" s="73"/>
      <c r="N971" s="74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30.0" customHeight="1">
      <c r="A972" s="68"/>
      <c r="B972" s="68">
        <v>986.0</v>
      </c>
      <c r="C972" s="68"/>
      <c r="D972" s="69" t="str">
        <f>CONCATENATE(PROPER('BIÑAN INFO'!$G972),", ",PROPER('BIÑAN INFO'!$E972)," ",PROPER('BIÑAN INFO'!$F972),"."," (",UPPER('BIÑAN INFO'!$H972),")")</f>
        <v>,  . ()</v>
      </c>
      <c r="E972" s="70"/>
      <c r="F972" s="70"/>
      <c r="G972" s="70"/>
      <c r="H972" s="69"/>
      <c r="I972" s="71">
        <v>0.12</v>
      </c>
      <c r="J972" s="72">
        <v>1000.0</v>
      </c>
      <c r="K972" s="73"/>
      <c r="L972" s="73"/>
      <c r="M972" s="73"/>
      <c r="N972" s="74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30.0" customHeight="1">
      <c r="A973" s="68"/>
      <c r="B973" s="68">
        <v>987.0</v>
      </c>
      <c r="C973" s="68"/>
      <c r="D973" s="69" t="str">
        <f>CONCATENATE(PROPER('BIÑAN INFO'!$G973),", ",PROPER('BIÑAN INFO'!$E973)," ",PROPER('BIÑAN INFO'!$F973),"."," (",UPPER('BIÑAN INFO'!$H973),")")</f>
        <v>, Miguel P. ()</v>
      </c>
      <c r="E973" s="70" t="s">
        <v>512</v>
      </c>
      <c r="F973" s="70" t="s">
        <v>513</v>
      </c>
      <c r="G973" s="70"/>
      <c r="H973" s="69"/>
      <c r="I973" s="71">
        <v>0.12</v>
      </c>
      <c r="J973" s="72">
        <v>1000.0</v>
      </c>
      <c r="K973" s="73"/>
      <c r="L973" s="73"/>
      <c r="M973" s="73"/>
      <c r="N973" s="74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30.0" customHeight="1">
      <c r="A974" s="68"/>
      <c r="B974" s="68">
        <v>988.0</v>
      </c>
      <c r="C974" s="68"/>
      <c r="D974" s="69" t="str">
        <f>CONCATENATE(PROPER('BIÑAN INFO'!$G974),", ",PROPER('BIÑAN INFO'!$E974)," ",PROPER('BIÑAN INFO'!$F974),"."," (",UPPER('BIÑAN INFO'!$H974),")")</f>
        <v>,  . ()</v>
      </c>
      <c r="E974" s="70"/>
      <c r="F974" s="70"/>
      <c r="G974" s="70"/>
      <c r="H974" s="69"/>
      <c r="I974" s="71">
        <v>0.12</v>
      </c>
      <c r="J974" s="72">
        <v>1000.0</v>
      </c>
      <c r="K974" s="73"/>
      <c r="L974" s="73"/>
      <c r="M974" s="73"/>
      <c r="N974" s="74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30.0" customHeight="1">
      <c r="A975" s="68"/>
      <c r="B975" s="68">
        <v>989.0</v>
      </c>
      <c r="C975" s="68"/>
      <c r="D975" s="69" t="str">
        <f>CONCATENATE(PROPER('BIÑAN INFO'!$G975),", ",PROPER('BIÑAN INFO'!$E975)," ",PROPER('BIÑAN INFO'!$F975),"."," (",UPPER('BIÑAN INFO'!$H975),")")</f>
        <v>Medina, Ramil . ()</v>
      </c>
      <c r="E975" s="70" t="s">
        <v>514</v>
      </c>
      <c r="F975" s="70"/>
      <c r="G975" s="70" t="s">
        <v>515</v>
      </c>
      <c r="H975" s="69"/>
      <c r="I975" s="71">
        <v>0.12</v>
      </c>
      <c r="J975" s="72">
        <v>1000.0</v>
      </c>
      <c r="K975" s="73"/>
      <c r="L975" s="73"/>
      <c r="M975" s="73"/>
      <c r="N975" s="74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30.0" customHeight="1">
      <c r="A976" s="68"/>
      <c r="B976" s="68">
        <v>990.0</v>
      </c>
      <c r="C976" s="68"/>
      <c r="D976" s="69" t="str">
        <f>CONCATENATE(PROPER('BIÑAN INFO'!$G976),", ",PROPER('BIÑAN INFO'!$E976)," ",PROPER('BIÑAN INFO'!$F976),"."," (",UPPER('BIÑAN INFO'!$H976),")")</f>
        <v>,  . ()</v>
      </c>
      <c r="E976" s="70"/>
      <c r="F976" s="70"/>
      <c r="G976" s="70"/>
      <c r="H976" s="69"/>
      <c r="I976" s="71">
        <v>0.12</v>
      </c>
      <c r="J976" s="72">
        <v>1000.0</v>
      </c>
      <c r="K976" s="73"/>
      <c r="L976" s="73"/>
      <c r="M976" s="73"/>
      <c r="N976" s="74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30.0" customHeight="1">
      <c r="A977" s="68"/>
      <c r="B977" s="68">
        <v>991.0</v>
      </c>
      <c r="C977" s="68"/>
      <c r="D977" s="69" t="str">
        <f>CONCATENATE(PROPER('BIÑAN INFO'!$G977),", ",PROPER('BIÑAN INFO'!$E977)," ",PROPER('BIÑAN INFO'!$F977),"."," (",UPPER('BIÑAN INFO'!$H977),")")</f>
        <v>,  . ()</v>
      </c>
      <c r="E977" s="70"/>
      <c r="F977" s="70"/>
      <c r="G977" s="70"/>
      <c r="H977" s="69"/>
      <c r="I977" s="71">
        <v>0.12</v>
      </c>
      <c r="J977" s="72">
        <v>1000.0</v>
      </c>
      <c r="K977" s="73"/>
      <c r="L977" s="73"/>
      <c r="M977" s="73"/>
      <c r="N977" s="74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30.0" customHeight="1">
      <c r="A978" s="68"/>
      <c r="B978" s="68">
        <v>992.0</v>
      </c>
      <c r="C978" s="68"/>
      <c r="D978" s="69" t="str">
        <f>CONCATENATE(PROPER('BIÑAN INFO'!$G978),", ",PROPER('BIÑAN INFO'!$E978)," ",PROPER('BIÑAN INFO'!$F978),"."," (",UPPER('BIÑAN INFO'!$H978),")")</f>
        <v>,  . ()</v>
      </c>
      <c r="E978" s="70"/>
      <c r="F978" s="70"/>
      <c r="G978" s="70"/>
      <c r="H978" s="69"/>
      <c r="I978" s="71">
        <v>0.12</v>
      </c>
      <c r="J978" s="72">
        <v>1000.0</v>
      </c>
      <c r="K978" s="73"/>
      <c r="L978" s="73"/>
      <c r="M978" s="73"/>
      <c r="N978" s="74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30.0" customHeight="1">
      <c r="A979" s="68"/>
      <c r="B979" s="68">
        <v>993.0</v>
      </c>
      <c r="C979" s="68"/>
      <c r="D979" s="69" t="str">
        <f>CONCATENATE(PROPER('BIÑAN INFO'!$G979),", ",PROPER('BIÑAN INFO'!$E979)," ",PROPER('BIÑAN INFO'!$F979),"."," (",UPPER('BIÑAN INFO'!$H979),")")</f>
        <v>,  . ()</v>
      </c>
      <c r="E979" s="70"/>
      <c r="F979" s="70"/>
      <c r="G979" s="70"/>
      <c r="H979" s="69"/>
      <c r="I979" s="71">
        <v>0.12</v>
      </c>
      <c r="J979" s="72">
        <v>1000.0</v>
      </c>
      <c r="K979" s="73"/>
      <c r="L979" s="73"/>
      <c r="M979" s="73"/>
      <c r="N979" s="74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30.0" customHeight="1">
      <c r="A980" s="68"/>
      <c r="B980" s="68">
        <v>994.0</v>
      </c>
      <c r="C980" s="68"/>
      <c r="D980" s="69" t="str">
        <f>CONCATENATE(PROPER('BIÑAN INFO'!$G980),", ",PROPER('BIÑAN INFO'!$E980)," ",PROPER('BIÑAN INFO'!$F980),"."," (",UPPER('BIÑAN INFO'!$H980),")")</f>
        <v>,  . ()</v>
      </c>
      <c r="E980" s="70"/>
      <c r="F980" s="70"/>
      <c r="G980" s="70"/>
      <c r="H980" s="69"/>
      <c r="I980" s="71">
        <v>0.12</v>
      </c>
      <c r="J980" s="72">
        <v>1000.0</v>
      </c>
      <c r="K980" s="73"/>
      <c r="L980" s="73"/>
      <c r="M980" s="73"/>
      <c r="N980" s="74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30.0" customHeight="1">
      <c r="A981" s="68"/>
      <c r="B981" s="68">
        <v>995.0</v>
      </c>
      <c r="C981" s="68"/>
      <c r="D981" s="69" t="str">
        <f>CONCATENATE(PROPER('BIÑAN INFO'!$G981),", ",PROPER('BIÑAN INFO'!$E981)," ",PROPER('BIÑAN INFO'!$F981),"."," (",UPPER('BIÑAN INFO'!$H981),")")</f>
        <v>,  . ()</v>
      </c>
      <c r="E981" s="70"/>
      <c r="F981" s="70"/>
      <c r="G981" s="70"/>
      <c r="H981" s="69"/>
      <c r="I981" s="71">
        <v>0.12</v>
      </c>
      <c r="J981" s="72">
        <v>1000.0</v>
      </c>
      <c r="K981" s="73"/>
      <c r="L981" s="73"/>
      <c r="M981" s="73"/>
      <c r="N981" s="74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30.0" customHeight="1">
      <c r="A982" s="68"/>
      <c r="B982" s="68">
        <v>996.0</v>
      </c>
      <c r="C982" s="68"/>
      <c r="D982" s="69" t="str">
        <f>CONCATENATE(PROPER('BIÑAN INFO'!$G982),", ",PROPER('BIÑAN INFO'!$E982)," ",PROPER('BIÑAN INFO'!$F982),"."," (",UPPER('BIÑAN INFO'!$H982),")")</f>
        <v>,  . ()</v>
      </c>
      <c r="E982" s="70"/>
      <c r="F982" s="70"/>
      <c r="G982" s="70"/>
      <c r="H982" s="69"/>
      <c r="I982" s="71">
        <v>0.12</v>
      </c>
      <c r="J982" s="72">
        <v>1000.0</v>
      </c>
      <c r="K982" s="73"/>
      <c r="L982" s="73"/>
      <c r="M982" s="73"/>
      <c r="N982" s="74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30.0" customHeight="1">
      <c r="A983" s="68"/>
      <c r="B983" s="68">
        <v>997.0</v>
      </c>
      <c r="C983" s="68"/>
      <c r="D983" s="69" t="str">
        <f>CONCATENATE(PROPER('BIÑAN INFO'!$G983),", ",PROPER('BIÑAN INFO'!$E983)," ",PROPER('BIÑAN INFO'!$F983),"."," (",UPPER('BIÑAN INFO'!$H983),")")</f>
        <v>,  . ()</v>
      </c>
      <c r="E983" s="70"/>
      <c r="F983" s="70"/>
      <c r="G983" s="70"/>
      <c r="H983" s="69"/>
      <c r="I983" s="71">
        <v>0.12</v>
      </c>
      <c r="J983" s="72">
        <v>1000.0</v>
      </c>
      <c r="K983" s="73"/>
      <c r="L983" s="73"/>
      <c r="M983" s="73"/>
      <c r="N983" s="74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30.0" customHeight="1">
      <c r="A984" s="68"/>
      <c r="B984" s="68">
        <v>998.0</v>
      </c>
      <c r="C984" s="68"/>
      <c r="D984" s="69" t="str">
        <f>CONCATENATE(PROPER('BIÑAN INFO'!$G984),", ",PROPER('BIÑAN INFO'!$E984)," ",PROPER('BIÑAN INFO'!$F984),"."," (",UPPER('BIÑAN INFO'!$H984),")")</f>
        <v>,  . ()</v>
      </c>
      <c r="E984" s="70"/>
      <c r="F984" s="70"/>
      <c r="G984" s="70"/>
      <c r="H984" s="69"/>
      <c r="I984" s="71">
        <v>0.12</v>
      </c>
      <c r="J984" s="72">
        <v>1000.0</v>
      </c>
      <c r="K984" s="73"/>
      <c r="L984" s="73"/>
      <c r="M984" s="73"/>
      <c r="N984" s="74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30.0" customHeight="1">
      <c r="A985" s="68"/>
      <c r="B985" s="68">
        <v>999.0</v>
      </c>
      <c r="C985" s="68"/>
      <c r="D985" s="69" t="str">
        <f>CONCATENATE(PROPER('BIÑAN INFO'!$G985),", ",PROPER('BIÑAN INFO'!$E985)," ",PROPER('BIÑAN INFO'!$F985),"."," (",UPPER('BIÑAN INFO'!$H985),")")</f>
        <v>,  . ()</v>
      </c>
      <c r="E985" s="70"/>
      <c r="F985" s="70"/>
      <c r="G985" s="70"/>
      <c r="H985" s="69"/>
      <c r="I985" s="71">
        <v>0.12</v>
      </c>
      <c r="J985" s="72">
        <v>1000.0</v>
      </c>
      <c r="K985" s="73"/>
      <c r="L985" s="73"/>
      <c r="M985" s="73"/>
      <c r="N985" s="74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30.0" customHeight="1">
      <c r="A986" s="68"/>
      <c r="B986" s="68">
        <v>1000.0</v>
      </c>
      <c r="C986" s="68"/>
      <c r="D986" s="69" t="str">
        <f>CONCATENATE(PROPER('BIÑAN INFO'!$G986),", ",PROPER('BIÑAN INFO'!$E986)," ",PROPER('BIÑAN INFO'!$F986),"."," (",UPPER('BIÑAN INFO'!$H986),")")</f>
        <v>,  . ()</v>
      </c>
      <c r="E986" s="70"/>
      <c r="F986" s="70"/>
      <c r="G986" s="70"/>
      <c r="H986" s="69"/>
      <c r="I986" s="71">
        <v>0.12</v>
      </c>
      <c r="J986" s="72">
        <v>1000.0</v>
      </c>
      <c r="K986" s="73"/>
      <c r="L986" s="73"/>
      <c r="M986" s="73"/>
      <c r="N986" s="74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30.0" customHeight="1">
      <c r="A987" s="68"/>
      <c r="B987" s="68">
        <v>1001.0</v>
      </c>
      <c r="C987" s="68"/>
      <c r="D987" s="69" t="str">
        <f>CONCATENATE(PROPER('BIÑAN INFO'!$G987),", ",PROPER('BIÑAN INFO'!$E987)," ",PROPER('BIÑAN INFO'!$F987),"."," (",UPPER('BIÑAN INFO'!$H987),")")</f>
        <v>Rebuglo, Rafael . ()</v>
      </c>
      <c r="E987" s="70" t="s">
        <v>516</v>
      </c>
      <c r="F987" s="70"/>
      <c r="G987" s="70" t="s">
        <v>517</v>
      </c>
      <c r="H987" s="69"/>
      <c r="I987" s="71">
        <v>0.12</v>
      </c>
      <c r="J987" s="72">
        <v>1000.0</v>
      </c>
      <c r="K987" s="73"/>
      <c r="L987" s="73"/>
      <c r="M987" s="73"/>
      <c r="N987" s="74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30.0" customHeight="1">
      <c r="A988" s="68"/>
      <c r="B988" s="68">
        <v>1002.0</v>
      </c>
      <c r="C988" s="68"/>
      <c r="D988" s="69" t="str">
        <f>CONCATENATE(PROPER('BIÑAN INFO'!$G988),", ",PROPER('BIÑAN INFO'!$E988)," ",PROPER('BIÑAN INFO'!$F988),"."," (",UPPER('BIÑAN INFO'!$H988),")")</f>
        <v>,  . ()</v>
      </c>
      <c r="E988" s="70"/>
      <c r="F988" s="70"/>
      <c r="G988" s="70"/>
      <c r="H988" s="69"/>
      <c r="I988" s="71">
        <v>0.12</v>
      </c>
      <c r="J988" s="72">
        <v>1000.0</v>
      </c>
      <c r="K988" s="73"/>
      <c r="L988" s="73"/>
      <c r="M988" s="73"/>
      <c r="N988" s="74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30.0" customHeight="1">
      <c r="A989" s="68"/>
      <c r="B989" s="68">
        <v>1003.0</v>
      </c>
      <c r="C989" s="68"/>
      <c r="D989" s="69" t="str">
        <f>CONCATENATE(PROPER('BIÑAN INFO'!$G989),", ",PROPER('BIÑAN INFO'!$E989)," ",PROPER('BIÑAN INFO'!$F989),"."," (",UPPER('BIÑAN INFO'!$H989),")")</f>
        <v>Jimenez, Blessie Agunias. ()</v>
      </c>
      <c r="E989" s="70" t="s">
        <v>518</v>
      </c>
      <c r="F989" s="70" t="s">
        <v>519</v>
      </c>
      <c r="G989" s="70" t="s">
        <v>520</v>
      </c>
      <c r="H989" s="69"/>
      <c r="I989" s="71">
        <v>0.05</v>
      </c>
      <c r="J989" s="72">
        <v>1000.0</v>
      </c>
      <c r="K989" s="73" t="s">
        <v>50</v>
      </c>
      <c r="L989" s="73" t="s">
        <v>480</v>
      </c>
      <c r="M989" s="73">
        <v>2022.0</v>
      </c>
      <c r="N989" s="74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30.0" customHeight="1">
      <c r="A990" s="68"/>
      <c r="B990" s="68">
        <v>1004.0</v>
      </c>
      <c r="C990" s="68"/>
      <c r="D990" s="69" t="str">
        <f>CONCATENATE(PROPER('BIÑAN INFO'!$G990),", ",PROPER('BIÑAN INFO'!$E990)," ",PROPER('BIÑAN INFO'!$F990),"."," (",UPPER('BIÑAN INFO'!$H990),")")</f>
        <v>,  . ()</v>
      </c>
      <c r="E990" s="70"/>
      <c r="F990" s="70"/>
      <c r="G990" s="70"/>
      <c r="H990" s="69"/>
      <c r="I990" s="71">
        <v>0.12</v>
      </c>
      <c r="J990" s="72">
        <v>1000.0</v>
      </c>
      <c r="K990" s="73"/>
      <c r="L990" s="73"/>
      <c r="M990" s="73"/>
      <c r="N990" s="74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30.0" customHeight="1">
      <c r="A991" s="68"/>
      <c r="B991" s="68">
        <v>1005.0</v>
      </c>
      <c r="C991" s="68"/>
      <c r="D991" s="69" t="str">
        <f>CONCATENATE(PROPER('BIÑAN INFO'!$G991),", ",PROPER('BIÑAN INFO'!$E991)," ",PROPER('BIÑAN INFO'!$F991),"."," (",UPPER('BIÑAN INFO'!$H991),")")</f>
        <v>Moral, Maricar . ()</v>
      </c>
      <c r="E991" s="70" t="s">
        <v>521</v>
      </c>
      <c r="F991" s="70"/>
      <c r="G991" s="70" t="s">
        <v>522</v>
      </c>
      <c r="H991" s="69"/>
      <c r="I991" s="71">
        <v>0.05</v>
      </c>
      <c r="J991" s="72">
        <v>1000.0</v>
      </c>
      <c r="K991" s="73" t="s">
        <v>50</v>
      </c>
      <c r="L991" s="73"/>
      <c r="M991" s="73"/>
      <c r="N991" s="74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30.0" customHeight="1">
      <c r="A992" s="68"/>
      <c r="B992" s="68">
        <v>1006.0</v>
      </c>
      <c r="C992" s="68"/>
      <c r="D992" s="69" t="str">
        <f>CONCATENATE(PROPER('BIÑAN INFO'!$G992),", ",PROPER('BIÑAN INFO'!$E992)," ",PROPER('BIÑAN INFO'!$F992),"."," (",UPPER('BIÑAN INFO'!$H992),")")</f>
        <v>,  . ()</v>
      </c>
      <c r="E992" s="70"/>
      <c r="F992" s="70"/>
      <c r="G992" s="70"/>
      <c r="H992" s="69"/>
      <c r="I992" s="71">
        <v>0.12</v>
      </c>
      <c r="J992" s="72">
        <v>1000.0</v>
      </c>
      <c r="K992" s="73"/>
      <c r="L992" s="73"/>
      <c r="M992" s="73"/>
      <c r="N992" s="74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30.0" customHeight="1">
      <c r="A993" s="68"/>
      <c r="B993" s="68">
        <v>1007.0</v>
      </c>
      <c r="C993" s="68"/>
      <c r="D993" s="69" t="str">
        <f>CONCATENATE(PROPER('BIÑAN INFO'!$G993),", ",PROPER('BIÑAN INFO'!$E993)," ",PROPER('BIÑAN INFO'!$F993),"."," (",UPPER('BIÑAN INFO'!$H993),")")</f>
        <v>,  . ()</v>
      </c>
      <c r="E993" s="70"/>
      <c r="F993" s="70"/>
      <c r="G993" s="70"/>
      <c r="H993" s="69"/>
      <c r="I993" s="71">
        <v>0.12</v>
      </c>
      <c r="J993" s="72">
        <v>1000.0</v>
      </c>
      <c r="K993" s="73"/>
      <c r="L993" s="73"/>
      <c r="M993" s="73"/>
      <c r="N993" s="74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30.0" customHeight="1">
      <c r="A994" s="68"/>
      <c r="B994" s="68">
        <v>1008.0</v>
      </c>
      <c r="C994" s="68"/>
      <c r="D994" s="69" t="str">
        <f>CONCATENATE(PROPER('BIÑAN INFO'!$G994),", ",PROPER('BIÑAN INFO'!$E994)," ",PROPER('BIÑAN INFO'!$F994),"."," (",UPPER('BIÑAN INFO'!$H994),")")</f>
        <v>,  . ()</v>
      </c>
      <c r="E994" s="70"/>
      <c r="F994" s="70"/>
      <c r="G994" s="70"/>
      <c r="H994" s="69"/>
      <c r="I994" s="71">
        <v>0.12</v>
      </c>
      <c r="J994" s="72">
        <v>1000.0</v>
      </c>
      <c r="K994" s="73"/>
      <c r="L994" s="73"/>
      <c r="M994" s="73"/>
      <c r="N994" s="74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30.0" customHeight="1">
      <c r="A995" s="68"/>
      <c r="B995" s="68">
        <v>1009.0</v>
      </c>
      <c r="C995" s="68"/>
      <c r="D995" s="69" t="str">
        <f>CONCATENATE(PROPER('BIÑAN INFO'!$G995),", ",PROPER('BIÑAN INFO'!$E995)," ",PROPER('BIÑAN INFO'!$F995),"."," (",UPPER('BIÑAN INFO'!$H995),")")</f>
        <v>Luyon, Edil . ()</v>
      </c>
      <c r="E995" s="70" t="s">
        <v>523</v>
      </c>
      <c r="F995" s="70"/>
      <c r="G995" s="70" t="s">
        <v>524</v>
      </c>
      <c r="H995" s="69"/>
      <c r="I995" s="71">
        <v>0.12</v>
      </c>
      <c r="J995" s="72">
        <v>1000.0</v>
      </c>
      <c r="K995" s="73"/>
      <c r="L995" s="73"/>
      <c r="M995" s="73"/>
      <c r="N995" s="74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30.0" customHeight="1">
      <c r="A996" s="68"/>
      <c r="B996" s="68">
        <v>1010.0</v>
      </c>
      <c r="C996" s="68"/>
      <c r="D996" s="69" t="str">
        <f>CONCATENATE(PROPER('BIÑAN INFO'!$G996),", ",PROPER('BIÑAN INFO'!$E996)," ",PROPER('BIÑAN INFO'!$F996),"."," (",UPPER('BIÑAN INFO'!$H996),")")</f>
        <v>,  . ()</v>
      </c>
      <c r="E996" s="70"/>
      <c r="F996" s="70"/>
      <c r="G996" s="70"/>
      <c r="H996" s="69"/>
      <c r="I996" s="71">
        <v>0.12</v>
      </c>
      <c r="J996" s="72">
        <v>1000.0</v>
      </c>
      <c r="K996" s="73"/>
      <c r="L996" s="73"/>
      <c r="M996" s="73"/>
      <c r="N996" s="74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30.0" customHeight="1">
      <c r="A997" s="68"/>
      <c r="B997" s="68">
        <v>1011.0</v>
      </c>
      <c r="C997" s="68"/>
      <c r="D997" s="69" t="str">
        <f>CONCATENATE(PROPER('BIÑAN INFO'!$G997),", ",PROPER('BIÑAN INFO'!$E997)," ",PROPER('BIÑAN INFO'!$F997),"."," (",UPPER('BIÑAN INFO'!$H997),")")</f>
        <v>,  . ()</v>
      </c>
      <c r="E997" s="70"/>
      <c r="F997" s="70"/>
      <c r="G997" s="70"/>
      <c r="H997" s="69"/>
      <c r="I997" s="71">
        <v>0.12</v>
      </c>
      <c r="J997" s="72">
        <v>1000.0</v>
      </c>
      <c r="K997" s="73"/>
      <c r="L997" s="73"/>
      <c r="M997" s="73"/>
      <c r="N997" s="74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30.0" customHeight="1">
      <c r="A998" s="68"/>
      <c r="B998" s="68">
        <v>1012.0</v>
      </c>
      <c r="C998" s="68"/>
      <c r="D998" s="69" t="str">
        <f>CONCATENATE(PROPER('BIÑAN INFO'!$G998),", ",PROPER('BIÑAN INFO'!$E998)," ",PROPER('BIÑAN INFO'!$F998),"."," (",UPPER('BIÑAN INFO'!$H998),")")</f>
        <v>,  . ()</v>
      </c>
      <c r="E998" s="70"/>
      <c r="F998" s="70"/>
      <c r="G998" s="70"/>
      <c r="H998" s="69"/>
      <c r="I998" s="71">
        <v>0.12</v>
      </c>
      <c r="J998" s="72">
        <v>1000.0</v>
      </c>
      <c r="K998" s="73"/>
      <c r="L998" s="73"/>
      <c r="M998" s="73"/>
      <c r="N998" s="74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30.0" customHeight="1">
      <c r="A999" s="68"/>
      <c r="B999" s="68">
        <v>1013.0</v>
      </c>
      <c r="C999" s="68"/>
      <c r="D999" s="69" t="str">
        <f>CONCATENATE(PROPER('BIÑAN INFO'!$G999),", ",PROPER('BIÑAN INFO'!$E999)," ",PROPER('BIÑAN INFO'!$F999),"."," (",UPPER('BIÑAN INFO'!$H999),")")</f>
        <v>Dela Rosa, Corazon . ()</v>
      </c>
      <c r="E999" s="70" t="s">
        <v>525</v>
      </c>
      <c r="F999" s="70"/>
      <c r="G999" s="69" t="s">
        <v>526</v>
      </c>
      <c r="H999" s="69"/>
      <c r="I999" s="71">
        <v>0.05</v>
      </c>
      <c r="J999" s="72">
        <v>1000.0</v>
      </c>
      <c r="K999" s="73"/>
      <c r="L999" s="73"/>
      <c r="M999" s="73"/>
      <c r="N999" s="74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30.0" customHeight="1">
      <c r="A1000" s="68"/>
      <c r="B1000" s="68">
        <v>1014.0</v>
      </c>
      <c r="C1000" s="68"/>
      <c r="D1000" s="69" t="str">
        <f>CONCATENATE(PROPER('BIÑAN INFO'!$G1000),", ",PROPER('BIÑAN INFO'!$E1000)," ",PROPER('BIÑAN INFO'!$F1000),"."," (",UPPER('BIÑAN INFO'!$H1000),")")</f>
        <v>,  . ()</v>
      </c>
      <c r="E1000" s="70"/>
      <c r="F1000" s="70"/>
      <c r="G1000" s="69"/>
      <c r="H1000" s="69"/>
      <c r="I1000" s="71">
        <v>0.12</v>
      </c>
      <c r="J1000" s="72">
        <v>1000.0</v>
      </c>
      <c r="K1000" s="73"/>
      <c r="L1000" s="73"/>
      <c r="M1000" s="73"/>
      <c r="N1000" s="74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  <row r="1001" ht="30.0" customHeight="1">
      <c r="A1001" s="68"/>
      <c r="B1001" s="68">
        <v>1015.0</v>
      </c>
      <c r="C1001" s="68"/>
      <c r="D1001" s="69" t="str">
        <f>CONCATENATE(PROPER('BIÑAN INFO'!$G1001),", ",PROPER('BIÑAN INFO'!$E1001)," ",PROPER('BIÑAN INFO'!$F1001),"."," (",UPPER('BIÑAN INFO'!$H1001),")")</f>
        <v>,  . ()</v>
      </c>
      <c r="E1001" s="70"/>
      <c r="F1001" s="70"/>
      <c r="G1001" s="69"/>
      <c r="H1001" s="69"/>
      <c r="I1001" s="71">
        <v>0.12</v>
      </c>
      <c r="J1001" s="72">
        <v>1000.0</v>
      </c>
      <c r="K1001" s="73"/>
      <c r="L1001" s="73"/>
      <c r="M1001" s="73"/>
      <c r="N1001" s="74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</row>
    <row r="1002" ht="30.0" customHeight="1">
      <c r="A1002" s="68"/>
      <c r="B1002" s="68">
        <v>1016.0</v>
      </c>
      <c r="C1002" s="68"/>
      <c r="D1002" s="69" t="str">
        <f>CONCATENATE(PROPER('BIÑAN INFO'!$G1002),", ",PROPER('BIÑAN INFO'!$E1002)," ",PROPER('BIÑAN INFO'!$F1002),"."," (",UPPER('BIÑAN INFO'!$H1002),")")</f>
        <v>,  . ()</v>
      </c>
      <c r="E1002" s="70"/>
      <c r="F1002" s="70"/>
      <c r="G1002" s="69"/>
      <c r="H1002" s="69"/>
      <c r="I1002" s="71">
        <v>0.12</v>
      </c>
      <c r="J1002" s="72">
        <v>1000.0</v>
      </c>
      <c r="K1002" s="73"/>
      <c r="L1002" s="73"/>
      <c r="M1002" s="73"/>
      <c r="N1002" s="74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</row>
    <row r="1003" ht="30.0" customHeight="1">
      <c r="A1003" s="68"/>
      <c r="B1003" s="68">
        <v>1017.0</v>
      </c>
      <c r="C1003" s="68"/>
      <c r="D1003" s="69" t="str">
        <f>CONCATENATE(PROPER('BIÑAN INFO'!$G1003),", ",PROPER('BIÑAN INFO'!$E1003)," ",PROPER('BIÑAN INFO'!$F1003),"."," (",UPPER('BIÑAN INFO'!$H1003),")")</f>
        <v>,  . ()</v>
      </c>
      <c r="E1003" s="70"/>
      <c r="F1003" s="70"/>
      <c r="G1003" s="69"/>
      <c r="H1003" s="69"/>
      <c r="I1003" s="71">
        <v>0.12</v>
      </c>
      <c r="J1003" s="72">
        <v>1000.0</v>
      </c>
      <c r="K1003" s="73"/>
      <c r="L1003" s="73"/>
      <c r="M1003" s="73"/>
      <c r="N1003" s="74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</row>
    <row r="1004" ht="30.0" customHeight="1">
      <c r="A1004" s="68"/>
      <c r="B1004" s="68">
        <v>1018.0</v>
      </c>
      <c r="C1004" s="68"/>
      <c r="D1004" s="69" t="str">
        <f>CONCATENATE(PROPER('BIÑAN INFO'!$G1004),", ",PROPER('BIÑAN INFO'!$E1004)," ",PROPER('BIÑAN INFO'!$F1004),"."," (",UPPER('BIÑAN INFO'!$H1004),")")</f>
        <v>,  . ()</v>
      </c>
      <c r="E1004" s="70"/>
      <c r="F1004" s="70"/>
      <c r="G1004" s="69"/>
      <c r="H1004" s="69"/>
      <c r="I1004" s="71">
        <v>0.12</v>
      </c>
      <c r="J1004" s="72">
        <v>1000.0</v>
      </c>
      <c r="K1004" s="73"/>
      <c r="L1004" s="73"/>
      <c r="M1004" s="73"/>
      <c r="N1004" s="74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</row>
    <row r="1005" ht="30.0" customHeight="1">
      <c r="A1005" s="68"/>
      <c r="B1005" s="68">
        <v>1019.0</v>
      </c>
      <c r="C1005" s="68"/>
      <c r="D1005" s="69" t="str">
        <f>CONCATENATE(PROPER('BIÑAN INFO'!$G1005),", ",PROPER('BIÑAN INFO'!$E1005)," ",PROPER('BIÑAN INFO'!$F1005),"."," (",UPPER('BIÑAN INFO'!$H1005),")")</f>
        <v>,  . ()</v>
      </c>
      <c r="E1005" s="70"/>
      <c r="F1005" s="70"/>
      <c r="G1005" s="70"/>
      <c r="H1005" s="69"/>
      <c r="I1005" s="71">
        <v>0.12</v>
      </c>
      <c r="J1005" s="72">
        <v>1000.0</v>
      </c>
      <c r="K1005" s="73"/>
      <c r="L1005" s="73"/>
      <c r="M1005" s="73"/>
      <c r="N1005" s="74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</row>
    <row r="1006" ht="30.0" customHeight="1">
      <c r="A1006" s="68"/>
      <c r="B1006" s="68">
        <v>1020.0</v>
      </c>
      <c r="C1006" s="68"/>
      <c r="D1006" s="69" t="str">
        <f>CONCATENATE(PROPER('BIÑAN INFO'!$G1006),", ",PROPER('BIÑAN INFO'!$E1006)," ",PROPER('BIÑAN INFO'!$F1006),"."," (",UPPER('BIÑAN INFO'!$H1006),")")</f>
        <v>,  . ()</v>
      </c>
      <c r="E1006" s="70"/>
      <c r="F1006" s="70"/>
      <c r="G1006" s="70"/>
      <c r="H1006" s="69"/>
      <c r="I1006" s="71">
        <v>0.12</v>
      </c>
      <c r="J1006" s="72">
        <v>1000.0</v>
      </c>
      <c r="K1006" s="73"/>
      <c r="L1006" s="73"/>
      <c r="M1006" s="73"/>
      <c r="N1006" s="74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</row>
    <row r="1007" ht="30.0" customHeight="1">
      <c r="A1007" s="68"/>
      <c r="B1007" s="68">
        <v>1021.0</v>
      </c>
      <c r="C1007" s="68"/>
      <c r="D1007" s="69" t="str">
        <f>CONCATENATE(PROPER('BIÑAN INFO'!$G1007),", ",PROPER('BIÑAN INFO'!$E1007)," ",PROPER('BIÑAN INFO'!$F1007),"."," (",UPPER('BIÑAN INFO'!$H1007),")")</f>
        <v>,  . ()</v>
      </c>
      <c r="E1007" s="70"/>
      <c r="F1007" s="70"/>
      <c r="G1007" s="70"/>
      <c r="H1007" s="69"/>
      <c r="I1007" s="71">
        <v>0.12</v>
      </c>
      <c r="J1007" s="72">
        <v>1000.0</v>
      </c>
      <c r="K1007" s="73"/>
      <c r="L1007" s="73"/>
      <c r="M1007" s="73"/>
      <c r="N1007" s="74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</row>
    <row r="1008" ht="30.0" customHeight="1">
      <c r="A1008" s="68"/>
      <c r="B1008" s="68">
        <v>1022.0</v>
      </c>
      <c r="C1008" s="68"/>
      <c r="D1008" s="69" t="str">
        <f>CONCATENATE(PROPER('BIÑAN INFO'!$G1008),", ",PROPER('BIÑAN INFO'!$E1008)," ",PROPER('BIÑAN INFO'!$F1008),"."," (",UPPER('BIÑAN INFO'!$H1008),")")</f>
        <v>,  . ()</v>
      </c>
      <c r="E1008" s="70"/>
      <c r="F1008" s="70"/>
      <c r="G1008" s="70"/>
      <c r="H1008" s="69"/>
      <c r="I1008" s="71">
        <v>0.12</v>
      </c>
      <c r="J1008" s="72">
        <v>1000.0</v>
      </c>
      <c r="K1008" s="73"/>
      <c r="L1008" s="73"/>
      <c r="M1008" s="73"/>
      <c r="N1008" s="74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</row>
    <row r="1009" ht="30.0" customHeight="1">
      <c r="A1009" s="68"/>
      <c r="B1009" s="68">
        <v>1023.0</v>
      </c>
      <c r="C1009" s="68"/>
      <c r="D1009" s="69" t="str">
        <f>CONCATENATE(PROPER('BIÑAN INFO'!$G1009),", ",PROPER('BIÑAN INFO'!$E1009)," ",PROPER('BIÑAN INFO'!$F1009),"."," (",UPPER('BIÑAN INFO'!$H1009),")")</f>
        <v>,  . ()</v>
      </c>
      <c r="E1009" s="70"/>
      <c r="F1009" s="70"/>
      <c r="G1009" s="70"/>
      <c r="H1009" s="69"/>
      <c r="I1009" s="71">
        <v>0.12</v>
      </c>
      <c r="J1009" s="72">
        <v>1000.0</v>
      </c>
      <c r="K1009" s="73"/>
      <c r="L1009" s="73"/>
      <c r="M1009" s="73"/>
      <c r="N1009" s="74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</row>
    <row r="1010" ht="30.0" customHeight="1">
      <c r="A1010" s="68"/>
      <c r="B1010" s="68">
        <v>1024.0</v>
      </c>
      <c r="C1010" s="68"/>
      <c r="D1010" s="69" t="str">
        <f>CONCATENATE(PROPER('BIÑAN INFO'!$G1010),", ",PROPER('BIÑAN INFO'!$E1010)," ",PROPER('BIÑAN INFO'!$F1010),"."," (",UPPER('BIÑAN INFO'!$H1010),")")</f>
        <v>,  . ()</v>
      </c>
      <c r="E1010" s="70"/>
      <c r="F1010" s="70"/>
      <c r="G1010" s="70"/>
      <c r="H1010" s="69"/>
      <c r="I1010" s="71">
        <v>0.12</v>
      </c>
      <c r="J1010" s="72">
        <v>1000.0</v>
      </c>
      <c r="K1010" s="73"/>
      <c r="L1010" s="73"/>
      <c r="M1010" s="73"/>
      <c r="N1010" s="74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</row>
    <row r="1011" ht="30.0" customHeight="1">
      <c r="A1011" s="68"/>
      <c r="B1011" s="68">
        <v>1025.0</v>
      </c>
      <c r="C1011" s="68"/>
      <c r="D1011" s="69" t="str">
        <f>CONCATENATE(PROPER('BIÑAN INFO'!$G1011),", ",PROPER('BIÑAN INFO'!$E1011)," ",PROPER('BIÑAN INFO'!$F1011),"."," (",UPPER('BIÑAN INFO'!$H1011),")")</f>
        <v>,  . ()</v>
      </c>
      <c r="E1011" s="70"/>
      <c r="F1011" s="70"/>
      <c r="G1011" s="70"/>
      <c r="H1011" s="69"/>
      <c r="I1011" s="71">
        <v>0.12</v>
      </c>
      <c r="J1011" s="72">
        <v>1000.0</v>
      </c>
      <c r="K1011" s="73"/>
      <c r="L1011" s="73"/>
      <c r="M1011" s="73"/>
      <c r="N1011" s="74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</row>
    <row r="1012" ht="30.0" customHeight="1">
      <c r="A1012" s="68"/>
      <c r="B1012" s="68">
        <v>1026.0</v>
      </c>
      <c r="C1012" s="68"/>
      <c r="D1012" s="69" t="str">
        <f>CONCATENATE(PROPER('BIÑAN INFO'!$G1012),", ",PROPER('BIÑAN INFO'!$E1012)," ",PROPER('BIÑAN INFO'!$F1012),"."," (",UPPER('BIÑAN INFO'!$H1012),")")</f>
        <v>,  . ()</v>
      </c>
      <c r="E1012" s="70"/>
      <c r="F1012" s="70"/>
      <c r="G1012" s="70"/>
      <c r="H1012" s="69"/>
      <c r="I1012" s="71">
        <v>0.12</v>
      </c>
      <c r="J1012" s="72">
        <v>1000.0</v>
      </c>
      <c r="K1012" s="73"/>
      <c r="L1012" s="73"/>
      <c r="M1012" s="73"/>
      <c r="N1012" s="74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</row>
    <row r="1013" ht="30.0" customHeight="1">
      <c r="A1013" s="68"/>
      <c r="B1013" s="68">
        <v>1027.0</v>
      </c>
      <c r="C1013" s="68"/>
      <c r="D1013" s="69" t="str">
        <f>CONCATENATE(PROPER('BIÑAN INFO'!$G1013),", ",PROPER('BIÑAN INFO'!$E1013)," ",PROPER('BIÑAN INFO'!$F1013),"."," (",UPPER('BIÑAN INFO'!$H1013),")")</f>
        <v>,  . ()</v>
      </c>
      <c r="E1013" s="70"/>
      <c r="F1013" s="70"/>
      <c r="G1013" s="70"/>
      <c r="H1013" s="69"/>
      <c r="I1013" s="71">
        <v>0.12</v>
      </c>
      <c r="J1013" s="72">
        <v>1000.0</v>
      </c>
      <c r="K1013" s="73"/>
      <c r="L1013" s="73"/>
      <c r="M1013" s="73"/>
      <c r="N1013" s="74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</row>
    <row r="1014" ht="30.0" customHeight="1">
      <c r="A1014" s="68"/>
      <c r="B1014" s="68">
        <v>1028.0</v>
      </c>
      <c r="C1014" s="68"/>
      <c r="D1014" s="69" t="str">
        <f>CONCATENATE(PROPER('BIÑAN INFO'!$G1014),", ",PROPER('BIÑAN INFO'!$E1014)," ",PROPER('BIÑAN INFO'!$F1014),"."," (",UPPER('BIÑAN INFO'!$H1014),")")</f>
        <v>,  . ()</v>
      </c>
      <c r="E1014" s="70"/>
      <c r="F1014" s="70"/>
      <c r="G1014" s="70"/>
      <c r="H1014" s="69"/>
      <c r="I1014" s="71">
        <v>0.12</v>
      </c>
      <c r="J1014" s="72">
        <v>1000.0</v>
      </c>
      <c r="K1014" s="73"/>
      <c r="L1014" s="73"/>
      <c r="M1014" s="73"/>
      <c r="N1014" s="74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</row>
    <row r="1015" ht="30.0" customHeight="1">
      <c r="A1015" s="68"/>
      <c r="B1015" s="68">
        <v>1029.0</v>
      </c>
      <c r="C1015" s="68"/>
      <c r="D1015" s="69" t="str">
        <f>CONCATENATE(PROPER('BIÑAN INFO'!$G1015),", ",PROPER('BIÑAN INFO'!$E1015)," ",PROPER('BIÑAN INFO'!$F1015),"."," (",UPPER('BIÑAN INFO'!$H1015),")")</f>
        <v>,  . ()</v>
      </c>
      <c r="E1015" s="70"/>
      <c r="F1015" s="70"/>
      <c r="G1015" s="70"/>
      <c r="H1015" s="69"/>
      <c r="I1015" s="71">
        <v>0.12</v>
      </c>
      <c r="J1015" s="72">
        <v>1000.0</v>
      </c>
      <c r="K1015" s="73"/>
      <c r="L1015" s="73"/>
      <c r="M1015" s="73"/>
      <c r="N1015" s="74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</row>
    <row r="1016" ht="30.0" customHeight="1">
      <c r="A1016" s="68"/>
      <c r="B1016" s="68">
        <v>1030.0</v>
      </c>
      <c r="C1016" s="68"/>
      <c r="D1016" s="69" t="str">
        <f>CONCATENATE(PROPER('BIÑAN INFO'!$G1016),", ",PROPER('BIÑAN INFO'!$E1016)," ",PROPER('BIÑAN INFO'!$F1016),"."," (",UPPER('BIÑAN INFO'!$H1016),")")</f>
        <v>,  . ()</v>
      </c>
      <c r="E1016" s="70"/>
      <c r="F1016" s="70"/>
      <c r="G1016" s="70"/>
      <c r="H1016" s="69"/>
      <c r="I1016" s="71">
        <v>0.12</v>
      </c>
      <c r="J1016" s="72">
        <v>1000.0</v>
      </c>
      <c r="K1016" s="73"/>
      <c r="L1016" s="73"/>
      <c r="M1016" s="73"/>
      <c r="N1016" s="74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</row>
    <row r="1017" ht="30.0" customHeight="1">
      <c r="A1017" s="68"/>
      <c r="B1017" s="68">
        <v>1031.0</v>
      </c>
      <c r="C1017" s="68"/>
      <c r="D1017" s="69" t="str">
        <f>CONCATENATE(PROPER('BIÑAN INFO'!$G1017),", ",PROPER('BIÑAN INFO'!$E1017)," ",PROPER('BIÑAN INFO'!$F1017),"."," (",UPPER('BIÑAN INFO'!$H1017),")")</f>
        <v>,  . ()</v>
      </c>
      <c r="E1017" s="70"/>
      <c r="F1017" s="70"/>
      <c r="G1017" s="70"/>
      <c r="H1017" s="70"/>
      <c r="I1017" s="71">
        <v>0.12</v>
      </c>
      <c r="J1017" s="72">
        <v>1000.0</v>
      </c>
      <c r="K1017" s="73"/>
      <c r="L1017" s="73"/>
      <c r="M1017" s="73"/>
      <c r="N1017" s="74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</row>
    <row r="1018" ht="30.0" customHeight="1">
      <c r="A1018" s="68"/>
      <c r="B1018" s="68">
        <v>1032.0</v>
      </c>
      <c r="C1018" s="68"/>
      <c r="D1018" s="69" t="str">
        <f>CONCATENATE(PROPER('BIÑAN INFO'!$G1018),", ",PROPER('BIÑAN INFO'!$E1018)," ",PROPER('BIÑAN INFO'!$F1018),"."," (",UPPER('BIÑAN INFO'!$H1018),")")</f>
        <v>,  . ()</v>
      </c>
      <c r="E1018" s="70"/>
      <c r="F1018" s="70"/>
      <c r="G1018" s="70"/>
      <c r="H1018" s="70"/>
      <c r="I1018" s="71">
        <v>0.12</v>
      </c>
      <c r="J1018" s="72">
        <v>1000.0</v>
      </c>
      <c r="K1018" s="73"/>
      <c r="L1018" s="73"/>
      <c r="M1018" s="73"/>
      <c r="N1018" s="74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</row>
    <row r="1019" ht="30.0" customHeight="1">
      <c r="A1019" s="68"/>
      <c r="B1019" s="68">
        <v>1033.0</v>
      </c>
      <c r="C1019" s="68"/>
      <c r="D1019" s="69" t="str">
        <f>CONCATENATE(PROPER('BIÑAN INFO'!$G1019),", ",PROPER('BIÑAN INFO'!$E1019)," ",PROPER('BIÑAN INFO'!$F1019),"."," (",UPPER('BIÑAN INFO'!$H1019),")")</f>
        <v>,  . ()</v>
      </c>
      <c r="E1019" s="70"/>
      <c r="F1019" s="70"/>
      <c r="G1019" s="70"/>
      <c r="H1019" s="70"/>
      <c r="I1019" s="71">
        <v>0.12</v>
      </c>
      <c r="J1019" s="72">
        <v>1000.0</v>
      </c>
      <c r="K1019" s="73"/>
      <c r="L1019" s="73"/>
      <c r="M1019" s="73"/>
      <c r="N1019" s="74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</row>
    <row r="1020" ht="30.0" customHeight="1">
      <c r="A1020" s="68"/>
      <c r="B1020" s="68">
        <v>1034.0</v>
      </c>
      <c r="C1020" s="68"/>
      <c r="D1020" s="69" t="str">
        <f>CONCATENATE(PROPER('BIÑAN INFO'!$G1020),", ",PROPER('BIÑAN INFO'!$E1020)," ",PROPER('BIÑAN INFO'!$F1020),"."," (",UPPER('BIÑAN INFO'!$H1020),")")</f>
        <v>,  . ()</v>
      </c>
      <c r="E1020" s="70"/>
      <c r="F1020" s="70"/>
      <c r="G1020" s="70"/>
      <c r="H1020" s="70"/>
      <c r="I1020" s="71">
        <v>0.12</v>
      </c>
      <c r="J1020" s="72">
        <v>1000.0</v>
      </c>
      <c r="K1020" s="73"/>
      <c r="L1020" s="73"/>
      <c r="M1020" s="73"/>
      <c r="N1020" s="74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</row>
    <row r="1021" ht="30.0" customHeight="1">
      <c r="A1021" s="68"/>
      <c r="B1021" s="68">
        <v>1035.0</v>
      </c>
      <c r="C1021" s="68"/>
      <c r="D1021" s="69" t="str">
        <f>CONCATENATE(PROPER('BIÑAN INFO'!$G1021),", ",PROPER('BIÑAN INFO'!$E1021)," ",PROPER('BIÑAN INFO'!$F1021),"."," (",UPPER('BIÑAN INFO'!$H1021),")")</f>
        <v>,  . ()</v>
      </c>
      <c r="E1021" s="70"/>
      <c r="F1021" s="70"/>
      <c r="G1021" s="70"/>
      <c r="H1021" s="70"/>
      <c r="I1021" s="71">
        <v>0.12</v>
      </c>
      <c r="J1021" s="72">
        <v>1000.0</v>
      </c>
      <c r="K1021" s="73"/>
      <c r="L1021" s="73"/>
      <c r="M1021" s="73"/>
      <c r="N1021" s="74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</row>
    <row r="1022" ht="30.0" customHeight="1">
      <c r="A1022" s="68"/>
      <c r="B1022" s="68">
        <v>1036.0</v>
      </c>
      <c r="C1022" s="68"/>
      <c r="D1022" s="69" t="str">
        <f>CONCATENATE(PROPER('BIÑAN INFO'!$G1022),", ",PROPER('BIÑAN INFO'!$E1022)," ",PROPER('BIÑAN INFO'!$F1022),"."," (",UPPER('BIÑAN INFO'!$H1022),")")</f>
        <v>,  . ()</v>
      </c>
      <c r="E1022" s="70"/>
      <c r="F1022" s="70"/>
      <c r="G1022" s="70"/>
      <c r="H1022" s="69"/>
      <c r="I1022" s="71">
        <v>0.12</v>
      </c>
      <c r="J1022" s="72">
        <v>1000.0</v>
      </c>
      <c r="K1022" s="73"/>
      <c r="L1022" s="73"/>
      <c r="M1022" s="73"/>
      <c r="N1022" s="74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</row>
    <row r="1023" ht="30.0" customHeight="1">
      <c r="A1023" s="68"/>
      <c r="B1023" s="68">
        <v>1037.0</v>
      </c>
      <c r="C1023" s="68"/>
      <c r="D1023" s="69" t="str">
        <f>CONCATENATE(PROPER('BIÑAN INFO'!$G1023),", ",PROPER('BIÑAN INFO'!$E1023)," ",PROPER('BIÑAN INFO'!$F1023),"."," (",UPPER('BIÑAN INFO'!$H1023),")")</f>
        <v>,  . ()</v>
      </c>
      <c r="E1023" s="70"/>
      <c r="F1023" s="70"/>
      <c r="G1023" s="70"/>
      <c r="H1023" s="69"/>
      <c r="I1023" s="71">
        <v>0.12</v>
      </c>
      <c r="J1023" s="72">
        <v>1000.0</v>
      </c>
      <c r="K1023" s="73"/>
      <c r="L1023" s="73"/>
      <c r="M1023" s="73"/>
      <c r="N1023" s="74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</row>
    <row r="1024" ht="30.0" customHeight="1">
      <c r="A1024" s="68"/>
      <c r="B1024" s="68">
        <v>1038.0</v>
      </c>
      <c r="C1024" s="68"/>
      <c r="D1024" s="69" t="str">
        <f>CONCATENATE(PROPER('BIÑAN INFO'!$G1024),", ",PROPER('BIÑAN INFO'!$E1024)," ",PROPER('BIÑAN INFO'!$F1024),"."," (",UPPER('BIÑAN INFO'!$H1024),")")</f>
        <v>,  . ()</v>
      </c>
      <c r="E1024" s="70"/>
      <c r="F1024" s="70"/>
      <c r="G1024" s="70"/>
      <c r="H1024" s="69"/>
      <c r="I1024" s="71">
        <v>0.12</v>
      </c>
      <c r="J1024" s="72">
        <v>1000.0</v>
      </c>
      <c r="K1024" s="73"/>
      <c r="L1024" s="73"/>
      <c r="M1024" s="73"/>
      <c r="N1024" s="74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</row>
    <row r="1025" ht="30.0" customHeight="1">
      <c r="A1025" s="68"/>
      <c r="B1025" s="68">
        <v>1039.0</v>
      </c>
      <c r="C1025" s="68"/>
      <c r="D1025" s="69" t="str">
        <f>CONCATENATE(PROPER('BIÑAN INFO'!$G1025),", ",PROPER('BIÑAN INFO'!$E1025)," ",PROPER('BIÑAN INFO'!$F1025),"."," (",UPPER('BIÑAN INFO'!$H1025),")")</f>
        <v>,  . ()</v>
      </c>
      <c r="E1025" s="70"/>
      <c r="F1025" s="70"/>
      <c r="G1025" s="70"/>
      <c r="H1025" s="69"/>
      <c r="I1025" s="71">
        <v>0.12</v>
      </c>
      <c r="J1025" s="72">
        <v>1000.0</v>
      </c>
      <c r="K1025" s="73"/>
      <c r="L1025" s="73"/>
      <c r="M1025" s="73"/>
      <c r="N1025" s="74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</row>
    <row r="1026" ht="30.0" customHeight="1">
      <c r="A1026" s="68"/>
      <c r="B1026" s="68">
        <v>1040.0</v>
      </c>
      <c r="C1026" s="68"/>
      <c r="D1026" s="69" t="str">
        <f>CONCATENATE(PROPER('BIÑAN INFO'!$G1026),", ",PROPER('BIÑAN INFO'!$E1026)," ",PROPER('BIÑAN INFO'!$F1026),"."," (",UPPER('BIÑAN INFO'!$H1026),")")</f>
        <v>,  . ()</v>
      </c>
      <c r="E1026" s="70"/>
      <c r="F1026" s="70"/>
      <c r="G1026" s="70"/>
      <c r="H1026" s="69"/>
      <c r="I1026" s="71">
        <v>0.12</v>
      </c>
      <c r="J1026" s="72">
        <v>1000.0</v>
      </c>
      <c r="K1026" s="73"/>
      <c r="L1026" s="73"/>
      <c r="M1026" s="73"/>
      <c r="N1026" s="74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</row>
    <row r="1027" ht="30.0" customHeight="1">
      <c r="A1027" s="68"/>
      <c r="B1027" s="68">
        <v>1041.0</v>
      </c>
      <c r="C1027" s="68"/>
      <c r="D1027" s="69" t="str">
        <f>CONCATENATE(PROPER('BIÑAN INFO'!$G1027),", ",PROPER('BIÑAN INFO'!$E1027)," ",PROPER('BIÑAN INFO'!$F1027),"."," (",UPPER('BIÑAN INFO'!$H1027),")")</f>
        <v>,  . ()</v>
      </c>
      <c r="E1027" s="70"/>
      <c r="F1027" s="70"/>
      <c r="G1027" s="70"/>
      <c r="H1027" s="69"/>
      <c r="I1027" s="71">
        <v>0.12</v>
      </c>
      <c r="J1027" s="72">
        <v>1000.0</v>
      </c>
      <c r="K1027" s="73"/>
      <c r="L1027" s="73"/>
      <c r="M1027" s="73"/>
      <c r="N1027" s="74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</row>
    <row r="1028" ht="30.0" customHeight="1">
      <c r="A1028" s="68"/>
      <c r="B1028" s="68">
        <v>1042.0</v>
      </c>
      <c r="C1028" s="68"/>
      <c r="D1028" s="69" t="str">
        <f>CONCATENATE(PROPER('BIÑAN INFO'!$G1028),", ",PROPER('BIÑAN INFO'!$E1028)," ",PROPER('BIÑAN INFO'!$F1028),"."," (",UPPER('BIÑAN INFO'!$H1028),")")</f>
        <v>,  . ()</v>
      </c>
      <c r="E1028" s="70"/>
      <c r="F1028" s="70"/>
      <c r="G1028" s="70"/>
      <c r="H1028" s="70"/>
      <c r="I1028" s="71">
        <v>0.12</v>
      </c>
      <c r="J1028" s="72">
        <v>1000.0</v>
      </c>
      <c r="K1028" s="73"/>
      <c r="L1028" s="73"/>
      <c r="M1028" s="73"/>
      <c r="N1028" s="74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</row>
    <row r="1029" ht="30.0" customHeight="1">
      <c r="A1029" s="68"/>
      <c r="B1029" s="68">
        <v>1043.0</v>
      </c>
      <c r="C1029" s="68"/>
      <c r="D1029" s="69" t="str">
        <f>CONCATENATE(PROPER('BIÑAN INFO'!$G1029),", ",PROPER('BIÑAN INFO'!$E1029)," ",PROPER('BIÑAN INFO'!$F1029),"."," (",UPPER('BIÑAN INFO'!$H1029),")")</f>
        <v>,  . ()</v>
      </c>
      <c r="E1029" s="70"/>
      <c r="F1029" s="70"/>
      <c r="G1029" s="70"/>
      <c r="H1029" s="70"/>
      <c r="I1029" s="71">
        <v>0.12</v>
      </c>
      <c r="J1029" s="72">
        <v>1000.0</v>
      </c>
      <c r="K1029" s="73"/>
      <c r="L1029" s="73"/>
      <c r="M1029" s="73"/>
      <c r="N1029" s="74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</row>
    <row r="1030" ht="30.0" customHeight="1">
      <c r="A1030" s="68"/>
      <c r="B1030" s="68">
        <v>1044.0</v>
      </c>
      <c r="C1030" s="68"/>
      <c r="D1030" s="69" t="str">
        <f>CONCATENATE(PROPER('BIÑAN INFO'!$G1030),", ",PROPER('BIÑAN INFO'!$E1030)," ",PROPER('BIÑAN INFO'!$F1030),"."," (",UPPER('BIÑAN INFO'!$H1030),")")</f>
        <v>,  . ()</v>
      </c>
      <c r="E1030" s="70"/>
      <c r="F1030" s="70"/>
      <c r="G1030" s="70"/>
      <c r="H1030" s="70"/>
      <c r="I1030" s="71">
        <v>0.12</v>
      </c>
      <c r="J1030" s="72">
        <v>1000.0</v>
      </c>
      <c r="K1030" s="73"/>
      <c r="L1030" s="73"/>
      <c r="M1030" s="73"/>
      <c r="N1030" s="74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</row>
    <row r="1031" ht="30.0" customHeight="1">
      <c r="A1031" s="68"/>
      <c r="B1031" s="68">
        <v>1045.0</v>
      </c>
      <c r="C1031" s="68"/>
      <c r="D1031" s="69" t="str">
        <f>CONCATENATE(PROPER('BIÑAN INFO'!$G1031),", ",PROPER('BIÑAN INFO'!$E1031)," ",PROPER('BIÑAN INFO'!$F1031),"."," (",UPPER('BIÑAN INFO'!$H1031),")")</f>
        <v>,  . ()</v>
      </c>
      <c r="E1031" s="70"/>
      <c r="F1031" s="70"/>
      <c r="G1031" s="70"/>
      <c r="H1031" s="69"/>
      <c r="I1031" s="71">
        <v>0.12</v>
      </c>
      <c r="J1031" s="72">
        <v>1000.0</v>
      </c>
      <c r="K1031" s="73"/>
      <c r="L1031" s="73"/>
      <c r="M1031" s="73"/>
      <c r="N1031" s="74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</row>
    <row r="1032" ht="30.0" customHeight="1">
      <c r="A1032" s="68"/>
      <c r="B1032" s="68">
        <v>1046.0</v>
      </c>
      <c r="C1032" s="68"/>
      <c r="D1032" s="69" t="str">
        <f>CONCATENATE(PROPER('BIÑAN INFO'!$G1032),", ",PROPER('BIÑAN INFO'!$E1032)," ",PROPER('BIÑAN INFO'!$F1032),"."," (",UPPER('BIÑAN INFO'!$H1032),")")</f>
        <v>,  . ()</v>
      </c>
      <c r="E1032" s="70"/>
      <c r="F1032" s="70"/>
      <c r="G1032" s="70"/>
      <c r="H1032" s="69"/>
      <c r="I1032" s="71">
        <v>0.12</v>
      </c>
      <c r="J1032" s="72">
        <v>1000.0</v>
      </c>
      <c r="K1032" s="73"/>
      <c r="L1032" s="73"/>
      <c r="M1032" s="73"/>
      <c r="N1032" s="74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</row>
    <row r="1033" ht="30.0" customHeight="1">
      <c r="A1033" s="68"/>
      <c r="B1033" s="68">
        <v>1047.0</v>
      </c>
      <c r="C1033" s="68"/>
      <c r="D1033" s="69" t="str">
        <f>CONCATENATE(PROPER('BIÑAN INFO'!$G1033),", ",PROPER('BIÑAN INFO'!$E1033)," ",PROPER('BIÑAN INFO'!$F1033),"."," (",UPPER('BIÑAN INFO'!$H1033),")")</f>
        <v>,  . ()</v>
      </c>
      <c r="E1033" s="70"/>
      <c r="F1033" s="70"/>
      <c r="G1033" s="70"/>
      <c r="H1033" s="69"/>
      <c r="I1033" s="71">
        <v>0.12</v>
      </c>
      <c r="J1033" s="72">
        <v>1000.0</v>
      </c>
      <c r="K1033" s="73"/>
      <c r="L1033" s="73"/>
      <c r="M1033" s="73"/>
      <c r="N1033" s="74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</row>
    <row r="1034" ht="30.0" customHeight="1">
      <c r="A1034" s="68"/>
      <c r="B1034" s="68">
        <v>1048.0</v>
      </c>
      <c r="C1034" s="68"/>
      <c r="D1034" s="69" t="str">
        <f>CONCATENATE(PROPER('BIÑAN INFO'!$G1034),", ",PROPER('BIÑAN INFO'!$E1034)," ",PROPER('BIÑAN INFO'!$F1034),"."," (",UPPER('BIÑAN INFO'!$H1034),")")</f>
        <v>Lumbre, Edna A. ()</v>
      </c>
      <c r="E1034" s="70" t="s">
        <v>527</v>
      </c>
      <c r="F1034" s="70" t="s">
        <v>427</v>
      </c>
      <c r="G1034" s="70" t="s">
        <v>528</v>
      </c>
      <c r="H1034" s="69"/>
      <c r="I1034" s="71">
        <v>0.05</v>
      </c>
      <c r="J1034" s="72">
        <v>1000.0</v>
      </c>
      <c r="K1034" s="73" t="s">
        <v>529</v>
      </c>
      <c r="L1034" s="73" t="s">
        <v>480</v>
      </c>
      <c r="M1034" s="73">
        <v>2022.0</v>
      </c>
      <c r="N1034" s="74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</row>
    <row r="1035" ht="30.0" customHeight="1">
      <c r="A1035" s="68"/>
      <c r="B1035" s="68">
        <v>1049.0</v>
      </c>
      <c r="C1035" s="68"/>
      <c r="D1035" s="69" t="str">
        <f>CONCATENATE(PROPER('BIÑAN INFO'!$G1035),", ",PROPER('BIÑAN INFO'!$E1035)," ",PROPER('BIÑAN INFO'!$F1035),"."," (",UPPER('BIÑAN INFO'!$H1035),")")</f>
        <v>,  . ()</v>
      </c>
      <c r="E1035" s="70"/>
      <c r="F1035" s="70"/>
      <c r="G1035" s="70"/>
      <c r="H1035" s="69"/>
      <c r="I1035" s="71">
        <v>0.12</v>
      </c>
      <c r="J1035" s="72">
        <v>1000.0</v>
      </c>
      <c r="K1035" s="73"/>
      <c r="L1035" s="73"/>
      <c r="M1035" s="73"/>
      <c r="N1035" s="74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</row>
    <row r="1036" ht="30.0" customHeight="1">
      <c r="A1036" s="68"/>
      <c r="B1036" s="68">
        <v>1050.0</v>
      </c>
      <c r="C1036" s="68"/>
      <c r="D1036" s="69" t="str">
        <f>CONCATENATE(PROPER('BIÑAN INFO'!$G1036),", ",PROPER('BIÑAN INFO'!$E1036)," ",PROPER('BIÑAN INFO'!$F1036),"."," (",UPPER('BIÑAN INFO'!$H1036),")")</f>
        <v>,  . ()</v>
      </c>
      <c r="E1036" s="70"/>
      <c r="F1036" s="70"/>
      <c r="G1036" s="69"/>
      <c r="H1036" s="69"/>
      <c r="I1036" s="71">
        <v>0.12</v>
      </c>
      <c r="J1036" s="72">
        <v>1000.0</v>
      </c>
      <c r="K1036" s="73"/>
      <c r="L1036" s="73"/>
      <c r="M1036" s="73"/>
      <c r="N1036" s="74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</row>
    <row r="1037" ht="30.0" customHeight="1">
      <c r="A1037" s="68"/>
      <c r="B1037" s="68">
        <v>1051.0</v>
      </c>
      <c r="C1037" s="68"/>
      <c r="D1037" s="69" t="str">
        <f>CONCATENATE(PROPER('BIÑAN INFO'!$G1037),", ",PROPER('BIÑAN INFO'!$E1037)," ",PROPER('BIÑAN INFO'!$F1037),"."," (",UPPER('BIÑAN INFO'!$H1037),")")</f>
        <v>,  . ()</v>
      </c>
      <c r="E1037" s="70"/>
      <c r="F1037" s="70"/>
      <c r="G1037" s="69"/>
      <c r="H1037" s="69"/>
      <c r="I1037" s="71">
        <v>0.12</v>
      </c>
      <c r="J1037" s="72">
        <v>1000.0</v>
      </c>
      <c r="K1037" s="73"/>
      <c r="L1037" s="73"/>
      <c r="M1037" s="73"/>
      <c r="N1037" s="74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</row>
    <row r="1038" ht="30.0" customHeight="1">
      <c r="A1038" s="68"/>
      <c r="B1038" s="68">
        <v>1052.0</v>
      </c>
      <c r="C1038" s="68"/>
      <c r="D1038" s="69" t="str">
        <f>CONCATENATE(PROPER('BIÑAN INFO'!$G1038),", ",PROPER('BIÑAN INFO'!$E1038)," ",PROPER('BIÑAN INFO'!$F1038),"."," (",UPPER('BIÑAN INFO'!$H1038),")")</f>
        <v>,  . ()</v>
      </c>
      <c r="E1038" s="70"/>
      <c r="F1038" s="70"/>
      <c r="G1038" s="70"/>
      <c r="H1038" s="69"/>
      <c r="I1038" s="71">
        <v>0.12</v>
      </c>
      <c r="J1038" s="72">
        <v>1000.0</v>
      </c>
      <c r="K1038" s="73"/>
      <c r="L1038" s="73"/>
      <c r="M1038" s="73"/>
      <c r="N1038" s="74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</row>
    <row r="1039" ht="30.0" customHeight="1">
      <c r="A1039" s="68"/>
      <c r="B1039" s="68">
        <v>1053.0</v>
      </c>
      <c r="C1039" s="68"/>
      <c r="D1039" s="69" t="str">
        <f>CONCATENATE(PROPER('BIÑAN INFO'!$G1039),", ",PROPER('BIÑAN INFO'!$E1039)," ",PROPER('BIÑAN INFO'!$F1039),"."," (",UPPER('BIÑAN INFO'!$H1039),")")</f>
        <v>,  . ()</v>
      </c>
      <c r="E1039" s="70"/>
      <c r="F1039" s="70"/>
      <c r="G1039" s="70"/>
      <c r="H1039" s="69"/>
      <c r="I1039" s="71">
        <v>0.12</v>
      </c>
      <c r="J1039" s="72">
        <v>1000.0</v>
      </c>
      <c r="K1039" s="73"/>
      <c r="L1039" s="73"/>
      <c r="M1039" s="73"/>
      <c r="N1039" s="74"/>
      <c r="O1039" s="59"/>
      <c r="P1039" s="59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</row>
    <row r="1040" ht="30.0" customHeight="1">
      <c r="A1040" s="68"/>
      <c r="B1040" s="68">
        <v>1054.0</v>
      </c>
      <c r="C1040" s="68"/>
      <c r="D1040" s="69" t="str">
        <f>CONCATENATE(PROPER('BIÑAN INFO'!$G1040),", ",PROPER('BIÑAN INFO'!$E1040)," ",PROPER('BIÑAN INFO'!$F1040),"."," (",UPPER('BIÑAN INFO'!$H1040),")")</f>
        <v>Olaño, Glenda . ()</v>
      </c>
      <c r="E1040" s="70" t="s">
        <v>530</v>
      </c>
      <c r="F1040" s="70"/>
      <c r="G1040" s="70" t="s">
        <v>531</v>
      </c>
      <c r="H1040" s="69"/>
      <c r="I1040" s="71">
        <v>0.05</v>
      </c>
      <c r="J1040" s="72">
        <v>1000.0</v>
      </c>
      <c r="K1040" s="73"/>
      <c r="L1040" s="73"/>
      <c r="M1040" s="73"/>
      <c r="N1040" s="74"/>
      <c r="O1040" s="59"/>
      <c r="P1040" s="59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</row>
    <row r="1041" ht="30.0" customHeight="1">
      <c r="A1041" s="68"/>
      <c r="B1041" s="68">
        <v>1055.0</v>
      </c>
      <c r="C1041" s="68"/>
      <c r="D1041" s="69" t="str">
        <f>CONCATENATE(PROPER('BIÑAN INFO'!$G1041),", ",PROPER('BIÑAN INFO'!$E1041)," ",PROPER('BIÑAN INFO'!$F1041),"."," (",UPPER('BIÑAN INFO'!$H1041),")")</f>
        <v>,  . ()</v>
      </c>
      <c r="E1041" s="70"/>
      <c r="F1041" s="70"/>
      <c r="G1041" s="70"/>
      <c r="H1041" s="69"/>
      <c r="I1041" s="71">
        <v>0.12</v>
      </c>
      <c r="J1041" s="72">
        <v>1000.0</v>
      </c>
      <c r="K1041" s="73"/>
      <c r="L1041" s="73"/>
      <c r="M1041" s="73"/>
      <c r="N1041" s="74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</row>
    <row r="1042" ht="30.0" customHeight="1">
      <c r="A1042" s="68"/>
      <c r="B1042" s="68">
        <v>1056.0</v>
      </c>
      <c r="C1042" s="68"/>
      <c r="D1042" s="69" t="str">
        <f>CONCATENATE(PROPER('BIÑAN INFO'!$G1042),", ",PROPER('BIÑAN INFO'!$E1042)," ",PROPER('BIÑAN INFO'!$F1042),"."," (",UPPER('BIÑAN INFO'!$H1042),")")</f>
        <v>,  . ()</v>
      </c>
      <c r="E1042" s="70"/>
      <c r="F1042" s="70"/>
      <c r="G1042" s="70"/>
      <c r="H1042" s="69"/>
      <c r="I1042" s="71">
        <v>0.12</v>
      </c>
      <c r="J1042" s="72">
        <v>1000.0</v>
      </c>
      <c r="K1042" s="73"/>
      <c r="L1042" s="73"/>
      <c r="M1042" s="73"/>
      <c r="N1042" s="74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</row>
    <row r="1043" ht="30.0" customHeight="1">
      <c r="A1043" s="68"/>
      <c r="B1043" s="68">
        <v>1057.0</v>
      </c>
      <c r="C1043" s="68"/>
      <c r="D1043" s="69" t="str">
        <f>CONCATENATE(PROPER('BIÑAN INFO'!$G1043),", ",PROPER('BIÑAN INFO'!$E1043)," ",PROPER('BIÑAN INFO'!$F1043),"."," (",UPPER('BIÑAN INFO'!$H1043),")")</f>
        <v>Macasero Ong, Divina . ()</v>
      </c>
      <c r="E1043" s="70" t="s">
        <v>532</v>
      </c>
      <c r="F1043" s="70"/>
      <c r="G1043" s="70" t="s">
        <v>533</v>
      </c>
      <c r="H1043" s="69"/>
      <c r="I1043" s="71">
        <v>0.12</v>
      </c>
      <c r="J1043" s="72">
        <v>1000.0</v>
      </c>
      <c r="K1043" s="73"/>
      <c r="L1043" s="73"/>
      <c r="M1043" s="73"/>
      <c r="N1043" s="74"/>
      <c r="O1043" s="59"/>
      <c r="P1043" s="59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</row>
    <row r="1044" ht="30.0" customHeight="1">
      <c r="A1044" s="68"/>
      <c r="B1044" s="68">
        <v>1058.0</v>
      </c>
      <c r="C1044" s="68"/>
      <c r="D1044" s="69" t="str">
        <f>CONCATENATE(PROPER('BIÑAN INFO'!$G1044),", ",PROPER('BIÑAN INFO'!$E1044)," ",PROPER('BIÑAN INFO'!$F1044),"."," (",UPPER('BIÑAN INFO'!$H1044),")")</f>
        <v>,  . ()</v>
      </c>
      <c r="E1044" s="70"/>
      <c r="F1044" s="70"/>
      <c r="G1044" s="70"/>
      <c r="H1044" s="69"/>
      <c r="I1044" s="71">
        <v>0.12</v>
      </c>
      <c r="J1044" s="72">
        <v>1000.0</v>
      </c>
      <c r="K1044" s="73"/>
      <c r="L1044" s="73"/>
      <c r="M1044" s="73"/>
      <c r="N1044" s="74"/>
      <c r="O1044" s="59"/>
      <c r="P1044" s="59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</row>
    <row r="1045" ht="30.0" customHeight="1">
      <c r="A1045" s="68"/>
      <c r="B1045" s="68">
        <v>1059.0</v>
      </c>
      <c r="C1045" s="68"/>
      <c r="D1045" s="69" t="str">
        <f>CONCATENATE(PROPER('BIÑAN INFO'!$G1045),", ",PROPER('BIÑAN INFO'!$E1045)," ",PROPER('BIÑAN INFO'!$F1045),"."," (",UPPER('BIÑAN INFO'!$H1045),")")</f>
        <v>Norwa, Raquel . ()</v>
      </c>
      <c r="E1045" s="70" t="s">
        <v>191</v>
      </c>
      <c r="F1045" s="70"/>
      <c r="G1045" s="70" t="s">
        <v>534</v>
      </c>
      <c r="H1045" s="69"/>
      <c r="I1045" s="71">
        <v>0.12</v>
      </c>
      <c r="J1045" s="72">
        <v>1000.0</v>
      </c>
      <c r="K1045" s="73"/>
      <c r="L1045" s="73"/>
      <c r="M1045" s="73"/>
      <c r="N1045" s="74"/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</row>
    <row r="1046" ht="30.0" customHeight="1">
      <c r="A1046" s="68"/>
      <c r="B1046" s="68">
        <v>1060.0</v>
      </c>
      <c r="C1046" s="68"/>
      <c r="D1046" s="69" t="str">
        <f>CONCATENATE(PROPER('BIÑAN INFO'!$G1046),", ",PROPER('BIÑAN INFO'!$E1046)," ",PROPER('BIÑAN INFO'!$F1046),"."," (",UPPER('BIÑAN INFO'!$H1046),")")</f>
        <v>,  . ()</v>
      </c>
      <c r="E1046" s="70"/>
      <c r="F1046" s="70"/>
      <c r="G1046" s="70"/>
      <c r="H1046" s="69"/>
      <c r="I1046" s="71">
        <v>0.12</v>
      </c>
      <c r="J1046" s="72">
        <v>1000.0</v>
      </c>
      <c r="K1046" s="73"/>
      <c r="L1046" s="73"/>
      <c r="M1046" s="73"/>
      <c r="N1046" s="74"/>
      <c r="O1046" s="59"/>
      <c r="P1046" s="59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</row>
    <row r="1047" ht="30.0" customHeight="1">
      <c r="A1047" s="68"/>
      <c r="B1047" s="68">
        <v>1061.0</v>
      </c>
      <c r="C1047" s="68"/>
      <c r="D1047" s="69" t="str">
        <f>CONCATENATE(PROPER('BIÑAN INFO'!$G1047),", ",PROPER('BIÑAN INFO'!$E1047)," ",PROPER('BIÑAN INFO'!$F1047),"."," (",UPPER('BIÑAN INFO'!$H1047),")")</f>
        <v>,  . ()</v>
      </c>
      <c r="E1047" s="70"/>
      <c r="F1047" s="70"/>
      <c r="G1047" s="70"/>
      <c r="H1047" s="69"/>
      <c r="I1047" s="71">
        <v>0.12</v>
      </c>
      <c r="J1047" s="72">
        <v>1000.0</v>
      </c>
      <c r="K1047" s="73"/>
      <c r="L1047" s="73"/>
      <c r="M1047" s="73"/>
      <c r="N1047" s="74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</row>
    <row r="1048" ht="30.0" customHeight="1">
      <c r="A1048" s="68"/>
      <c r="B1048" s="68">
        <v>1062.0</v>
      </c>
      <c r="C1048" s="68"/>
      <c r="D1048" s="69" t="str">
        <f>CONCATENATE(PROPER('BIÑAN INFO'!$G1048),", ",PROPER('BIÑAN INFO'!$E1048)," ",PROPER('BIÑAN INFO'!$F1048),"."," (",UPPER('BIÑAN INFO'!$H1048),")")</f>
        <v>,  . ()</v>
      </c>
      <c r="E1048" s="70"/>
      <c r="F1048" s="70"/>
      <c r="G1048" s="70"/>
      <c r="H1048" s="69"/>
      <c r="I1048" s="71">
        <v>0.12</v>
      </c>
      <c r="J1048" s="72">
        <v>1000.0</v>
      </c>
      <c r="K1048" s="73"/>
      <c r="L1048" s="73"/>
      <c r="M1048" s="73"/>
      <c r="N1048" s="74"/>
      <c r="O1048" s="59"/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</row>
    <row r="1049" ht="30.0" customHeight="1">
      <c r="A1049" s="68"/>
      <c r="B1049" s="68">
        <v>1063.0</v>
      </c>
      <c r="C1049" s="68"/>
      <c r="D1049" s="69" t="str">
        <f>CONCATENATE(PROPER('BIÑAN INFO'!$G1049),", ",PROPER('BIÑAN INFO'!$E1049)," ",PROPER('BIÑAN INFO'!$F1049),"."," (",UPPER('BIÑAN INFO'!$H1049),")")</f>
        <v>,  . ()</v>
      </c>
      <c r="E1049" s="70"/>
      <c r="F1049" s="70"/>
      <c r="G1049" s="70"/>
      <c r="H1049" s="69"/>
      <c r="I1049" s="71">
        <v>0.12</v>
      </c>
      <c r="J1049" s="72">
        <v>1000.0</v>
      </c>
      <c r="K1049" s="73"/>
      <c r="L1049" s="73"/>
      <c r="M1049" s="73"/>
      <c r="N1049" s="74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</row>
    <row r="1050" ht="30.0" customHeight="1">
      <c r="A1050" s="68"/>
      <c r="B1050" s="68">
        <v>1064.0</v>
      </c>
      <c r="C1050" s="68"/>
      <c r="D1050" s="69" t="str">
        <f>CONCATENATE(PROPER('BIÑAN INFO'!$G1050),", ",PROPER('BIÑAN INFO'!$E1050)," ",PROPER('BIÑAN INFO'!$F1050),"."," (",UPPER('BIÑAN INFO'!$H1050),")")</f>
        <v>,  . ()</v>
      </c>
      <c r="E1050" s="70"/>
      <c r="F1050" s="70"/>
      <c r="G1050" s="70"/>
      <c r="H1050" s="69"/>
      <c r="I1050" s="71">
        <v>0.12</v>
      </c>
      <c r="J1050" s="72">
        <v>1000.0</v>
      </c>
      <c r="K1050" s="73"/>
      <c r="L1050" s="73"/>
      <c r="M1050" s="73"/>
      <c r="N1050" s="74"/>
      <c r="O1050" s="59"/>
      <c r="P1050" s="59"/>
      <c r="Q1050" s="59"/>
      <c r="R1050" s="59"/>
      <c r="S1050" s="59"/>
      <c r="T1050" s="59"/>
      <c r="U1050" s="59"/>
      <c r="V1050" s="59"/>
      <c r="W1050" s="59"/>
      <c r="X1050" s="59"/>
      <c r="Y1050" s="59"/>
      <c r="Z1050" s="59"/>
    </row>
    <row r="1051" ht="30.0" customHeight="1">
      <c r="A1051" s="68"/>
      <c r="B1051" s="68">
        <v>1065.0</v>
      </c>
      <c r="C1051" s="68"/>
      <c r="D1051" s="69" t="str">
        <f>CONCATENATE(PROPER('BIÑAN INFO'!$G1051),", ",PROPER('BIÑAN INFO'!$E1051)," ",PROPER('BIÑAN INFO'!$F1051),"."," (",UPPER('BIÑAN INFO'!$H1051),")")</f>
        <v>,  . ()</v>
      </c>
      <c r="E1051" s="70"/>
      <c r="F1051" s="70"/>
      <c r="G1051" s="70"/>
      <c r="H1051" s="69"/>
      <c r="I1051" s="71">
        <v>0.12</v>
      </c>
      <c r="J1051" s="72">
        <v>1000.0</v>
      </c>
      <c r="K1051" s="73"/>
      <c r="L1051" s="73"/>
      <c r="M1051" s="73"/>
      <c r="N1051" s="74"/>
      <c r="O1051" s="59"/>
      <c r="P1051" s="59"/>
      <c r="Q1051" s="59"/>
      <c r="R1051" s="59"/>
      <c r="S1051" s="59"/>
      <c r="T1051" s="59"/>
      <c r="U1051" s="59"/>
      <c r="V1051" s="59"/>
      <c r="W1051" s="59"/>
      <c r="X1051" s="59"/>
      <c r="Y1051" s="59"/>
      <c r="Z1051" s="59"/>
    </row>
    <row r="1052" ht="30.0" customHeight="1">
      <c r="A1052" s="68"/>
      <c r="B1052" s="68">
        <v>1066.0</v>
      </c>
      <c r="C1052" s="68"/>
      <c r="D1052" s="69" t="str">
        <f>CONCATENATE(PROPER('BIÑAN INFO'!$G1052),", ",PROPER('BIÑAN INFO'!$E1052)," ",PROPER('BIÑAN INFO'!$F1052),"."," (",UPPER('BIÑAN INFO'!$H1052),")")</f>
        <v>,  . ()</v>
      </c>
      <c r="E1052" s="70"/>
      <c r="F1052" s="70"/>
      <c r="G1052" s="70"/>
      <c r="H1052" s="69"/>
      <c r="I1052" s="71">
        <v>0.12</v>
      </c>
      <c r="J1052" s="72">
        <v>1000.0</v>
      </c>
      <c r="K1052" s="73"/>
      <c r="L1052" s="73"/>
      <c r="M1052" s="73"/>
      <c r="N1052" s="74"/>
      <c r="O1052" s="59"/>
      <c r="P1052" s="59"/>
      <c r="Q1052" s="59"/>
      <c r="R1052" s="59"/>
      <c r="S1052" s="59"/>
      <c r="T1052" s="59"/>
      <c r="U1052" s="59"/>
      <c r="V1052" s="59"/>
      <c r="W1052" s="59"/>
      <c r="X1052" s="59"/>
      <c r="Y1052" s="59"/>
      <c r="Z1052" s="59"/>
    </row>
    <row r="1053" ht="30.0" customHeight="1">
      <c r="A1053" s="68"/>
      <c r="B1053" s="68">
        <v>1067.0</v>
      </c>
      <c r="C1053" s="68"/>
      <c r="D1053" s="69" t="str">
        <f>CONCATENATE(PROPER('BIÑAN INFO'!$G1053),", ",PROPER('BIÑAN INFO'!$E1053)," ",PROPER('BIÑAN INFO'!$F1053),"."," (",UPPER('BIÑAN INFO'!$H1053),")")</f>
        <v>,  . ()</v>
      </c>
      <c r="E1053" s="70"/>
      <c r="F1053" s="70"/>
      <c r="G1053" s="70"/>
      <c r="H1053" s="69"/>
      <c r="I1053" s="71">
        <v>0.12</v>
      </c>
      <c r="J1053" s="72">
        <v>1000.0</v>
      </c>
      <c r="K1053" s="73"/>
      <c r="L1053" s="73"/>
      <c r="M1053" s="73"/>
      <c r="N1053" s="74"/>
      <c r="O1053" s="59"/>
      <c r="P1053" s="59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</row>
    <row r="1054" ht="30.0" customHeight="1">
      <c r="A1054" s="68"/>
      <c r="B1054" s="68">
        <v>1068.0</v>
      </c>
      <c r="C1054" s="68"/>
      <c r="D1054" s="69" t="str">
        <f>CONCATENATE(PROPER('BIÑAN INFO'!$G1054),", ",PROPER('BIÑAN INFO'!$E1054)," ",PROPER('BIÑAN INFO'!$F1054),"."," (",UPPER('BIÑAN INFO'!$H1054),")")</f>
        <v>,  . ()</v>
      </c>
      <c r="E1054" s="70"/>
      <c r="F1054" s="70"/>
      <c r="G1054" s="70"/>
      <c r="H1054" s="69"/>
      <c r="I1054" s="71">
        <v>0.12</v>
      </c>
      <c r="J1054" s="72">
        <v>1000.0</v>
      </c>
      <c r="K1054" s="73"/>
      <c r="L1054" s="73"/>
      <c r="M1054" s="73"/>
      <c r="N1054" s="74"/>
      <c r="O1054" s="59"/>
      <c r="P1054" s="59"/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</row>
    <row r="1055" ht="30.0" customHeight="1">
      <c r="A1055" s="68"/>
      <c r="B1055" s="68">
        <v>1069.0</v>
      </c>
      <c r="C1055" s="68"/>
      <c r="D1055" s="69" t="str">
        <f>CONCATENATE(PROPER('BIÑAN INFO'!$G1055),", ",PROPER('BIÑAN INFO'!$E1055)," ",PROPER('BIÑAN INFO'!$F1055),"."," (",UPPER('BIÑAN INFO'!$H1055),")")</f>
        <v>Tudio, Gerame . ()</v>
      </c>
      <c r="E1055" s="70" t="s">
        <v>535</v>
      </c>
      <c r="F1055" s="70"/>
      <c r="G1055" s="70" t="s">
        <v>536</v>
      </c>
      <c r="H1055" s="69"/>
      <c r="I1055" s="71">
        <v>0.05</v>
      </c>
      <c r="J1055" s="72">
        <v>1000.0</v>
      </c>
      <c r="K1055" s="73"/>
      <c r="L1055" s="73"/>
      <c r="M1055" s="73"/>
      <c r="N1055" s="74" t="s">
        <v>537</v>
      </c>
      <c r="O1055" s="59"/>
      <c r="P1055" s="59"/>
      <c r="Q1055" s="59"/>
      <c r="R1055" s="59"/>
      <c r="S1055" s="59"/>
      <c r="T1055" s="59"/>
      <c r="U1055" s="59"/>
      <c r="V1055" s="59"/>
      <c r="W1055" s="59"/>
      <c r="X1055" s="59"/>
      <c r="Y1055" s="59"/>
      <c r="Z1055" s="59"/>
    </row>
    <row r="1056" ht="30.0" customHeight="1">
      <c r="A1056" s="68"/>
      <c r="B1056" s="68">
        <v>1070.0</v>
      </c>
      <c r="C1056" s="68"/>
      <c r="D1056" s="69" t="str">
        <f>CONCATENATE(PROPER('BIÑAN INFO'!$G1056),", ",PROPER('BIÑAN INFO'!$E1056)," ",PROPER('BIÑAN INFO'!$F1056),"."," (",UPPER('BIÑAN INFO'!$H1056),")")</f>
        <v>Julao, Marilou . ()</v>
      </c>
      <c r="E1056" s="70" t="s">
        <v>538</v>
      </c>
      <c r="F1056" s="70"/>
      <c r="G1056" s="70" t="s">
        <v>539</v>
      </c>
      <c r="H1056" s="69"/>
      <c r="I1056" s="71">
        <v>0.05</v>
      </c>
      <c r="J1056" s="72">
        <v>1000.0</v>
      </c>
      <c r="K1056" s="73" t="s">
        <v>50</v>
      </c>
      <c r="L1056" s="73"/>
      <c r="M1056" s="73"/>
      <c r="N1056" s="74"/>
      <c r="O1056" s="59"/>
      <c r="P1056" s="59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</row>
    <row r="1057" ht="30.0" customHeight="1">
      <c r="A1057" s="68"/>
      <c r="B1057" s="68">
        <v>1071.0</v>
      </c>
      <c r="C1057" s="68"/>
      <c r="D1057" s="69" t="str">
        <f>CONCATENATE(PROPER('BIÑAN INFO'!$G1057),", ",PROPER('BIÑAN INFO'!$E1057)," ",PROPER('BIÑAN INFO'!$F1057),"."," (",UPPER('BIÑAN INFO'!$H1057),")")</f>
        <v>,  . ()</v>
      </c>
      <c r="E1057" s="70"/>
      <c r="F1057" s="70"/>
      <c r="G1057" s="70"/>
      <c r="H1057" s="69"/>
      <c r="I1057" s="71">
        <v>0.12</v>
      </c>
      <c r="J1057" s="72">
        <v>1000.0</v>
      </c>
      <c r="K1057" s="73"/>
      <c r="L1057" s="73"/>
      <c r="M1057" s="73"/>
      <c r="N1057" s="74"/>
      <c r="O1057" s="59"/>
      <c r="P1057" s="59"/>
      <c r="Q1057" s="59"/>
      <c r="R1057" s="59"/>
      <c r="S1057" s="59"/>
      <c r="T1057" s="59"/>
      <c r="U1057" s="59"/>
      <c r="V1057" s="59"/>
      <c r="W1057" s="59"/>
      <c r="X1057" s="59"/>
      <c r="Y1057" s="59"/>
      <c r="Z1057" s="59"/>
    </row>
    <row r="1058" ht="30.0" customHeight="1">
      <c r="A1058" s="68"/>
      <c r="B1058" s="68">
        <v>1072.0</v>
      </c>
      <c r="C1058" s="68"/>
      <c r="D1058" s="69" t="str">
        <f>CONCATENATE(PROPER('BIÑAN INFO'!$G1058),", ",PROPER('BIÑAN INFO'!$E1058)," ",PROPER('BIÑAN INFO'!$F1058),"."," (",UPPER('BIÑAN INFO'!$H1058),")")</f>
        <v>,  . ()</v>
      </c>
      <c r="E1058" s="70"/>
      <c r="F1058" s="70"/>
      <c r="G1058" s="70"/>
      <c r="H1058" s="69"/>
      <c r="I1058" s="71">
        <v>0.12</v>
      </c>
      <c r="J1058" s="72">
        <v>1000.0</v>
      </c>
      <c r="K1058" s="73"/>
      <c r="L1058" s="73"/>
      <c r="M1058" s="73"/>
      <c r="N1058" s="74"/>
      <c r="O1058" s="59"/>
      <c r="P1058" s="59"/>
      <c r="Q1058" s="59"/>
      <c r="R1058" s="59"/>
      <c r="S1058" s="59"/>
      <c r="T1058" s="59"/>
      <c r="U1058" s="59"/>
      <c r="V1058" s="59"/>
      <c r="W1058" s="59"/>
      <c r="X1058" s="59"/>
      <c r="Y1058" s="59"/>
      <c r="Z1058" s="59"/>
    </row>
    <row r="1059" ht="30.0" customHeight="1">
      <c r="A1059" s="68"/>
      <c r="B1059" s="68">
        <v>1073.0</v>
      </c>
      <c r="C1059" s="68"/>
      <c r="D1059" s="69" t="str">
        <f>CONCATENATE(PROPER('BIÑAN INFO'!$G1059),", ",PROPER('BIÑAN INFO'!$E1059)," ",PROPER('BIÑAN INFO'!$F1059),"."," (",UPPER('BIÑAN INFO'!$H1059),")")</f>
        <v>,  . ()</v>
      </c>
      <c r="E1059" s="70"/>
      <c r="F1059" s="70"/>
      <c r="G1059" s="70"/>
      <c r="H1059" s="69"/>
      <c r="I1059" s="71">
        <v>0.12</v>
      </c>
      <c r="J1059" s="72">
        <v>1000.0</v>
      </c>
      <c r="K1059" s="73"/>
      <c r="L1059" s="73"/>
      <c r="M1059" s="73"/>
      <c r="N1059" s="74"/>
      <c r="O1059" s="59"/>
      <c r="P1059" s="59"/>
      <c r="Q1059" s="59"/>
      <c r="R1059" s="59"/>
      <c r="S1059" s="59"/>
      <c r="T1059" s="59"/>
      <c r="U1059" s="59"/>
      <c r="V1059" s="59"/>
      <c r="W1059" s="59"/>
      <c r="X1059" s="59"/>
      <c r="Y1059" s="59"/>
      <c r="Z1059" s="59"/>
    </row>
    <row r="1060" ht="30.0" customHeight="1">
      <c r="A1060" s="68"/>
      <c r="B1060" s="68">
        <v>1074.0</v>
      </c>
      <c r="C1060" s="68"/>
      <c r="D1060" s="69" t="str">
        <f>CONCATENATE(PROPER('BIÑAN INFO'!$G1060),", ",PROPER('BIÑAN INFO'!$E1060)," ",PROPER('BIÑAN INFO'!$F1060),"."," (",UPPER('BIÑAN INFO'!$H1060),")")</f>
        <v>,  . ()</v>
      </c>
      <c r="E1060" s="70"/>
      <c r="F1060" s="70"/>
      <c r="G1060" s="70"/>
      <c r="H1060" s="69"/>
      <c r="I1060" s="71">
        <v>0.12</v>
      </c>
      <c r="J1060" s="72">
        <v>1000.0</v>
      </c>
      <c r="K1060" s="73"/>
      <c r="L1060" s="73"/>
      <c r="M1060" s="73"/>
      <c r="N1060" s="74"/>
      <c r="O1060" s="59"/>
      <c r="P1060" s="59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</row>
    <row r="1061" ht="30.0" customHeight="1">
      <c r="A1061" s="68"/>
      <c r="B1061" s="68">
        <v>1075.0</v>
      </c>
      <c r="C1061" s="68"/>
      <c r="D1061" s="69" t="str">
        <f>CONCATENATE(PROPER('BIÑAN INFO'!$G1061),", ",PROPER('BIÑAN INFO'!$E1061)," ",PROPER('BIÑAN INFO'!$F1061),"."," (",UPPER('BIÑAN INFO'!$H1061),")")</f>
        <v>,  . ()</v>
      </c>
      <c r="E1061" s="70"/>
      <c r="F1061" s="70"/>
      <c r="G1061" s="70"/>
      <c r="H1061" s="69"/>
      <c r="I1061" s="71">
        <v>0.12</v>
      </c>
      <c r="J1061" s="72">
        <v>1000.0</v>
      </c>
      <c r="K1061" s="73"/>
      <c r="L1061" s="73"/>
      <c r="M1061" s="73"/>
      <c r="N1061" s="74"/>
      <c r="O1061" s="59"/>
      <c r="P1061" s="59"/>
      <c r="Q1061" s="59"/>
      <c r="R1061" s="59"/>
      <c r="S1061" s="59"/>
      <c r="T1061" s="59"/>
      <c r="U1061" s="59"/>
      <c r="V1061" s="59"/>
      <c r="W1061" s="59"/>
      <c r="X1061" s="59"/>
      <c r="Y1061" s="59"/>
      <c r="Z1061" s="59"/>
    </row>
    <row r="1062" ht="30.0" customHeight="1">
      <c r="A1062" s="68"/>
      <c r="B1062" s="68">
        <v>1076.0</v>
      </c>
      <c r="C1062" s="68"/>
      <c r="D1062" s="69" t="str">
        <f>CONCATENATE(PROPER('BIÑAN INFO'!$G1062),", ",PROPER('BIÑAN INFO'!$E1062)," ",PROPER('BIÑAN INFO'!$F1062),"."," (",UPPER('BIÑAN INFO'!$H1062),")")</f>
        <v>,  . ()</v>
      </c>
      <c r="E1062" s="70"/>
      <c r="F1062" s="70"/>
      <c r="G1062" s="70"/>
      <c r="H1062" s="69"/>
      <c r="I1062" s="71">
        <v>0.12</v>
      </c>
      <c r="J1062" s="72">
        <v>1000.0</v>
      </c>
      <c r="K1062" s="73"/>
      <c r="L1062" s="73"/>
      <c r="M1062" s="73"/>
      <c r="N1062" s="74"/>
      <c r="O1062" s="59"/>
      <c r="P1062" s="59"/>
      <c r="Q1062" s="59"/>
      <c r="R1062" s="59"/>
      <c r="S1062" s="59"/>
      <c r="T1062" s="59"/>
      <c r="U1062" s="59"/>
      <c r="V1062" s="59"/>
      <c r="W1062" s="59"/>
      <c r="X1062" s="59"/>
      <c r="Y1062" s="59"/>
      <c r="Z1062" s="59"/>
    </row>
    <row r="1063" ht="30.0" customHeight="1">
      <c r="A1063" s="68"/>
      <c r="B1063" s="68">
        <v>1077.0</v>
      </c>
      <c r="C1063" s="68"/>
      <c r="D1063" s="69" t="str">
        <f>CONCATENATE(PROPER('BIÑAN INFO'!$G1063),", ",PROPER('BIÑAN INFO'!$E1063)," ",PROPER('BIÑAN INFO'!$F1063),"."," (",UPPER('BIÑAN INFO'!$H1063),")")</f>
        <v>,  . ()</v>
      </c>
      <c r="E1063" s="70"/>
      <c r="F1063" s="70"/>
      <c r="G1063" s="70"/>
      <c r="H1063" s="69"/>
      <c r="I1063" s="71">
        <v>0.12</v>
      </c>
      <c r="J1063" s="72">
        <v>1000.0</v>
      </c>
      <c r="K1063" s="73"/>
      <c r="L1063" s="73"/>
      <c r="M1063" s="73"/>
      <c r="N1063" s="74"/>
      <c r="O1063" s="59"/>
      <c r="P1063" s="59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</row>
    <row r="1064" ht="30.0" customHeight="1">
      <c r="A1064" s="68"/>
      <c r="B1064" s="68">
        <v>1078.0</v>
      </c>
      <c r="C1064" s="68"/>
      <c r="D1064" s="69" t="str">
        <f>CONCATENATE(PROPER('BIÑAN INFO'!$G1064),", ",PROPER('BIÑAN INFO'!$E1064)," ",PROPER('BIÑAN INFO'!$F1064),"."," (",UPPER('BIÑAN INFO'!$H1064),")")</f>
        <v>,  . ()</v>
      </c>
      <c r="E1064" s="70"/>
      <c r="F1064" s="70"/>
      <c r="G1064" s="70"/>
      <c r="H1064" s="69"/>
      <c r="I1064" s="71">
        <v>0.12</v>
      </c>
      <c r="J1064" s="72">
        <v>1000.0</v>
      </c>
      <c r="K1064" s="73"/>
      <c r="L1064" s="73"/>
      <c r="M1064" s="73"/>
      <c r="N1064" s="74"/>
      <c r="O1064" s="59"/>
      <c r="P1064" s="59"/>
      <c r="Q1064" s="59"/>
      <c r="R1064" s="59"/>
      <c r="S1064" s="59"/>
      <c r="T1064" s="59"/>
      <c r="U1064" s="59"/>
      <c r="V1064" s="59"/>
      <c r="W1064" s="59"/>
      <c r="X1064" s="59"/>
      <c r="Y1064" s="59"/>
      <c r="Z1064" s="59"/>
    </row>
    <row r="1065" ht="30.0" customHeight="1">
      <c r="A1065" s="68"/>
      <c r="B1065" s="68">
        <v>1079.0</v>
      </c>
      <c r="C1065" s="68"/>
      <c r="D1065" s="69" t="str">
        <f>CONCATENATE(PROPER('BIÑAN INFO'!$G1065),", ",PROPER('BIÑAN INFO'!$E1065)," ",PROPER('BIÑAN INFO'!$F1065),"."," (",UPPER('BIÑAN INFO'!$H1065),")")</f>
        <v>Oliveros, Jenny . ()</v>
      </c>
      <c r="E1065" s="70" t="s">
        <v>540</v>
      </c>
      <c r="F1065" s="70"/>
      <c r="G1065" s="70" t="s">
        <v>541</v>
      </c>
      <c r="H1065" s="69"/>
      <c r="I1065" s="71">
        <v>0.05</v>
      </c>
      <c r="J1065" s="72">
        <v>1000.0</v>
      </c>
      <c r="K1065" s="73" t="s">
        <v>50</v>
      </c>
      <c r="L1065" s="73"/>
      <c r="M1065" s="73"/>
      <c r="N1065" s="74"/>
      <c r="O1065" s="59"/>
      <c r="P1065" s="59"/>
      <c r="Q1065" s="59"/>
      <c r="R1065" s="59"/>
      <c r="S1065" s="59"/>
      <c r="T1065" s="59"/>
      <c r="U1065" s="59"/>
      <c r="V1065" s="59"/>
      <c r="W1065" s="59"/>
      <c r="X1065" s="59"/>
      <c r="Y1065" s="59"/>
      <c r="Z1065" s="59"/>
    </row>
    <row r="1066" ht="30.0" customHeight="1">
      <c r="A1066" s="68"/>
      <c r="B1066" s="68">
        <v>1080.0</v>
      </c>
      <c r="C1066" s="68"/>
      <c r="D1066" s="69" t="str">
        <f>CONCATENATE(PROPER('BIÑAN INFO'!$G1066),", ",PROPER('BIÑAN INFO'!$E1066)," ",PROPER('BIÑAN INFO'!$F1066),"."," (",UPPER('BIÑAN INFO'!$H1066),")")</f>
        <v>,  . ()</v>
      </c>
      <c r="E1066" s="70"/>
      <c r="F1066" s="70"/>
      <c r="G1066" s="70"/>
      <c r="H1066" s="69"/>
      <c r="I1066" s="71">
        <v>0.12</v>
      </c>
      <c r="J1066" s="72">
        <v>1000.0</v>
      </c>
      <c r="K1066" s="73"/>
      <c r="L1066" s="73"/>
      <c r="M1066" s="73"/>
      <c r="N1066" s="74"/>
      <c r="O1066" s="59"/>
      <c r="P1066" s="59"/>
      <c r="Q1066" s="59"/>
      <c r="R1066" s="59"/>
      <c r="S1066" s="59"/>
      <c r="T1066" s="59"/>
      <c r="U1066" s="59"/>
      <c r="V1066" s="59"/>
      <c r="W1066" s="59"/>
      <c r="X1066" s="59"/>
      <c r="Y1066" s="59"/>
      <c r="Z1066" s="59"/>
    </row>
    <row r="1067" ht="30.0" customHeight="1">
      <c r="A1067" s="68"/>
      <c r="B1067" s="68">
        <v>1081.0</v>
      </c>
      <c r="C1067" s="68"/>
      <c r="D1067" s="69" t="str">
        <f>CONCATENATE(PROPER('BIÑAN INFO'!$G1067),", ",PROPER('BIÑAN INFO'!$E1067)," ",PROPER('BIÑAN INFO'!$F1067),"."," (",UPPER('BIÑAN INFO'!$H1067),")")</f>
        <v>,  . ()</v>
      </c>
      <c r="E1067" s="70"/>
      <c r="F1067" s="70"/>
      <c r="G1067" s="70"/>
      <c r="H1067" s="69"/>
      <c r="I1067" s="71">
        <v>0.12</v>
      </c>
      <c r="J1067" s="72">
        <v>1000.0</v>
      </c>
      <c r="K1067" s="73"/>
      <c r="L1067" s="73"/>
      <c r="M1067" s="73"/>
      <c r="N1067" s="74"/>
      <c r="O1067" s="59"/>
      <c r="P1067" s="59"/>
      <c r="Q1067" s="59"/>
      <c r="R1067" s="59"/>
      <c r="S1067" s="59"/>
      <c r="T1067" s="59"/>
      <c r="U1067" s="59"/>
      <c r="V1067" s="59"/>
      <c r="W1067" s="59"/>
      <c r="X1067" s="59"/>
      <c r="Y1067" s="59"/>
      <c r="Z1067" s="59"/>
    </row>
    <row r="1068" ht="30.0" customHeight="1">
      <c r="A1068" s="68"/>
      <c r="B1068" s="68">
        <v>1082.0</v>
      </c>
      <c r="C1068" s="68"/>
      <c r="D1068" s="69" t="str">
        <f>CONCATENATE(PROPER('BIÑAN INFO'!$G1068),", ",PROPER('BIÑAN INFO'!$E1068)," ",PROPER('BIÑAN INFO'!$F1068),"."," (",UPPER('BIÑAN INFO'!$H1068),")")</f>
        <v>,  . ()</v>
      </c>
      <c r="E1068" s="70"/>
      <c r="F1068" s="70"/>
      <c r="G1068" s="70"/>
      <c r="H1068" s="69"/>
      <c r="I1068" s="71">
        <v>0.12</v>
      </c>
      <c r="J1068" s="72">
        <v>1000.0</v>
      </c>
      <c r="K1068" s="73"/>
      <c r="L1068" s="73"/>
      <c r="M1068" s="73"/>
      <c r="N1068" s="74"/>
      <c r="O1068" s="59"/>
      <c r="P1068" s="59"/>
      <c r="Q1068" s="59"/>
      <c r="R1068" s="59"/>
      <c r="S1068" s="59"/>
      <c r="T1068" s="59"/>
      <c r="U1068" s="59"/>
      <c r="V1068" s="59"/>
      <c r="W1068" s="59"/>
      <c r="X1068" s="59"/>
      <c r="Y1068" s="59"/>
      <c r="Z1068" s="59"/>
    </row>
    <row r="1069" ht="30.0" customHeight="1">
      <c r="A1069" s="68"/>
      <c r="B1069" s="68">
        <v>1083.0</v>
      </c>
      <c r="C1069" s="68"/>
      <c r="D1069" s="69" t="str">
        <f>CONCATENATE(PROPER('BIÑAN INFO'!$G1069),", ",PROPER('BIÑAN INFO'!$E1069)," ",PROPER('BIÑAN INFO'!$F1069),"."," (",UPPER('BIÑAN INFO'!$H1069),")")</f>
        <v>,  . ()</v>
      </c>
      <c r="E1069" s="70"/>
      <c r="F1069" s="70"/>
      <c r="G1069" s="70"/>
      <c r="H1069" s="69"/>
      <c r="I1069" s="71">
        <v>0.12</v>
      </c>
      <c r="J1069" s="72">
        <v>1000.0</v>
      </c>
      <c r="K1069" s="73"/>
      <c r="L1069" s="73"/>
      <c r="M1069" s="73"/>
      <c r="N1069" s="74"/>
      <c r="O1069" s="59"/>
      <c r="P1069" s="59"/>
      <c r="Q1069" s="59"/>
      <c r="R1069" s="59"/>
      <c r="S1069" s="59"/>
      <c r="T1069" s="59"/>
      <c r="U1069" s="59"/>
      <c r="V1069" s="59"/>
      <c r="W1069" s="59"/>
      <c r="X1069" s="59"/>
      <c r="Y1069" s="59"/>
      <c r="Z1069" s="59"/>
    </row>
    <row r="1070" ht="30.0" customHeight="1">
      <c r="A1070" s="68"/>
      <c r="B1070" s="68">
        <v>1084.0</v>
      </c>
      <c r="C1070" s="68"/>
      <c r="D1070" s="69" t="str">
        <f>CONCATENATE(PROPER('BIÑAN INFO'!$G1070),", ",PROPER('BIÑAN INFO'!$E1070)," ",PROPER('BIÑAN INFO'!$F1070),"."," (",UPPER('BIÑAN INFO'!$H1070),")")</f>
        <v>,  . ()</v>
      </c>
      <c r="E1070" s="70"/>
      <c r="F1070" s="70"/>
      <c r="G1070" s="70"/>
      <c r="H1070" s="69"/>
      <c r="I1070" s="71">
        <v>0.12</v>
      </c>
      <c r="J1070" s="72">
        <v>1000.0</v>
      </c>
      <c r="K1070" s="73"/>
      <c r="L1070" s="73"/>
      <c r="M1070" s="73"/>
      <c r="N1070" s="74"/>
      <c r="O1070" s="59"/>
      <c r="P1070" s="59"/>
      <c r="Q1070" s="59"/>
      <c r="R1070" s="59"/>
      <c r="S1070" s="59"/>
      <c r="T1070" s="59"/>
      <c r="U1070" s="59"/>
      <c r="V1070" s="59"/>
      <c r="W1070" s="59"/>
      <c r="X1070" s="59"/>
      <c r="Y1070" s="59"/>
      <c r="Z1070" s="59"/>
    </row>
    <row r="1071" ht="30.0" customHeight="1">
      <c r="A1071" s="68"/>
      <c r="B1071" s="68">
        <v>1085.0</v>
      </c>
      <c r="C1071" s="68"/>
      <c r="D1071" s="69" t="str">
        <f>CONCATENATE(PROPER('BIÑAN INFO'!$G1071),", ",PROPER('BIÑAN INFO'!$E1071)," ",PROPER('BIÑAN INFO'!$F1071),"."," (",UPPER('BIÑAN INFO'!$H1071),")")</f>
        <v>,  . ()</v>
      </c>
      <c r="E1071" s="70"/>
      <c r="F1071" s="70"/>
      <c r="G1071" s="70"/>
      <c r="H1071" s="70"/>
      <c r="I1071" s="71">
        <v>0.12</v>
      </c>
      <c r="J1071" s="72">
        <v>1000.0</v>
      </c>
      <c r="K1071" s="73"/>
      <c r="L1071" s="73"/>
      <c r="M1071" s="73"/>
      <c r="N1071" s="74"/>
      <c r="O1071" s="59"/>
      <c r="P1071" s="59"/>
      <c r="Q1071" s="59"/>
      <c r="R1071" s="59"/>
      <c r="S1071" s="59"/>
      <c r="T1071" s="59"/>
      <c r="U1071" s="59"/>
      <c r="V1071" s="59"/>
      <c r="W1071" s="59"/>
      <c r="X1071" s="59"/>
      <c r="Y1071" s="59"/>
      <c r="Z1071" s="59"/>
    </row>
    <row r="1072" ht="30.0" customHeight="1">
      <c r="A1072" s="68"/>
      <c r="B1072" s="68">
        <v>1086.0</v>
      </c>
      <c r="C1072" s="68"/>
      <c r="D1072" s="69" t="str">
        <f>CONCATENATE(PROPER('BIÑAN INFO'!$G1072),", ",PROPER('BIÑAN INFO'!$E1072)," ",PROPER('BIÑAN INFO'!$F1072),"."," (",UPPER('BIÑAN INFO'!$H1072),")")</f>
        <v>,  . ()</v>
      </c>
      <c r="E1072" s="70"/>
      <c r="F1072" s="70"/>
      <c r="G1072" s="70"/>
      <c r="H1072" s="69"/>
      <c r="I1072" s="71">
        <v>0.12</v>
      </c>
      <c r="J1072" s="72">
        <v>1000.0</v>
      </c>
      <c r="K1072" s="73"/>
      <c r="L1072" s="73"/>
      <c r="M1072" s="73"/>
      <c r="N1072" s="74"/>
      <c r="O1072" s="59"/>
      <c r="P1072" s="59"/>
      <c r="Q1072" s="59"/>
      <c r="R1072" s="59"/>
      <c r="S1072" s="59"/>
      <c r="T1072" s="59"/>
      <c r="U1072" s="59"/>
      <c r="V1072" s="59"/>
      <c r="W1072" s="59"/>
      <c r="X1072" s="59"/>
      <c r="Y1072" s="59"/>
      <c r="Z1072" s="59"/>
    </row>
    <row r="1073" ht="30.0" customHeight="1">
      <c r="A1073" s="68"/>
      <c r="B1073" s="68">
        <v>1087.0</v>
      </c>
      <c r="C1073" s="68"/>
      <c r="D1073" s="69" t="str">
        <f>CONCATENATE(PROPER('BIÑAN INFO'!$G1073),", ",PROPER('BIÑAN INFO'!$E1073)," ",PROPER('BIÑAN INFO'!$F1073),"."," (",UPPER('BIÑAN INFO'!$H1073),")")</f>
        <v>Maiquez, Thelma . ()</v>
      </c>
      <c r="E1073" s="70" t="s">
        <v>542</v>
      </c>
      <c r="F1073" s="70"/>
      <c r="G1073" s="70" t="s">
        <v>543</v>
      </c>
      <c r="H1073" s="69"/>
      <c r="I1073" s="71">
        <v>0.12</v>
      </c>
      <c r="J1073" s="72">
        <v>1000.0</v>
      </c>
      <c r="K1073" s="73"/>
      <c r="L1073" s="73"/>
      <c r="M1073" s="73"/>
      <c r="N1073" s="74"/>
      <c r="O1073" s="59"/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</row>
    <row r="1074" ht="30.0" customHeight="1">
      <c r="A1074" s="68"/>
      <c r="B1074" s="68">
        <v>1088.0</v>
      </c>
      <c r="C1074" s="68"/>
      <c r="D1074" s="69" t="str">
        <f>CONCATENATE(PROPER('BIÑAN INFO'!$G1074),", ",PROPER('BIÑAN INFO'!$E1074)," ",PROPER('BIÑAN INFO'!$F1074),"."," (",UPPER('BIÑAN INFO'!$H1074),")")</f>
        <v>,  . ()</v>
      </c>
      <c r="E1074" s="70"/>
      <c r="F1074" s="70"/>
      <c r="G1074" s="70"/>
      <c r="H1074" s="69"/>
      <c r="I1074" s="71">
        <v>0.12</v>
      </c>
      <c r="J1074" s="72">
        <v>1000.0</v>
      </c>
      <c r="K1074" s="73"/>
      <c r="L1074" s="73"/>
      <c r="M1074" s="73"/>
      <c r="N1074" s="74"/>
      <c r="O1074" s="59"/>
      <c r="P1074" s="59"/>
      <c r="Q1074" s="59"/>
      <c r="R1074" s="59"/>
      <c r="S1074" s="59"/>
      <c r="T1074" s="59"/>
      <c r="U1074" s="59"/>
      <c r="V1074" s="59"/>
      <c r="W1074" s="59"/>
      <c r="X1074" s="59"/>
      <c r="Y1074" s="59"/>
      <c r="Z1074" s="59"/>
    </row>
    <row r="1075" ht="30.0" customHeight="1">
      <c r="A1075" s="68"/>
      <c r="B1075" s="68">
        <v>1089.0</v>
      </c>
      <c r="C1075" s="68"/>
      <c r="D1075" s="69" t="str">
        <f>CONCATENATE(PROPER('BIÑAN INFO'!$G1075),", ",PROPER('BIÑAN INFO'!$E1075)," ",PROPER('BIÑAN INFO'!$F1075),"."," (",UPPER('BIÑAN INFO'!$H1075),")")</f>
        <v>,  . ()</v>
      </c>
      <c r="E1075" s="70"/>
      <c r="F1075" s="70"/>
      <c r="G1075" s="70"/>
      <c r="H1075" s="69"/>
      <c r="I1075" s="71">
        <v>0.12</v>
      </c>
      <c r="J1075" s="72">
        <v>1000.0</v>
      </c>
      <c r="K1075" s="73"/>
      <c r="L1075" s="73"/>
      <c r="M1075" s="73"/>
      <c r="N1075" s="74"/>
      <c r="O1075" s="59"/>
      <c r="P1075" s="59"/>
      <c r="Q1075" s="59"/>
      <c r="R1075" s="59"/>
      <c r="S1075" s="59"/>
      <c r="T1075" s="59"/>
      <c r="U1075" s="59"/>
      <c r="V1075" s="59"/>
      <c r="W1075" s="59"/>
      <c r="X1075" s="59"/>
      <c r="Y1075" s="59"/>
      <c r="Z1075" s="59"/>
    </row>
    <row r="1076" ht="30.0" customHeight="1">
      <c r="A1076" s="68"/>
      <c r="B1076" s="68">
        <v>1090.0</v>
      </c>
      <c r="C1076" s="68"/>
      <c r="D1076" s="69" t="str">
        <f>CONCATENATE(PROPER('BIÑAN INFO'!$G1076),", ",PROPER('BIÑAN INFO'!$E1076)," ",PROPER('BIÑAN INFO'!$F1076),"."," (",UPPER('BIÑAN INFO'!$H1076),")")</f>
        <v>,  . ()</v>
      </c>
      <c r="E1076" s="70"/>
      <c r="F1076" s="70"/>
      <c r="G1076" s="70"/>
      <c r="H1076" s="69"/>
      <c r="I1076" s="71">
        <v>0.12</v>
      </c>
      <c r="J1076" s="72">
        <v>1000.0</v>
      </c>
      <c r="K1076" s="73"/>
      <c r="L1076" s="73"/>
      <c r="M1076" s="73"/>
      <c r="N1076" s="74"/>
      <c r="O1076" s="59"/>
      <c r="P1076" s="59"/>
      <c r="Q1076" s="59"/>
      <c r="R1076" s="59"/>
      <c r="S1076" s="59"/>
      <c r="T1076" s="59"/>
      <c r="U1076" s="59"/>
      <c r="V1076" s="59"/>
      <c r="W1076" s="59"/>
      <c r="X1076" s="59"/>
      <c r="Y1076" s="59"/>
      <c r="Z1076" s="59"/>
    </row>
    <row r="1077" ht="30.0" customHeight="1">
      <c r="A1077" s="68"/>
      <c r="B1077" s="68">
        <v>1091.0</v>
      </c>
      <c r="C1077" s="68"/>
      <c r="D1077" s="69" t="str">
        <f>CONCATENATE(PROPER('BIÑAN INFO'!$G1077),", ",PROPER('BIÑAN INFO'!$E1077)," ",PROPER('BIÑAN INFO'!$F1077),"."," (",UPPER('BIÑAN INFO'!$H1077),")")</f>
        <v>Caguioa, Jhunalyn Q. ()</v>
      </c>
      <c r="E1077" s="70" t="s">
        <v>544</v>
      </c>
      <c r="F1077" s="70" t="s">
        <v>545</v>
      </c>
      <c r="G1077" s="70" t="s">
        <v>546</v>
      </c>
      <c r="H1077" s="69"/>
      <c r="I1077" s="71">
        <v>0.05</v>
      </c>
      <c r="J1077" s="72">
        <v>1000.0</v>
      </c>
      <c r="K1077" s="73" t="s">
        <v>50</v>
      </c>
      <c r="L1077" s="73"/>
      <c r="M1077" s="73"/>
      <c r="N1077" s="74"/>
      <c r="O1077" s="59"/>
      <c r="P1077" s="59"/>
      <c r="Q1077" s="59"/>
      <c r="R1077" s="59"/>
      <c r="S1077" s="59"/>
      <c r="T1077" s="59"/>
      <c r="U1077" s="59"/>
      <c r="V1077" s="59"/>
      <c r="W1077" s="59"/>
      <c r="X1077" s="59"/>
      <c r="Y1077" s="59"/>
      <c r="Z1077" s="59"/>
    </row>
    <row r="1078" ht="30.0" customHeight="1">
      <c r="A1078" s="68"/>
      <c r="B1078" s="68">
        <v>1092.0</v>
      </c>
      <c r="C1078" s="68"/>
      <c r="D1078" s="69" t="str">
        <f>CONCATENATE(PROPER('BIÑAN INFO'!$G1078),", ",PROPER('BIÑAN INFO'!$E1078)," ",PROPER('BIÑAN INFO'!$F1078),"."," (",UPPER('BIÑAN INFO'!$H1078),")")</f>
        <v>,  . ()</v>
      </c>
      <c r="E1078" s="70"/>
      <c r="F1078" s="70"/>
      <c r="G1078" s="70"/>
      <c r="H1078" s="69"/>
      <c r="I1078" s="71">
        <v>0.12</v>
      </c>
      <c r="J1078" s="72">
        <v>1000.0</v>
      </c>
      <c r="K1078" s="73"/>
      <c r="L1078" s="73"/>
      <c r="M1078" s="73"/>
      <c r="N1078" s="74"/>
      <c r="O1078" s="59"/>
      <c r="P1078" s="59"/>
      <c r="Q1078" s="59"/>
      <c r="R1078" s="59"/>
      <c r="S1078" s="59"/>
      <c r="T1078" s="59"/>
      <c r="U1078" s="59"/>
      <c r="V1078" s="59"/>
      <c r="W1078" s="59"/>
      <c r="X1078" s="59"/>
      <c r="Y1078" s="59"/>
      <c r="Z1078" s="59"/>
    </row>
    <row r="1079" ht="30.0" customHeight="1">
      <c r="A1079" s="68"/>
      <c r="B1079" s="68">
        <v>1093.0</v>
      </c>
      <c r="C1079" s="68"/>
      <c r="D1079" s="69" t="str">
        <f>CONCATENATE(PROPER('BIÑAN INFO'!$G1079),", ",PROPER('BIÑAN INFO'!$E1079)," ",PROPER('BIÑAN INFO'!$F1079),"."," (",UPPER('BIÑAN INFO'!$H1079),")")</f>
        <v>,  . ()</v>
      </c>
      <c r="E1079" s="70"/>
      <c r="F1079" s="70"/>
      <c r="G1079" s="70"/>
      <c r="H1079" s="69"/>
      <c r="I1079" s="71">
        <v>0.12</v>
      </c>
      <c r="J1079" s="72">
        <v>1000.0</v>
      </c>
      <c r="K1079" s="73"/>
      <c r="L1079" s="73"/>
      <c r="M1079" s="73"/>
      <c r="N1079" s="74"/>
      <c r="O1079" s="59"/>
      <c r="P1079" s="59"/>
      <c r="Q1079" s="59"/>
      <c r="R1079" s="59"/>
      <c r="S1079" s="59"/>
      <c r="T1079" s="59"/>
      <c r="U1079" s="59"/>
      <c r="V1079" s="59"/>
      <c r="W1079" s="59"/>
      <c r="X1079" s="59"/>
      <c r="Y1079" s="59"/>
      <c r="Z1079" s="59"/>
    </row>
    <row r="1080" ht="30.0" customHeight="1">
      <c r="A1080" s="68"/>
      <c r="B1080" s="68">
        <v>1094.0</v>
      </c>
      <c r="C1080" s="68"/>
      <c r="D1080" s="69" t="str">
        <f>CONCATENATE(PROPER('BIÑAN INFO'!$G1080),", ",PROPER('BIÑAN INFO'!$E1080)," ",PROPER('BIÑAN INFO'!$F1080),"."," (",UPPER('BIÑAN INFO'!$H1080),")")</f>
        <v>Indemne, Rolly . ()</v>
      </c>
      <c r="E1080" s="70" t="s">
        <v>547</v>
      </c>
      <c r="F1080" s="70"/>
      <c r="G1080" s="70" t="s">
        <v>548</v>
      </c>
      <c r="H1080" s="69"/>
      <c r="I1080" s="71">
        <v>0.12</v>
      </c>
      <c r="J1080" s="72">
        <v>1000.0</v>
      </c>
      <c r="K1080" s="73"/>
      <c r="L1080" s="73"/>
      <c r="M1080" s="73"/>
      <c r="N1080" s="74"/>
      <c r="O1080" s="59"/>
      <c r="P1080" s="59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</row>
    <row r="1081" ht="30.0" customHeight="1">
      <c r="A1081" s="68"/>
      <c r="B1081" s="68">
        <v>1095.0</v>
      </c>
      <c r="C1081" s="68"/>
      <c r="D1081" s="69" t="str">
        <f>CONCATENATE(PROPER('BIÑAN INFO'!$G1081),", ",PROPER('BIÑAN INFO'!$E1081)," ",PROPER('BIÑAN INFO'!$F1081),"."," (",UPPER('BIÑAN INFO'!$H1081),")")</f>
        <v>,  . ()</v>
      </c>
      <c r="E1081" s="70"/>
      <c r="F1081" s="70"/>
      <c r="G1081" s="70"/>
      <c r="H1081" s="69"/>
      <c r="I1081" s="71">
        <v>0.12</v>
      </c>
      <c r="J1081" s="72">
        <v>1000.0</v>
      </c>
      <c r="K1081" s="73"/>
      <c r="L1081" s="73"/>
      <c r="M1081" s="73"/>
      <c r="N1081" s="74"/>
      <c r="O1081" s="59"/>
      <c r="P1081" s="59"/>
      <c r="Q1081" s="59"/>
      <c r="R1081" s="59"/>
      <c r="S1081" s="59"/>
      <c r="T1081" s="59"/>
      <c r="U1081" s="59"/>
      <c r="V1081" s="59"/>
      <c r="W1081" s="59"/>
      <c r="X1081" s="59"/>
      <c r="Y1081" s="59"/>
      <c r="Z1081" s="59"/>
    </row>
    <row r="1082" ht="30.0" customHeight="1">
      <c r="A1082" s="68"/>
      <c r="B1082" s="68">
        <v>1096.0</v>
      </c>
      <c r="C1082" s="68"/>
      <c r="D1082" s="69" t="str">
        <f>CONCATENATE(PROPER('BIÑAN INFO'!$G1082),", ",PROPER('BIÑAN INFO'!$E1082)," ",PROPER('BIÑAN INFO'!$F1082),"."," (",UPPER('BIÑAN INFO'!$H1082),")")</f>
        <v>,  . ()</v>
      </c>
      <c r="E1082" s="70"/>
      <c r="F1082" s="70"/>
      <c r="G1082" s="70"/>
      <c r="H1082" s="70"/>
      <c r="I1082" s="71">
        <v>0.12</v>
      </c>
      <c r="J1082" s="72">
        <v>1000.0</v>
      </c>
      <c r="K1082" s="73"/>
      <c r="L1082" s="73"/>
      <c r="M1082" s="73"/>
      <c r="N1082" s="74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</row>
    <row r="1083" ht="30.0" customHeight="1">
      <c r="A1083" s="68"/>
      <c r="B1083" s="68">
        <v>1097.0</v>
      </c>
      <c r="C1083" s="68"/>
      <c r="D1083" s="69" t="str">
        <f>CONCATENATE(PROPER('BIÑAN INFO'!$G1083),", ",PROPER('BIÑAN INFO'!$E1083)," ",PROPER('BIÑAN INFO'!$F1083),"."," (",UPPER('BIÑAN INFO'!$H1083),")")</f>
        <v>,  . ()</v>
      </c>
      <c r="E1083" s="70"/>
      <c r="F1083" s="70"/>
      <c r="G1083" s="70"/>
      <c r="H1083" s="69"/>
      <c r="I1083" s="71">
        <v>0.12</v>
      </c>
      <c r="J1083" s="72">
        <v>1000.0</v>
      </c>
      <c r="K1083" s="73"/>
      <c r="L1083" s="73"/>
      <c r="M1083" s="73"/>
      <c r="N1083" s="74"/>
      <c r="O1083" s="59"/>
      <c r="P1083" s="59"/>
      <c r="Q1083" s="59"/>
      <c r="R1083" s="59"/>
      <c r="S1083" s="59"/>
      <c r="T1083" s="59"/>
      <c r="U1083" s="59"/>
      <c r="V1083" s="59"/>
      <c r="W1083" s="59"/>
      <c r="X1083" s="59"/>
      <c r="Y1083" s="59"/>
      <c r="Z1083" s="59"/>
    </row>
    <row r="1084" ht="30.0" customHeight="1">
      <c r="A1084" s="68"/>
      <c r="B1084" s="68">
        <v>1098.0</v>
      </c>
      <c r="C1084" s="68"/>
      <c r="D1084" s="69" t="str">
        <f>CONCATENATE(PROPER('BIÑAN INFO'!$G1084),", ",PROPER('BIÑAN INFO'!$E1084)," ",PROPER('BIÑAN INFO'!$F1084),"."," (",UPPER('BIÑAN INFO'!$H1084),")")</f>
        <v>,  . ()</v>
      </c>
      <c r="E1084" s="70"/>
      <c r="F1084" s="70"/>
      <c r="G1084" s="70"/>
      <c r="H1084" s="69"/>
      <c r="I1084" s="71">
        <v>0.12</v>
      </c>
      <c r="J1084" s="72">
        <v>1000.0</v>
      </c>
      <c r="K1084" s="73"/>
      <c r="L1084" s="73"/>
      <c r="M1084" s="73"/>
      <c r="N1084" s="74"/>
      <c r="O1084" s="59"/>
      <c r="P1084" s="59"/>
      <c r="Q1084" s="59"/>
      <c r="R1084" s="59"/>
      <c r="S1084" s="59"/>
      <c r="T1084" s="59"/>
      <c r="U1084" s="59"/>
      <c r="V1084" s="59"/>
      <c r="W1084" s="59"/>
      <c r="X1084" s="59"/>
      <c r="Y1084" s="59"/>
      <c r="Z1084" s="59"/>
    </row>
    <row r="1085" ht="30.0" customHeight="1">
      <c r="A1085" s="68"/>
      <c r="B1085" s="68">
        <v>1099.0</v>
      </c>
      <c r="C1085" s="68"/>
      <c r="D1085" s="69" t="str">
        <f>CONCATENATE(PROPER('BIÑAN INFO'!$G1085),", ",PROPER('BIÑAN INFO'!$E1085)," ",PROPER('BIÑAN INFO'!$F1085),"."," (",UPPER('BIÑAN INFO'!$H1085),")")</f>
        <v>Luyon, Lura . ()</v>
      </c>
      <c r="E1085" s="70" t="s">
        <v>549</v>
      </c>
      <c r="F1085" s="70"/>
      <c r="G1085" s="70" t="s">
        <v>524</v>
      </c>
      <c r="H1085" s="69"/>
      <c r="I1085" s="71">
        <v>0.12</v>
      </c>
      <c r="J1085" s="72">
        <v>1000.0</v>
      </c>
      <c r="K1085" s="73"/>
      <c r="L1085" s="73"/>
      <c r="M1085" s="73"/>
      <c r="N1085" s="74"/>
      <c r="O1085" s="59"/>
      <c r="P1085" s="59"/>
      <c r="Q1085" s="59"/>
      <c r="R1085" s="59"/>
      <c r="S1085" s="59"/>
      <c r="T1085" s="59"/>
      <c r="U1085" s="59"/>
      <c r="V1085" s="59"/>
      <c r="W1085" s="59"/>
      <c r="X1085" s="59"/>
      <c r="Y1085" s="59"/>
      <c r="Z1085" s="59"/>
    </row>
    <row r="1086" ht="30.0" customHeight="1">
      <c r="A1086" s="68"/>
      <c r="B1086" s="68">
        <v>1100.0</v>
      </c>
      <c r="C1086" s="68"/>
      <c r="D1086" s="69" t="str">
        <f>CONCATENATE(PROPER('BIÑAN INFO'!$G1086),", ",PROPER('BIÑAN INFO'!$E1086)," ",PROPER('BIÑAN INFO'!$F1086),"."," (",UPPER('BIÑAN INFO'!$H1086),")")</f>
        <v>Baeckman, Gina Cenica . ()</v>
      </c>
      <c r="E1086" s="70" t="s">
        <v>550</v>
      </c>
      <c r="F1086" s="70"/>
      <c r="G1086" s="70" t="s">
        <v>551</v>
      </c>
      <c r="H1086" s="69"/>
      <c r="I1086" s="71">
        <v>0.05</v>
      </c>
      <c r="J1086" s="72">
        <v>1000.0</v>
      </c>
      <c r="K1086" s="73"/>
      <c r="L1086" s="73"/>
      <c r="M1086" s="73"/>
      <c r="N1086" s="74" t="s">
        <v>460</v>
      </c>
      <c r="O1086" s="59"/>
      <c r="P1086" s="59"/>
      <c r="Q1086" s="59"/>
      <c r="R1086" s="59"/>
      <c r="S1086" s="59"/>
      <c r="T1086" s="59"/>
      <c r="U1086" s="59"/>
      <c r="V1086" s="59"/>
      <c r="W1086" s="59"/>
      <c r="X1086" s="59"/>
      <c r="Y1086" s="59"/>
      <c r="Z1086" s="59"/>
    </row>
    <row r="1087" ht="30.0" customHeight="1">
      <c r="A1087" s="68"/>
      <c r="B1087" s="68">
        <v>1101.0</v>
      </c>
      <c r="C1087" s="68"/>
      <c r="D1087" s="69" t="str">
        <f>CONCATENATE(PROPER('BIÑAN INFO'!$G1087),", ",PROPER('BIÑAN INFO'!$E1087)," ",PROPER('BIÑAN INFO'!$F1087),"."," (",UPPER('BIÑAN INFO'!$H1087),")")</f>
        <v>,  . ()</v>
      </c>
      <c r="E1087" s="70"/>
      <c r="F1087" s="70"/>
      <c r="G1087" s="70"/>
      <c r="H1087" s="69"/>
      <c r="I1087" s="71">
        <v>0.12</v>
      </c>
      <c r="J1087" s="72">
        <v>1000.0</v>
      </c>
      <c r="K1087" s="73"/>
      <c r="L1087" s="73"/>
      <c r="M1087" s="73"/>
      <c r="N1087" s="74"/>
      <c r="O1087" s="59"/>
      <c r="P1087" s="59"/>
      <c r="Q1087" s="59"/>
      <c r="R1087" s="59"/>
      <c r="S1087" s="59"/>
      <c r="T1087" s="59"/>
      <c r="U1087" s="59"/>
      <c r="V1087" s="59"/>
      <c r="W1087" s="59"/>
      <c r="X1087" s="59"/>
      <c r="Y1087" s="59"/>
      <c r="Z1087" s="59"/>
    </row>
    <row r="1088" ht="30.0" customHeight="1">
      <c r="A1088" s="68"/>
      <c r="B1088" s="68">
        <v>1102.0</v>
      </c>
      <c r="C1088" s="68"/>
      <c r="D1088" s="69" t="str">
        <f>CONCATENATE(PROPER('BIÑAN INFO'!$G1088),", ",PROPER('BIÑAN INFO'!$E1088)," ",PROPER('BIÑAN INFO'!$F1088),"."," (",UPPER('BIÑAN INFO'!$H1088),")")</f>
        <v>,  . ()</v>
      </c>
      <c r="E1088" s="70"/>
      <c r="F1088" s="70"/>
      <c r="G1088" s="70"/>
      <c r="H1088" s="69"/>
      <c r="I1088" s="71">
        <v>0.12</v>
      </c>
      <c r="J1088" s="72">
        <v>1000.0</v>
      </c>
      <c r="K1088" s="73"/>
      <c r="L1088" s="73"/>
      <c r="M1088" s="73"/>
      <c r="N1088" s="74"/>
      <c r="O1088" s="59"/>
      <c r="P1088" s="59"/>
      <c r="Q1088" s="59"/>
      <c r="R1088" s="59"/>
      <c r="S1088" s="59"/>
      <c r="T1088" s="59"/>
      <c r="U1088" s="59"/>
      <c r="V1088" s="59"/>
      <c r="W1088" s="59"/>
      <c r="X1088" s="59"/>
      <c r="Y1088" s="59"/>
      <c r="Z1088" s="59"/>
    </row>
    <row r="1089" ht="30.0" customHeight="1">
      <c r="A1089" s="68"/>
      <c r="B1089" s="68">
        <v>1103.0</v>
      </c>
      <c r="C1089" s="68"/>
      <c r="D1089" s="69" t="str">
        <f>CONCATENATE(PROPER('BIÑAN INFO'!$G1089),", ",PROPER('BIÑAN INFO'!$E1089)," ",PROPER('BIÑAN INFO'!$F1089),"."," (",UPPER('BIÑAN INFO'!$H1089),")")</f>
        <v>,  . ()</v>
      </c>
      <c r="E1089" s="70"/>
      <c r="F1089" s="70"/>
      <c r="G1089" s="70"/>
      <c r="H1089" s="69"/>
      <c r="I1089" s="71">
        <v>0.12</v>
      </c>
      <c r="J1089" s="72">
        <v>1000.0</v>
      </c>
      <c r="K1089" s="73"/>
      <c r="L1089" s="73"/>
      <c r="M1089" s="73"/>
      <c r="N1089" s="74"/>
      <c r="O1089" s="59"/>
      <c r="P1089" s="59"/>
      <c r="Q1089" s="59"/>
      <c r="R1089" s="59"/>
      <c r="S1089" s="59"/>
      <c r="T1089" s="59"/>
      <c r="U1089" s="59"/>
      <c r="V1089" s="59"/>
      <c r="W1089" s="59"/>
      <c r="X1089" s="59"/>
      <c r="Y1089" s="59"/>
      <c r="Z1089" s="59"/>
    </row>
    <row r="1090" ht="30.0" customHeight="1">
      <c r="A1090" s="68"/>
      <c r="B1090" s="68">
        <v>1104.0</v>
      </c>
      <c r="C1090" s="68"/>
      <c r="D1090" s="69" t="str">
        <f>CONCATENATE(PROPER('BIÑAN INFO'!$G1090),", ",PROPER('BIÑAN INFO'!$E1090)," ",PROPER('BIÑAN INFO'!$F1090),"."," (",UPPER('BIÑAN INFO'!$H1090),")")</f>
        <v>,  . ()</v>
      </c>
      <c r="E1090" s="70"/>
      <c r="F1090" s="70"/>
      <c r="G1090" s="70"/>
      <c r="H1090" s="69"/>
      <c r="I1090" s="71">
        <v>0.05</v>
      </c>
      <c r="J1090" s="72">
        <v>1000.0</v>
      </c>
      <c r="K1090" s="73"/>
      <c r="L1090" s="73"/>
      <c r="M1090" s="73"/>
      <c r="N1090" s="74"/>
      <c r="O1090" s="59"/>
      <c r="P1090" s="59"/>
      <c r="Q1090" s="59"/>
      <c r="R1090" s="59"/>
      <c r="S1090" s="59"/>
      <c r="T1090" s="59"/>
      <c r="U1090" s="59"/>
      <c r="V1090" s="59"/>
      <c r="W1090" s="59"/>
      <c r="X1090" s="59"/>
      <c r="Y1090" s="59"/>
      <c r="Z1090" s="59"/>
    </row>
    <row r="1091" ht="30.0" customHeight="1">
      <c r="A1091" s="68"/>
      <c r="B1091" s="68">
        <v>1105.0</v>
      </c>
      <c r="C1091" s="68"/>
      <c r="D1091" s="69" t="str">
        <f>CONCATENATE(PROPER('BIÑAN INFO'!$G1091),", ",PROPER('BIÑAN INFO'!$E1091)," ",PROPER('BIÑAN INFO'!$F1091),"."," (",UPPER('BIÑAN INFO'!$H1091),")")</f>
        <v>,  . ()</v>
      </c>
      <c r="E1091" s="70"/>
      <c r="F1091" s="70"/>
      <c r="G1091" s="70"/>
      <c r="H1091" s="69"/>
      <c r="I1091" s="71">
        <v>0.12</v>
      </c>
      <c r="J1091" s="72">
        <v>1000.0</v>
      </c>
      <c r="K1091" s="73"/>
      <c r="L1091" s="73"/>
      <c r="M1091" s="73"/>
      <c r="N1091" s="74"/>
      <c r="O1091" s="59"/>
      <c r="P1091" s="59"/>
      <c r="Q1091" s="59"/>
      <c r="R1091" s="59"/>
      <c r="S1091" s="59"/>
      <c r="T1091" s="59"/>
      <c r="U1091" s="59"/>
      <c r="V1091" s="59"/>
      <c r="W1091" s="59"/>
      <c r="X1091" s="59"/>
      <c r="Y1091" s="59"/>
      <c r="Z1091" s="59"/>
    </row>
    <row r="1092" ht="30.0" customHeight="1">
      <c r="A1092" s="68"/>
      <c r="B1092" s="68">
        <v>1106.0</v>
      </c>
      <c r="C1092" s="68"/>
      <c r="D1092" s="69" t="str">
        <f>CONCATENATE(PROPER('BIÑAN INFO'!$G1092),", ",PROPER('BIÑAN INFO'!$E1092)," ",PROPER('BIÑAN INFO'!$F1092),"."," (",UPPER('BIÑAN INFO'!$H1092),")")</f>
        <v>,  . ()</v>
      </c>
      <c r="E1092" s="70"/>
      <c r="F1092" s="70"/>
      <c r="G1092" s="70"/>
      <c r="H1092" s="69"/>
      <c r="I1092" s="71">
        <v>0.12</v>
      </c>
      <c r="J1092" s="72">
        <v>1000.0</v>
      </c>
      <c r="K1092" s="73"/>
      <c r="L1092" s="73"/>
      <c r="M1092" s="73"/>
      <c r="N1092" s="74"/>
      <c r="O1092" s="59"/>
      <c r="P1092" s="59"/>
      <c r="Q1092" s="59"/>
      <c r="R1092" s="59"/>
      <c r="S1092" s="59"/>
      <c r="T1092" s="59"/>
      <c r="U1092" s="59"/>
      <c r="V1092" s="59"/>
      <c r="W1092" s="59"/>
      <c r="X1092" s="59"/>
      <c r="Y1092" s="59"/>
      <c r="Z1092" s="59"/>
    </row>
    <row r="1093" ht="30.0" customHeight="1">
      <c r="A1093" s="68"/>
      <c r="B1093" s="68">
        <v>1107.0</v>
      </c>
      <c r="C1093" s="68"/>
      <c r="D1093" s="69" t="str">
        <f>CONCATENATE(PROPER('BIÑAN INFO'!$G1093),", ",PROPER('BIÑAN INFO'!$E1093)," ",PROPER('BIÑAN INFO'!$F1093),"."," (",UPPER('BIÑAN INFO'!$H1093),")")</f>
        <v>,  . ()</v>
      </c>
      <c r="E1093" s="70"/>
      <c r="F1093" s="70"/>
      <c r="G1093" s="70"/>
      <c r="H1093" s="69"/>
      <c r="I1093" s="71">
        <v>0.12</v>
      </c>
      <c r="J1093" s="72">
        <v>1000.0</v>
      </c>
      <c r="K1093" s="73"/>
      <c r="L1093" s="73"/>
      <c r="M1093" s="73"/>
      <c r="N1093" s="74"/>
      <c r="O1093" s="59"/>
      <c r="P1093" s="59"/>
      <c r="Q1093" s="59"/>
      <c r="R1093" s="59"/>
      <c r="S1093" s="59"/>
      <c r="T1093" s="59"/>
      <c r="U1093" s="59"/>
      <c r="V1093" s="59"/>
      <c r="W1093" s="59"/>
      <c r="X1093" s="59"/>
      <c r="Y1093" s="59"/>
      <c r="Z1093" s="59"/>
    </row>
    <row r="1094" ht="30.0" customHeight="1">
      <c r="A1094" s="68"/>
      <c r="B1094" s="68">
        <v>1108.0</v>
      </c>
      <c r="C1094" s="68"/>
      <c r="D1094" s="69" t="str">
        <f>CONCATENATE(PROPER('BIÑAN INFO'!$G1094),", ",PROPER('BIÑAN INFO'!$E1094)," ",PROPER('BIÑAN INFO'!$F1094),"."," (",UPPER('BIÑAN INFO'!$H1094),")")</f>
        <v>,  . ()</v>
      </c>
      <c r="E1094" s="70"/>
      <c r="F1094" s="70"/>
      <c r="G1094" s="70"/>
      <c r="H1094" s="69"/>
      <c r="I1094" s="71">
        <v>0.12</v>
      </c>
      <c r="J1094" s="72">
        <v>1000.0</v>
      </c>
      <c r="K1094" s="73"/>
      <c r="L1094" s="73"/>
      <c r="M1094" s="73"/>
      <c r="N1094" s="74"/>
      <c r="O1094" s="59"/>
      <c r="P1094" s="59"/>
      <c r="Q1094" s="59"/>
      <c r="R1094" s="59"/>
      <c r="S1094" s="59"/>
      <c r="T1094" s="59"/>
      <c r="U1094" s="59"/>
      <c r="V1094" s="59"/>
      <c r="W1094" s="59"/>
      <c r="X1094" s="59"/>
      <c r="Y1094" s="59"/>
      <c r="Z1094" s="59"/>
    </row>
    <row r="1095" ht="30.0" customHeight="1">
      <c r="A1095" s="68"/>
      <c r="B1095" s="68">
        <v>1109.0</v>
      </c>
      <c r="C1095" s="68"/>
      <c r="D1095" s="69" t="str">
        <f>CONCATENATE(PROPER('BIÑAN INFO'!$G1095),", ",PROPER('BIÑAN INFO'!$E1095)," ",PROPER('BIÑAN INFO'!$F1095),"."," (",UPPER('BIÑAN INFO'!$H1095),")")</f>
        <v>Tuazon, Lilian . ()</v>
      </c>
      <c r="E1095" s="70" t="s">
        <v>552</v>
      </c>
      <c r="F1095" s="70"/>
      <c r="G1095" s="70" t="s">
        <v>553</v>
      </c>
      <c r="H1095" s="69"/>
      <c r="I1095" s="71">
        <v>0.12</v>
      </c>
      <c r="J1095" s="72">
        <v>1000.0</v>
      </c>
      <c r="K1095" s="73"/>
      <c r="L1095" s="73"/>
      <c r="M1095" s="73"/>
      <c r="N1095" s="74"/>
      <c r="O1095" s="59"/>
      <c r="P1095" s="59"/>
      <c r="Q1095" s="59"/>
      <c r="R1095" s="59"/>
      <c r="S1095" s="59"/>
      <c r="T1095" s="59"/>
      <c r="U1095" s="59"/>
      <c r="V1095" s="59"/>
      <c r="W1095" s="59"/>
      <c r="X1095" s="59"/>
      <c r="Y1095" s="59"/>
      <c r="Z1095" s="59"/>
    </row>
    <row r="1096" ht="30.0" customHeight="1">
      <c r="A1096" s="68"/>
      <c r="B1096" s="68">
        <v>1110.0</v>
      </c>
      <c r="C1096" s="68"/>
      <c r="D1096" s="69" t="str">
        <f>CONCATENATE(PROPER('BIÑAN INFO'!$G1096),", ",PROPER('BIÑAN INFO'!$E1096)," ",PROPER('BIÑAN INFO'!$F1096),"."," (",UPPER('BIÑAN INFO'!$H1096),")")</f>
        <v>,  . ()</v>
      </c>
      <c r="E1096" s="70"/>
      <c r="F1096" s="70"/>
      <c r="G1096" s="70"/>
      <c r="H1096" s="69"/>
      <c r="I1096" s="71">
        <v>0.12</v>
      </c>
      <c r="J1096" s="72">
        <v>1000.0</v>
      </c>
      <c r="K1096" s="73"/>
      <c r="L1096" s="73"/>
      <c r="M1096" s="73"/>
      <c r="N1096" s="74"/>
      <c r="O1096" s="59"/>
      <c r="P1096" s="59"/>
      <c r="Q1096" s="59"/>
      <c r="R1096" s="59"/>
      <c r="S1096" s="59"/>
      <c r="T1096" s="59"/>
      <c r="U1096" s="59"/>
      <c r="V1096" s="59"/>
      <c r="W1096" s="59"/>
      <c r="X1096" s="59"/>
      <c r="Y1096" s="59"/>
      <c r="Z1096" s="59"/>
    </row>
    <row r="1097" ht="30.0" customHeight="1">
      <c r="A1097" s="68"/>
      <c r="B1097" s="68">
        <v>1111.0</v>
      </c>
      <c r="C1097" s="68"/>
      <c r="D1097" s="69" t="str">
        <f>CONCATENATE(PROPER('BIÑAN INFO'!$G1097),", ",PROPER('BIÑAN INFO'!$E1097)," ",PROPER('BIÑAN INFO'!$F1097),"."," (",UPPER('BIÑAN INFO'!$H1097),")")</f>
        <v>,  . ()</v>
      </c>
      <c r="E1097" s="70"/>
      <c r="F1097" s="70"/>
      <c r="G1097" s="70"/>
      <c r="H1097" s="69"/>
      <c r="I1097" s="71">
        <v>0.12</v>
      </c>
      <c r="J1097" s="72">
        <v>1000.0</v>
      </c>
      <c r="K1097" s="73"/>
      <c r="L1097" s="73"/>
      <c r="M1097" s="73"/>
      <c r="N1097" s="74"/>
      <c r="O1097" s="59"/>
      <c r="P1097" s="59"/>
      <c r="Q1097" s="59"/>
      <c r="R1097" s="59"/>
      <c r="S1097" s="59"/>
      <c r="T1097" s="59"/>
      <c r="U1097" s="59"/>
      <c r="V1097" s="59"/>
      <c r="W1097" s="59"/>
      <c r="X1097" s="59"/>
      <c r="Y1097" s="59"/>
      <c r="Z1097" s="59"/>
    </row>
    <row r="1098" ht="30.0" customHeight="1">
      <c r="A1098" s="68"/>
      <c r="B1098" s="68">
        <v>1112.0</v>
      </c>
      <c r="C1098" s="68"/>
      <c r="D1098" s="69" t="str">
        <f>CONCATENATE(PROPER('BIÑAN INFO'!$G1098),", ",PROPER('BIÑAN INFO'!$E1098)," ",PROPER('BIÑAN INFO'!$F1098),"."," (",UPPER('BIÑAN INFO'!$H1098),")")</f>
        <v>,  . ()</v>
      </c>
      <c r="E1098" s="70"/>
      <c r="F1098" s="70"/>
      <c r="G1098" s="70"/>
      <c r="H1098" s="69"/>
      <c r="I1098" s="71">
        <v>0.12</v>
      </c>
      <c r="J1098" s="72">
        <v>1000.0</v>
      </c>
      <c r="K1098" s="73"/>
      <c r="L1098" s="73"/>
      <c r="M1098" s="73"/>
      <c r="N1098" s="74"/>
      <c r="O1098" s="59"/>
      <c r="P1098" s="59"/>
      <c r="Q1098" s="59"/>
      <c r="R1098" s="59"/>
      <c r="S1098" s="59"/>
      <c r="T1098" s="59"/>
      <c r="U1098" s="59"/>
      <c r="V1098" s="59"/>
      <c r="W1098" s="59"/>
      <c r="X1098" s="59"/>
      <c r="Y1098" s="59"/>
      <c r="Z1098" s="59"/>
    </row>
    <row r="1099" ht="30.0" customHeight="1">
      <c r="A1099" s="68"/>
      <c r="B1099" s="68">
        <v>1113.0</v>
      </c>
      <c r="C1099" s="68"/>
      <c r="D1099" s="69" t="str">
        <f>CONCATENATE(PROPER('BIÑAN INFO'!$G1099),", ",PROPER('BIÑAN INFO'!$E1099)," ",PROPER('BIÑAN INFO'!$F1099),"."," (",UPPER('BIÑAN INFO'!$H1099),")")</f>
        <v>,  . ()</v>
      </c>
      <c r="E1099" s="70"/>
      <c r="F1099" s="70"/>
      <c r="G1099" s="70"/>
      <c r="H1099" s="69"/>
      <c r="I1099" s="71">
        <v>0.12</v>
      </c>
      <c r="J1099" s="72">
        <v>1000.0</v>
      </c>
      <c r="K1099" s="73"/>
      <c r="L1099" s="73"/>
      <c r="M1099" s="73"/>
      <c r="N1099" s="74"/>
      <c r="O1099" s="59"/>
      <c r="P1099" s="59"/>
      <c r="Q1099" s="59"/>
      <c r="R1099" s="59"/>
      <c r="S1099" s="59"/>
      <c r="T1099" s="59"/>
      <c r="U1099" s="59"/>
      <c r="V1099" s="59"/>
      <c r="W1099" s="59"/>
      <c r="X1099" s="59"/>
      <c r="Y1099" s="59"/>
      <c r="Z1099" s="59"/>
    </row>
    <row r="1100" ht="30.0" customHeight="1">
      <c r="A1100" s="68"/>
      <c r="B1100" s="68">
        <v>1114.0</v>
      </c>
      <c r="C1100" s="68"/>
      <c r="D1100" s="69" t="str">
        <f>CONCATENATE(PROPER('BIÑAN INFO'!$G1100),", ",PROPER('BIÑAN INFO'!$E1100)," ",PROPER('BIÑAN INFO'!$F1100),"."," (",UPPER('BIÑAN INFO'!$H1100),")")</f>
        <v>Escaro, Maredel . ()</v>
      </c>
      <c r="E1100" s="70" t="s">
        <v>554</v>
      </c>
      <c r="F1100" s="70"/>
      <c r="G1100" s="70" t="s">
        <v>555</v>
      </c>
      <c r="H1100" s="69"/>
      <c r="I1100" s="71">
        <v>0.05</v>
      </c>
      <c r="J1100" s="72">
        <v>1000.0</v>
      </c>
      <c r="K1100" s="73" t="s">
        <v>50</v>
      </c>
      <c r="L1100" s="73"/>
      <c r="M1100" s="73"/>
      <c r="N1100" s="74" t="s">
        <v>457</v>
      </c>
      <c r="O1100" s="59"/>
      <c r="P1100" s="59"/>
      <c r="Q1100" s="59"/>
      <c r="R1100" s="59"/>
      <c r="S1100" s="59"/>
      <c r="T1100" s="59"/>
      <c r="U1100" s="59"/>
      <c r="V1100" s="59"/>
      <c r="W1100" s="59"/>
      <c r="X1100" s="59"/>
      <c r="Y1100" s="59"/>
      <c r="Z1100" s="59"/>
    </row>
    <row r="1101" ht="30.0" customHeight="1">
      <c r="A1101" s="68"/>
      <c r="B1101" s="68">
        <v>1115.0</v>
      </c>
      <c r="C1101" s="68"/>
      <c r="D1101" s="69" t="str">
        <f>CONCATENATE(PROPER('BIÑAN INFO'!$G1101),", ",PROPER('BIÑAN INFO'!$E1101)," ",PROPER('BIÑAN INFO'!$F1101),"."," (",UPPER('BIÑAN INFO'!$H1101),")")</f>
        <v>,  . ()</v>
      </c>
      <c r="E1101" s="70"/>
      <c r="F1101" s="70"/>
      <c r="G1101" s="70"/>
      <c r="H1101" s="69"/>
      <c r="I1101" s="71">
        <v>0.12</v>
      </c>
      <c r="J1101" s="72">
        <v>1000.0</v>
      </c>
      <c r="K1101" s="73"/>
      <c r="L1101" s="73"/>
      <c r="M1101" s="73"/>
      <c r="N1101" s="74"/>
      <c r="O1101" s="59"/>
      <c r="P1101" s="59"/>
      <c r="Q1101" s="59"/>
      <c r="R1101" s="59"/>
      <c r="S1101" s="59"/>
      <c r="T1101" s="59"/>
      <c r="U1101" s="59"/>
      <c r="V1101" s="59"/>
      <c r="W1101" s="59"/>
      <c r="X1101" s="59"/>
      <c r="Y1101" s="59"/>
      <c r="Z1101" s="59"/>
    </row>
    <row r="1102" ht="30.0" customHeight="1">
      <c r="A1102" s="68"/>
      <c r="B1102" s="68">
        <v>1116.0</v>
      </c>
      <c r="C1102" s="68"/>
      <c r="D1102" s="69" t="str">
        <f>CONCATENATE(PROPER('BIÑAN INFO'!$G1102),", ",PROPER('BIÑAN INFO'!$E1102)," ",PROPER('BIÑAN INFO'!$F1102),"."," (",UPPER('BIÑAN INFO'!$H1102),")")</f>
        <v>,  . ()</v>
      </c>
      <c r="E1102" s="70"/>
      <c r="F1102" s="70"/>
      <c r="G1102" s="70"/>
      <c r="H1102" s="69"/>
      <c r="I1102" s="71">
        <v>0.12</v>
      </c>
      <c r="J1102" s="72">
        <v>1000.0</v>
      </c>
      <c r="K1102" s="73"/>
      <c r="L1102" s="73"/>
      <c r="M1102" s="73"/>
      <c r="N1102" s="74"/>
      <c r="O1102" s="59"/>
      <c r="P1102" s="59"/>
      <c r="Q1102" s="59"/>
      <c r="R1102" s="59"/>
      <c r="S1102" s="59"/>
      <c r="T1102" s="59"/>
      <c r="U1102" s="59"/>
      <c r="V1102" s="59"/>
      <c r="W1102" s="59"/>
      <c r="X1102" s="59"/>
      <c r="Y1102" s="59"/>
      <c r="Z1102" s="59"/>
    </row>
    <row r="1103" ht="30.0" customHeight="1">
      <c r="A1103" s="68"/>
      <c r="B1103" s="68">
        <v>1117.0</v>
      </c>
      <c r="C1103" s="68"/>
      <c r="D1103" s="69" t="str">
        <f>CONCATENATE(PROPER('BIÑAN INFO'!$G1103),", ",PROPER('BIÑAN INFO'!$E1103)," ",PROPER('BIÑAN INFO'!$F1103),"."," (",UPPER('BIÑAN INFO'!$H1103),")")</f>
        <v>Mapanoo, Janet A. ()</v>
      </c>
      <c r="E1103" s="70" t="s">
        <v>556</v>
      </c>
      <c r="F1103" s="70" t="s">
        <v>427</v>
      </c>
      <c r="G1103" s="70" t="s">
        <v>252</v>
      </c>
      <c r="H1103" s="69"/>
      <c r="I1103" s="71">
        <v>0.12</v>
      </c>
      <c r="J1103" s="72">
        <v>1000.0</v>
      </c>
      <c r="K1103" s="73"/>
      <c r="L1103" s="73"/>
      <c r="M1103" s="73"/>
      <c r="N1103" s="74"/>
      <c r="O1103" s="59"/>
      <c r="P1103" s="59"/>
      <c r="Q1103" s="59"/>
      <c r="R1103" s="59"/>
      <c r="S1103" s="59"/>
      <c r="T1103" s="59"/>
      <c r="U1103" s="59"/>
      <c r="V1103" s="59"/>
      <c r="W1103" s="59"/>
      <c r="X1103" s="59"/>
      <c r="Y1103" s="59"/>
      <c r="Z1103" s="59"/>
    </row>
    <row r="1104" ht="30.0" customHeight="1">
      <c r="A1104" s="68"/>
      <c r="B1104" s="68">
        <v>1118.0</v>
      </c>
      <c r="C1104" s="68"/>
      <c r="D1104" s="69" t="str">
        <f>CONCATENATE(PROPER('BIÑAN INFO'!$G1104),", ",PROPER('BIÑAN INFO'!$E1104)," ",PROPER('BIÑAN INFO'!$F1104),"."," (",UPPER('BIÑAN INFO'!$H1104),")")</f>
        <v>,  . ()</v>
      </c>
      <c r="E1104" s="70"/>
      <c r="F1104" s="70"/>
      <c r="G1104" s="70"/>
      <c r="H1104" s="69"/>
      <c r="I1104" s="71">
        <v>0.12</v>
      </c>
      <c r="J1104" s="72">
        <v>1000.0</v>
      </c>
      <c r="K1104" s="73"/>
      <c r="L1104" s="73"/>
      <c r="M1104" s="73"/>
      <c r="N1104" s="74"/>
      <c r="O1104" s="59"/>
      <c r="P1104" s="59"/>
      <c r="Q1104" s="59"/>
      <c r="R1104" s="59"/>
      <c r="S1104" s="59"/>
      <c r="T1104" s="59"/>
      <c r="U1104" s="59"/>
      <c r="V1104" s="59"/>
      <c r="W1104" s="59"/>
      <c r="X1104" s="59"/>
      <c r="Y1104" s="59"/>
      <c r="Z1104" s="59"/>
    </row>
    <row r="1105" ht="30.0" customHeight="1">
      <c r="A1105" s="68"/>
      <c r="B1105" s="68">
        <v>1119.0</v>
      </c>
      <c r="C1105" s="68"/>
      <c r="D1105" s="69" t="str">
        <f>CONCATENATE(PROPER('BIÑAN INFO'!$G1105),", ",PROPER('BIÑAN INFO'!$E1105)," ",PROPER('BIÑAN INFO'!$F1105),"."," (",UPPER('BIÑAN INFO'!$H1105),")")</f>
        <v>,  . ()</v>
      </c>
      <c r="E1105" s="70"/>
      <c r="F1105" s="70"/>
      <c r="G1105" s="70"/>
      <c r="H1105" s="69"/>
      <c r="I1105" s="71">
        <v>0.12</v>
      </c>
      <c r="J1105" s="72">
        <v>1000.0</v>
      </c>
      <c r="K1105" s="73"/>
      <c r="L1105" s="73"/>
      <c r="M1105" s="73"/>
      <c r="N1105" s="74"/>
      <c r="O1105" s="59"/>
      <c r="P1105" s="59"/>
      <c r="Q1105" s="59"/>
      <c r="R1105" s="59"/>
      <c r="S1105" s="59"/>
      <c r="T1105" s="59"/>
      <c r="U1105" s="59"/>
      <c r="V1105" s="59"/>
      <c r="W1105" s="59"/>
      <c r="X1105" s="59"/>
      <c r="Y1105" s="59"/>
      <c r="Z1105" s="59"/>
    </row>
    <row r="1106" ht="30.0" customHeight="1">
      <c r="A1106" s="68"/>
      <c r="B1106" s="68">
        <v>1120.0</v>
      </c>
      <c r="C1106" s="68"/>
      <c r="D1106" s="69" t="str">
        <f>CONCATENATE(PROPER('BIÑAN INFO'!$G1106),", ",PROPER('BIÑAN INFO'!$E1106)," ",PROPER('BIÑAN INFO'!$F1106),"."," (",UPPER('BIÑAN INFO'!$H1106),")")</f>
        <v>,  . ()</v>
      </c>
      <c r="E1106" s="70"/>
      <c r="F1106" s="70"/>
      <c r="G1106" s="70"/>
      <c r="H1106" s="69"/>
      <c r="I1106" s="71">
        <v>0.12</v>
      </c>
      <c r="J1106" s="72">
        <v>1000.0</v>
      </c>
      <c r="K1106" s="73"/>
      <c r="L1106" s="73"/>
      <c r="M1106" s="73"/>
      <c r="N1106" s="74"/>
      <c r="O1106" s="59"/>
      <c r="P1106" s="59"/>
      <c r="Q1106" s="59"/>
      <c r="R1106" s="59"/>
      <c r="S1106" s="59"/>
      <c r="T1106" s="59"/>
      <c r="U1106" s="59"/>
      <c r="V1106" s="59"/>
      <c r="W1106" s="59"/>
      <c r="X1106" s="59"/>
      <c r="Y1106" s="59"/>
      <c r="Z1106" s="59"/>
    </row>
    <row r="1107" ht="30.0" customHeight="1">
      <c r="A1107" s="68"/>
      <c r="B1107" s="68">
        <v>1121.0</v>
      </c>
      <c r="C1107" s="68"/>
      <c r="D1107" s="69" t="str">
        <f>CONCATENATE(PROPER('BIÑAN INFO'!$G1107),", ",PROPER('BIÑAN INFO'!$E1107)," ",PROPER('BIÑAN INFO'!$F1107),"."," (",UPPER('BIÑAN INFO'!$H1107),")")</f>
        <v>,  . ()</v>
      </c>
      <c r="E1107" s="70"/>
      <c r="F1107" s="70"/>
      <c r="G1107" s="70"/>
      <c r="H1107" s="69"/>
      <c r="I1107" s="71">
        <v>0.12</v>
      </c>
      <c r="J1107" s="72">
        <v>1000.0</v>
      </c>
      <c r="K1107" s="73"/>
      <c r="L1107" s="73"/>
      <c r="M1107" s="73"/>
      <c r="N1107" s="74"/>
      <c r="O1107" s="59"/>
      <c r="P1107" s="59"/>
      <c r="Q1107" s="59"/>
      <c r="R1107" s="59"/>
      <c r="S1107" s="59"/>
      <c r="T1107" s="59"/>
      <c r="U1107" s="59"/>
      <c r="V1107" s="59"/>
      <c r="W1107" s="59"/>
      <c r="X1107" s="59"/>
      <c r="Y1107" s="59"/>
      <c r="Z1107" s="59"/>
    </row>
    <row r="1108" ht="30.0" customHeight="1">
      <c r="A1108" s="68"/>
      <c r="B1108" s="68">
        <v>1122.0</v>
      </c>
      <c r="C1108" s="68"/>
      <c r="D1108" s="69" t="str">
        <f>CONCATENATE(PROPER('BIÑAN INFO'!$G1108),", ",PROPER('BIÑAN INFO'!$E1108)," ",PROPER('BIÑAN INFO'!$F1108),"."," (",UPPER('BIÑAN INFO'!$H1108),")")</f>
        <v>,  . ()</v>
      </c>
      <c r="E1108" s="70"/>
      <c r="F1108" s="70"/>
      <c r="G1108" s="70"/>
      <c r="H1108" s="69"/>
      <c r="I1108" s="71">
        <v>0.12</v>
      </c>
      <c r="J1108" s="72">
        <v>1000.0</v>
      </c>
      <c r="K1108" s="73"/>
      <c r="L1108" s="73"/>
      <c r="M1108" s="73"/>
      <c r="N1108" s="74"/>
      <c r="O1108" s="59"/>
      <c r="P1108" s="59"/>
      <c r="Q1108" s="59"/>
      <c r="R1108" s="59"/>
      <c r="S1108" s="59"/>
      <c r="T1108" s="59"/>
      <c r="U1108" s="59"/>
      <c r="V1108" s="59"/>
      <c r="W1108" s="59"/>
      <c r="X1108" s="59"/>
      <c r="Y1108" s="59"/>
      <c r="Z1108" s="59"/>
    </row>
    <row r="1109" ht="30.0" customHeight="1">
      <c r="A1109" s="68"/>
      <c r="B1109" s="68">
        <v>1123.0</v>
      </c>
      <c r="C1109" s="68"/>
      <c r="D1109" s="69" t="str">
        <f>CONCATENATE(PROPER('BIÑAN INFO'!$G1109),", ",PROPER('BIÑAN INFO'!$E1109)," ",PROPER('BIÑAN INFO'!$F1109),"."," (",UPPER('BIÑAN INFO'!$H1109),")")</f>
        <v>,  . ()</v>
      </c>
      <c r="E1109" s="70"/>
      <c r="F1109" s="70"/>
      <c r="G1109" s="70"/>
      <c r="H1109" s="69"/>
      <c r="I1109" s="71">
        <v>0.12</v>
      </c>
      <c r="J1109" s="72">
        <v>1000.0</v>
      </c>
      <c r="K1109" s="73"/>
      <c r="L1109" s="73"/>
      <c r="M1109" s="73"/>
      <c r="N1109" s="74"/>
      <c r="O1109" s="59"/>
      <c r="P1109" s="59"/>
      <c r="Q1109" s="59"/>
      <c r="R1109" s="59"/>
      <c r="S1109" s="59"/>
      <c r="T1109" s="59"/>
      <c r="U1109" s="59"/>
      <c r="V1109" s="59"/>
      <c r="W1109" s="59"/>
      <c r="X1109" s="59"/>
      <c r="Y1109" s="59"/>
      <c r="Z1109" s="59"/>
    </row>
    <row r="1110" ht="30.0" customHeight="1">
      <c r="A1110" s="68"/>
      <c r="B1110" s="68">
        <v>1124.0</v>
      </c>
      <c r="C1110" s="68"/>
      <c r="D1110" s="69" t="str">
        <f>CONCATENATE(PROPER('BIÑAN INFO'!$G1110),", ",PROPER('BIÑAN INFO'!$E1110)," ",PROPER('BIÑAN INFO'!$F1110),"."," (",UPPER('BIÑAN INFO'!$H1110),")")</f>
        <v>,  . ()</v>
      </c>
      <c r="E1110" s="70"/>
      <c r="F1110" s="70"/>
      <c r="G1110" s="70"/>
      <c r="H1110" s="69"/>
      <c r="I1110" s="71">
        <v>0.12</v>
      </c>
      <c r="J1110" s="72">
        <v>1000.0</v>
      </c>
      <c r="K1110" s="73"/>
      <c r="L1110" s="73"/>
      <c r="M1110" s="73"/>
      <c r="N1110" s="74"/>
      <c r="O1110" s="59"/>
      <c r="P1110" s="59"/>
      <c r="Q1110" s="59"/>
      <c r="R1110" s="59"/>
      <c r="S1110" s="59"/>
      <c r="T1110" s="59"/>
      <c r="U1110" s="59"/>
      <c r="V1110" s="59"/>
      <c r="W1110" s="59"/>
      <c r="X1110" s="59"/>
      <c r="Y1110" s="59"/>
      <c r="Z1110" s="59"/>
    </row>
    <row r="1111" ht="30.0" customHeight="1">
      <c r="A1111" s="68"/>
      <c r="B1111" s="68">
        <v>1125.0</v>
      </c>
      <c r="C1111" s="68"/>
      <c r="D1111" s="69" t="str">
        <f>CONCATENATE(PROPER('BIÑAN INFO'!$G1111),", ",PROPER('BIÑAN INFO'!$E1111)," ",PROPER('BIÑAN INFO'!$F1111),"."," (",UPPER('BIÑAN INFO'!$H1111),")")</f>
        <v>,  . ()</v>
      </c>
      <c r="E1111" s="70"/>
      <c r="F1111" s="70"/>
      <c r="G1111" s="70"/>
      <c r="H1111" s="69"/>
      <c r="I1111" s="71">
        <v>0.12</v>
      </c>
      <c r="J1111" s="72">
        <v>1000.0</v>
      </c>
      <c r="K1111" s="73"/>
      <c r="L1111" s="73"/>
      <c r="M1111" s="73"/>
      <c r="N1111" s="74"/>
      <c r="O1111" s="59"/>
      <c r="P1111" s="59"/>
      <c r="Q1111" s="59"/>
      <c r="R1111" s="59"/>
      <c r="S1111" s="59"/>
      <c r="T1111" s="59"/>
      <c r="U1111" s="59"/>
      <c r="V1111" s="59"/>
      <c r="W1111" s="59"/>
      <c r="X1111" s="59"/>
      <c r="Y1111" s="59"/>
      <c r="Z1111" s="59"/>
    </row>
    <row r="1112" ht="30.0" customHeight="1">
      <c r="A1112" s="68"/>
      <c r="B1112" s="68">
        <v>1126.0</v>
      </c>
      <c r="C1112" s="68"/>
      <c r="D1112" s="69" t="str">
        <f>CONCATENATE(PROPER('BIÑAN INFO'!$G1112),", ",PROPER('BIÑAN INFO'!$E1112)," ",PROPER('BIÑAN INFO'!$F1112),"."," (",UPPER('BIÑAN INFO'!$H1112),")")</f>
        <v>,  . ()</v>
      </c>
      <c r="E1112" s="70"/>
      <c r="F1112" s="70"/>
      <c r="G1112" s="70"/>
      <c r="H1112" s="69"/>
      <c r="I1112" s="71">
        <v>0.12</v>
      </c>
      <c r="J1112" s="72">
        <v>1000.0</v>
      </c>
      <c r="K1112" s="73"/>
      <c r="L1112" s="73"/>
      <c r="M1112" s="73"/>
      <c r="N1112" s="74"/>
      <c r="O1112" s="59"/>
      <c r="P1112" s="59"/>
      <c r="Q1112" s="59"/>
      <c r="R1112" s="59"/>
      <c r="S1112" s="59"/>
      <c r="T1112" s="59"/>
      <c r="U1112" s="59"/>
      <c r="V1112" s="59"/>
      <c r="W1112" s="59"/>
      <c r="X1112" s="59"/>
      <c r="Y1112" s="59"/>
      <c r="Z1112" s="59"/>
    </row>
    <row r="1113" ht="30.0" customHeight="1">
      <c r="A1113" s="68"/>
      <c r="B1113" s="68">
        <v>1127.0</v>
      </c>
      <c r="C1113" s="68"/>
      <c r="D1113" s="69" t="str">
        <f>CONCATENATE(PROPER('BIÑAN INFO'!$G1113),", ",PROPER('BIÑAN INFO'!$E1113)," ",PROPER('BIÑAN INFO'!$F1113),"."," (",UPPER('BIÑAN INFO'!$H1113),")")</f>
        <v>,  . ()</v>
      </c>
      <c r="E1113" s="70"/>
      <c r="F1113" s="70"/>
      <c r="G1113" s="70"/>
      <c r="H1113" s="69"/>
      <c r="I1113" s="71">
        <v>0.12</v>
      </c>
      <c r="J1113" s="72">
        <v>1000.0</v>
      </c>
      <c r="K1113" s="73"/>
      <c r="L1113" s="73"/>
      <c r="M1113" s="73"/>
      <c r="N1113" s="74"/>
      <c r="O1113" s="59"/>
      <c r="P1113" s="59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</row>
    <row r="1114" ht="30.0" customHeight="1">
      <c r="A1114" s="68"/>
      <c r="B1114" s="68">
        <v>1128.0</v>
      </c>
      <c r="C1114" s="68"/>
      <c r="D1114" s="69" t="str">
        <f>CONCATENATE(PROPER('BIÑAN INFO'!$G1114),", ",PROPER('BIÑAN INFO'!$E1114)," ",PROPER('BIÑAN INFO'!$F1114),"."," (",UPPER('BIÑAN INFO'!$H1114),")")</f>
        <v>,  . ()</v>
      </c>
      <c r="E1114" s="70"/>
      <c r="F1114" s="70"/>
      <c r="G1114" s="70"/>
      <c r="H1114" s="69"/>
      <c r="I1114" s="71">
        <v>0.12</v>
      </c>
      <c r="J1114" s="72">
        <v>1000.0</v>
      </c>
      <c r="K1114" s="73"/>
      <c r="L1114" s="73"/>
      <c r="M1114" s="73"/>
      <c r="N1114" s="74"/>
      <c r="O1114" s="59"/>
      <c r="P1114" s="59"/>
      <c r="Q1114" s="59"/>
      <c r="R1114" s="59"/>
      <c r="S1114" s="59"/>
      <c r="T1114" s="59"/>
      <c r="U1114" s="59"/>
      <c r="V1114" s="59"/>
      <c r="W1114" s="59"/>
      <c r="X1114" s="59"/>
      <c r="Y1114" s="59"/>
      <c r="Z1114" s="59"/>
    </row>
    <row r="1115" ht="30.0" customHeight="1">
      <c r="A1115" s="68"/>
      <c r="B1115" s="68">
        <v>1129.0</v>
      </c>
      <c r="C1115" s="68"/>
      <c r="D1115" s="69" t="str">
        <f>CONCATENATE(PROPER('BIÑAN INFO'!$G1115),", ",PROPER('BIÑAN INFO'!$E1115)," ",PROPER('BIÑAN INFO'!$F1115),"."," (",UPPER('BIÑAN INFO'!$H1115),")")</f>
        <v>,  . ()</v>
      </c>
      <c r="E1115" s="70"/>
      <c r="F1115" s="70"/>
      <c r="G1115" s="70"/>
      <c r="H1115" s="69"/>
      <c r="I1115" s="71">
        <v>0.12</v>
      </c>
      <c r="J1115" s="72">
        <v>1000.0</v>
      </c>
      <c r="K1115" s="73"/>
      <c r="L1115" s="73"/>
      <c r="M1115" s="73"/>
      <c r="N1115" s="74"/>
      <c r="O1115" s="59"/>
      <c r="P1115" s="59"/>
      <c r="Q1115" s="59"/>
      <c r="R1115" s="59"/>
      <c r="S1115" s="59"/>
      <c r="T1115" s="59"/>
      <c r="U1115" s="59"/>
      <c r="V1115" s="59"/>
      <c r="W1115" s="59"/>
      <c r="X1115" s="59"/>
      <c r="Y1115" s="59"/>
      <c r="Z1115" s="59"/>
    </row>
    <row r="1116" ht="30.0" customHeight="1">
      <c r="A1116" s="68"/>
      <c r="B1116" s="68">
        <v>1130.0</v>
      </c>
      <c r="C1116" s="68"/>
      <c r="D1116" s="69" t="str">
        <f>CONCATENATE(PROPER('BIÑAN INFO'!$G1116),", ",PROPER('BIÑAN INFO'!$E1116)," ",PROPER('BIÑAN INFO'!$F1116),"."," (",UPPER('BIÑAN INFO'!$H1116),")")</f>
        <v>,  . ()</v>
      </c>
      <c r="E1116" s="70"/>
      <c r="F1116" s="69"/>
      <c r="G1116" s="70"/>
      <c r="H1116" s="69"/>
      <c r="I1116" s="71">
        <v>0.12</v>
      </c>
      <c r="J1116" s="72">
        <v>1000.0</v>
      </c>
      <c r="K1116" s="73"/>
      <c r="L1116" s="73"/>
      <c r="M1116" s="73"/>
      <c r="N1116" s="74"/>
      <c r="O1116" s="59"/>
      <c r="P1116" s="59"/>
      <c r="Q1116" s="59"/>
      <c r="R1116" s="59"/>
      <c r="S1116" s="59"/>
      <c r="T1116" s="59"/>
      <c r="U1116" s="59"/>
      <c r="V1116" s="59"/>
      <c r="W1116" s="59"/>
      <c r="X1116" s="59"/>
      <c r="Y1116" s="59"/>
      <c r="Z1116" s="59"/>
    </row>
    <row r="1117" ht="30.0" customHeight="1">
      <c r="A1117" s="68"/>
      <c r="B1117" s="68">
        <v>1131.0</v>
      </c>
      <c r="C1117" s="68"/>
      <c r="D1117" s="69" t="str">
        <f>CONCATENATE(PROPER('BIÑAN INFO'!$G1117),", ",PROPER('BIÑAN INFO'!$E1117)," ",PROPER('BIÑAN INFO'!$F1117),"."," (",UPPER('BIÑAN INFO'!$H1117),")")</f>
        <v>,  . ()</v>
      </c>
      <c r="E1117" s="70"/>
      <c r="F1117" s="70"/>
      <c r="G1117" s="70"/>
      <c r="H1117" s="69"/>
      <c r="I1117" s="71">
        <v>0.12</v>
      </c>
      <c r="J1117" s="72">
        <v>1000.0</v>
      </c>
      <c r="K1117" s="73"/>
      <c r="L1117" s="73"/>
      <c r="M1117" s="73"/>
      <c r="N1117" s="74"/>
      <c r="O1117" s="59"/>
      <c r="P1117" s="59"/>
      <c r="Q1117" s="59"/>
      <c r="R1117" s="59"/>
      <c r="S1117" s="59"/>
      <c r="T1117" s="59"/>
      <c r="U1117" s="59"/>
      <c r="V1117" s="59"/>
      <c r="W1117" s="59"/>
      <c r="X1117" s="59"/>
      <c r="Y1117" s="59"/>
      <c r="Z1117" s="59"/>
    </row>
    <row r="1118" ht="30.0" customHeight="1">
      <c r="A1118" s="68"/>
      <c r="B1118" s="68">
        <v>1132.0</v>
      </c>
      <c r="C1118" s="68"/>
      <c r="D1118" s="69" t="str">
        <f>CONCATENATE(PROPER('BIÑAN INFO'!$G1118),", ",PROPER('BIÑAN INFO'!$E1118)," ",PROPER('BIÑAN INFO'!$F1118),"."," (",UPPER('BIÑAN INFO'!$H1118),")")</f>
        <v>,  . ()</v>
      </c>
      <c r="E1118" s="70"/>
      <c r="F1118" s="69"/>
      <c r="G1118" s="70"/>
      <c r="H1118" s="69"/>
      <c r="I1118" s="71">
        <v>0.12</v>
      </c>
      <c r="J1118" s="72">
        <v>1000.0</v>
      </c>
      <c r="K1118" s="73"/>
      <c r="L1118" s="73"/>
      <c r="M1118" s="73"/>
      <c r="N1118" s="74"/>
      <c r="O1118" s="59"/>
      <c r="P1118" s="59"/>
      <c r="Q1118" s="59"/>
      <c r="R1118" s="59"/>
      <c r="S1118" s="59"/>
      <c r="T1118" s="59"/>
      <c r="U1118" s="59"/>
      <c r="V1118" s="59"/>
      <c r="W1118" s="59"/>
      <c r="X1118" s="59"/>
      <c r="Y1118" s="59"/>
      <c r="Z1118" s="59"/>
    </row>
    <row r="1119" ht="30.0" customHeight="1">
      <c r="A1119" s="68"/>
      <c r="B1119" s="68">
        <v>1133.0</v>
      </c>
      <c r="C1119" s="68"/>
      <c r="D1119" s="69" t="str">
        <f>CONCATENATE(PROPER('BIÑAN INFO'!$G1119),", ",PROPER('BIÑAN INFO'!$E1119)," ",PROPER('BIÑAN INFO'!$F1119),"."," (",UPPER('BIÑAN INFO'!$H1119),")")</f>
        <v>,  . ()</v>
      </c>
      <c r="E1119" s="70"/>
      <c r="F1119" s="70"/>
      <c r="G1119" s="70"/>
      <c r="H1119" s="69"/>
      <c r="I1119" s="71">
        <v>0.12</v>
      </c>
      <c r="J1119" s="72">
        <v>1000.0</v>
      </c>
      <c r="K1119" s="73"/>
      <c r="L1119" s="73"/>
      <c r="M1119" s="73"/>
      <c r="N1119" s="74"/>
      <c r="O1119" s="59"/>
      <c r="P1119" s="59"/>
      <c r="Q1119" s="59"/>
      <c r="R1119" s="59"/>
      <c r="S1119" s="59"/>
      <c r="T1119" s="59"/>
      <c r="U1119" s="59"/>
      <c r="V1119" s="59"/>
      <c r="W1119" s="59"/>
      <c r="X1119" s="59"/>
      <c r="Y1119" s="59"/>
      <c r="Z1119" s="59"/>
    </row>
    <row r="1120" ht="30.0" customHeight="1">
      <c r="A1120" s="68"/>
      <c r="B1120" s="68">
        <v>1134.0</v>
      </c>
      <c r="C1120" s="68"/>
      <c r="D1120" s="69" t="str">
        <f>CONCATENATE(PROPER('BIÑAN INFO'!$G1120),", ",PROPER('BIÑAN INFO'!$E1120)," ",PROPER('BIÑAN INFO'!$F1120),"."," (",UPPER('BIÑAN INFO'!$H1120),")")</f>
        <v>,  . ()</v>
      </c>
      <c r="E1120" s="70"/>
      <c r="F1120" s="70"/>
      <c r="G1120" s="70"/>
      <c r="H1120" s="69"/>
      <c r="I1120" s="71">
        <v>0.12</v>
      </c>
      <c r="J1120" s="72">
        <v>1000.0</v>
      </c>
      <c r="K1120" s="73"/>
      <c r="L1120" s="73"/>
      <c r="M1120" s="73"/>
      <c r="N1120" s="74"/>
      <c r="O1120" s="59"/>
      <c r="P1120" s="59"/>
      <c r="Q1120" s="59"/>
      <c r="R1120" s="59"/>
      <c r="S1120" s="59"/>
      <c r="T1120" s="59"/>
      <c r="U1120" s="59"/>
      <c r="V1120" s="59"/>
      <c r="W1120" s="59"/>
      <c r="X1120" s="59"/>
      <c r="Y1120" s="59"/>
      <c r="Z1120" s="59"/>
    </row>
    <row r="1121" ht="30.0" customHeight="1">
      <c r="A1121" s="68"/>
      <c r="B1121" s="68">
        <v>1135.0</v>
      </c>
      <c r="C1121" s="68"/>
      <c r="D1121" s="69" t="str">
        <f>CONCATENATE(PROPER('BIÑAN INFO'!$G1121),", ",PROPER('BIÑAN INFO'!$E1121)," ",PROPER('BIÑAN INFO'!$F1121),"."," (",UPPER('BIÑAN INFO'!$H1121),")")</f>
        <v>,  . ()</v>
      </c>
      <c r="E1121" s="70"/>
      <c r="F1121" s="70"/>
      <c r="G1121" s="70"/>
      <c r="H1121" s="69"/>
      <c r="I1121" s="71">
        <v>0.12</v>
      </c>
      <c r="J1121" s="72">
        <v>1000.0</v>
      </c>
      <c r="K1121" s="73"/>
      <c r="L1121" s="73"/>
      <c r="M1121" s="73"/>
      <c r="N1121" s="74"/>
      <c r="O1121" s="59"/>
      <c r="P1121" s="59"/>
      <c r="Q1121" s="59"/>
      <c r="R1121" s="59"/>
      <c r="S1121" s="59"/>
      <c r="T1121" s="59"/>
      <c r="U1121" s="59"/>
      <c r="V1121" s="59"/>
      <c r="W1121" s="59"/>
      <c r="X1121" s="59"/>
      <c r="Y1121" s="59"/>
      <c r="Z1121" s="59"/>
    </row>
    <row r="1122" ht="30.0" customHeight="1">
      <c r="A1122" s="68"/>
      <c r="B1122" s="68">
        <v>1136.0</v>
      </c>
      <c r="C1122" s="68"/>
      <c r="D1122" s="69" t="str">
        <f>CONCATENATE(PROPER('BIÑAN INFO'!$G1122),", ",PROPER('BIÑAN INFO'!$E1122)," ",PROPER('BIÑAN INFO'!$F1122),"."," (",UPPER('BIÑAN INFO'!$H1122),")")</f>
        <v>Chavez, Rizalin A. ()</v>
      </c>
      <c r="E1122" s="70" t="s">
        <v>557</v>
      </c>
      <c r="F1122" s="70" t="s">
        <v>427</v>
      </c>
      <c r="G1122" s="70" t="s">
        <v>179</v>
      </c>
      <c r="H1122" s="69"/>
      <c r="I1122" s="71">
        <v>0.05</v>
      </c>
      <c r="J1122" s="72">
        <v>1000.0</v>
      </c>
      <c r="K1122" s="73" t="s">
        <v>558</v>
      </c>
      <c r="L1122" s="73"/>
      <c r="M1122" s="73"/>
      <c r="N1122" s="74"/>
      <c r="O1122" s="59"/>
      <c r="P1122" s="59"/>
      <c r="Q1122" s="59"/>
      <c r="R1122" s="59"/>
      <c r="S1122" s="59"/>
      <c r="T1122" s="59"/>
      <c r="U1122" s="59"/>
      <c r="V1122" s="59"/>
      <c r="W1122" s="59"/>
      <c r="X1122" s="59"/>
      <c r="Y1122" s="59"/>
      <c r="Z1122" s="59"/>
    </row>
    <row r="1123" ht="30.0" customHeight="1">
      <c r="A1123" s="68"/>
      <c r="B1123" s="68">
        <v>1137.0</v>
      </c>
      <c r="C1123" s="68"/>
      <c r="D1123" s="69" t="str">
        <f>CONCATENATE(PROPER('BIÑAN INFO'!$G1123),", ",PROPER('BIÑAN INFO'!$E1123)," ",PROPER('BIÑAN INFO'!$F1123),"."," (",UPPER('BIÑAN INFO'!$H1123),")")</f>
        <v>,  . ()</v>
      </c>
      <c r="E1123" s="70"/>
      <c r="F1123" s="69"/>
      <c r="G1123" s="70"/>
      <c r="H1123" s="69"/>
      <c r="I1123" s="71">
        <v>0.12</v>
      </c>
      <c r="J1123" s="72">
        <v>1000.0</v>
      </c>
      <c r="K1123" s="73"/>
      <c r="L1123" s="73"/>
      <c r="M1123" s="73"/>
      <c r="N1123" s="74"/>
      <c r="O1123" s="59"/>
      <c r="P1123" s="59"/>
      <c r="Q1123" s="59"/>
      <c r="R1123" s="59"/>
      <c r="S1123" s="59"/>
      <c r="T1123" s="59"/>
      <c r="U1123" s="59"/>
      <c r="V1123" s="59"/>
      <c r="W1123" s="59"/>
      <c r="X1123" s="59"/>
      <c r="Y1123" s="59"/>
      <c r="Z1123" s="59"/>
    </row>
    <row r="1124" ht="30.0" customHeight="1">
      <c r="A1124" s="68"/>
      <c r="B1124" s="68">
        <v>1138.0</v>
      </c>
      <c r="C1124" s="68"/>
      <c r="D1124" s="69" t="str">
        <f>CONCATENATE(PROPER('BIÑAN INFO'!$G1124),", ",PROPER('BIÑAN INFO'!$E1124)," ",PROPER('BIÑAN INFO'!$F1124),"."," (",UPPER('BIÑAN INFO'!$H1124),")")</f>
        <v>Rubia, Marino E. ()</v>
      </c>
      <c r="E1124" s="70" t="s">
        <v>559</v>
      </c>
      <c r="F1124" s="69" t="s">
        <v>299</v>
      </c>
      <c r="G1124" s="70" t="s">
        <v>560</v>
      </c>
      <c r="H1124" s="69"/>
      <c r="I1124" s="71">
        <v>0.05</v>
      </c>
      <c r="J1124" s="72">
        <v>1000.0</v>
      </c>
      <c r="K1124" s="73" t="s">
        <v>558</v>
      </c>
      <c r="L1124" s="73"/>
      <c r="M1124" s="73"/>
      <c r="N1124" s="74"/>
      <c r="O1124" s="59"/>
      <c r="P1124" s="59"/>
      <c r="Q1124" s="59"/>
      <c r="R1124" s="59"/>
      <c r="S1124" s="59"/>
      <c r="T1124" s="59"/>
      <c r="U1124" s="59"/>
      <c r="V1124" s="59"/>
      <c r="W1124" s="59"/>
      <c r="X1124" s="59"/>
      <c r="Y1124" s="59"/>
      <c r="Z1124" s="59"/>
    </row>
    <row r="1125" ht="30.0" customHeight="1">
      <c r="A1125" s="68"/>
      <c r="B1125" s="68">
        <v>1139.0</v>
      </c>
      <c r="C1125" s="68"/>
      <c r="D1125" s="69" t="str">
        <f>CONCATENATE(PROPER('BIÑAN INFO'!$G1125),", ",PROPER('BIÑAN INFO'!$E1125)," ",PROPER('BIÑAN INFO'!$F1125),"."," (",UPPER('BIÑAN INFO'!$H1125),")")</f>
        <v>,  . ()</v>
      </c>
      <c r="E1125" s="70"/>
      <c r="F1125" s="70"/>
      <c r="G1125" s="70"/>
      <c r="H1125" s="69"/>
      <c r="I1125" s="71">
        <v>0.12</v>
      </c>
      <c r="J1125" s="72">
        <v>1000.0</v>
      </c>
      <c r="K1125" s="73" t="s">
        <v>50</v>
      </c>
      <c r="L1125" s="73"/>
      <c r="M1125" s="73"/>
      <c r="N1125" s="74" t="s">
        <v>561</v>
      </c>
      <c r="O1125" s="59"/>
      <c r="P1125" s="59"/>
      <c r="Q1125" s="59"/>
      <c r="R1125" s="59"/>
      <c r="S1125" s="59"/>
      <c r="T1125" s="59"/>
      <c r="U1125" s="59"/>
      <c r="V1125" s="59"/>
      <c r="W1125" s="59"/>
      <c r="X1125" s="59"/>
      <c r="Y1125" s="59"/>
      <c r="Z1125" s="59"/>
    </row>
    <row r="1126" ht="30.0" customHeight="1">
      <c r="A1126" s="68"/>
      <c r="B1126" s="68">
        <v>1140.0</v>
      </c>
      <c r="C1126" s="68"/>
      <c r="D1126" s="69" t="str">
        <f>CONCATENATE(PROPER('BIÑAN INFO'!$G1126),", ",PROPER('BIÑAN INFO'!$E1126)," ",PROPER('BIÑAN INFO'!$F1126),"."," (",UPPER('BIÑAN INFO'!$H1126),")")</f>
        <v>Jao, Thelma . ()</v>
      </c>
      <c r="E1126" s="70" t="s">
        <v>542</v>
      </c>
      <c r="F1126" s="70"/>
      <c r="G1126" s="70" t="s">
        <v>562</v>
      </c>
      <c r="H1126" s="69"/>
      <c r="I1126" s="71">
        <v>0.05</v>
      </c>
      <c r="J1126" s="72">
        <v>1000.0</v>
      </c>
      <c r="K1126" s="73" t="s">
        <v>563</v>
      </c>
      <c r="L1126" s="73"/>
      <c r="M1126" s="73"/>
      <c r="N1126" s="74" t="s">
        <v>564</v>
      </c>
      <c r="O1126" s="59"/>
      <c r="P1126" s="59"/>
      <c r="Q1126" s="59"/>
      <c r="R1126" s="59"/>
      <c r="S1126" s="59"/>
      <c r="T1126" s="59"/>
      <c r="U1126" s="59"/>
      <c r="V1126" s="59"/>
      <c r="W1126" s="59"/>
      <c r="X1126" s="59"/>
      <c r="Y1126" s="59"/>
      <c r="Z1126" s="59"/>
    </row>
    <row r="1127" ht="30.0" customHeight="1">
      <c r="A1127" s="68"/>
      <c r="B1127" s="68">
        <v>1141.0</v>
      </c>
      <c r="C1127" s="68"/>
      <c r="D1127" s="69" t="str">
        <f>CONCATENATE(PROPER('BIÑAN INFO'!$G1127),", ",PROPER('BIÑAN INFO'!$E1127)," ",PROPER('BIÑAN INFO'!$F1127),"."," (",UPPER('BIÑAN INFO'!$H1127),")")</f>
        <v>Echallice, Maria Annabelle . ()</v>
      </c>
      <c r="E1127" s="70" t="s">
        <v>565</v>
      </c>
      <c r="F1127" s="70"/>
      <c r="G1127" s="70" t="s">
        <v>566</v>
      </c>
      <c r="H1127" s="69"/>
      <c r="I1127" s="71">
        <v>0.12</v>
      </c>
      <c r="J1127" s="72">
        <v>1000.0</v>
      </c>
      <c r="K1127" s="73"/>
      <c r="L1127" s="73"/>
      <c r="M1127" s="73"/>
      <c r="N1127" s="74"/>
      <c r="O1127" s="59"/>
      <c r="P1127" s="59"/>
      <c r="Q1127" s="59"/>
      <c r="R1127" s="59"/>
      <c r="S1127" s="59"/>
      <c r="T1127" s="59"/>
      <c r="U1127" s="59"/>
      <c r="V1127" s="59"/>
      <c r="W1127" s="59"/>
      <c r="X1127" s="59"/>
      <c r="Y1127" s="59"/>
      <c r="Z1127" s="59"/>
    </row>
    <row r="1128" ht="30.0" customHeight="1">
      <c r="A1128" s="68"/>
      <c r="B1128" s="68">
        <v>1142.0</v>
      </c>
      <c r="C1128" s="68"/>
      <c r="D1128" s="69" t="str">
        <f>CONCATENATE(PROPER('BIÑAN INFO'!$G1128),", ",PROPER('BIÑAN INFO'!$E1128)," ",PROPER('BIÑAN INFO'!$F1128),"."," (",UPPER('BIÑAN INFO'!$H1128),")")</f>
        <v>,  . ()</v>
      </c>
      <c r="E1128" s="70"/>
      <c r="F1128" s="70"/>
      <c r="G1128" s="70"/>
      <c r="H1128" s="69"/>
      <c r="I1128" s="71">
        <v>0.12</v>
      </c>
      <c r="J1128" s="72">
        <v>1000.0</v>
      </c>
      <c r="K1128" s="73"/>
      <c r="L1128" s="73"/>
      <c r="M1128" s="73"/>
      <c r="N1128" s="74"/>
      <c r="O1128" s="59"/>
      <c r="P1128" s="59"/>
      <c r="Q1128" s="59"/>
      <c r="R1128" s="59"/>
      <c r="S1128" s="59"/>
      <c r="T1128" s="59"/>
      <c r="U1128" s="59"/>
      <c r="V1128" s="59"/>
      <c r="W1128" s="59"/>
      <c r="X1128" s="59"/>
      <c r="Y1128" s="59"/>
      <c r="Z1128" s="59"/>
    </row>
    <row r="1129" ht="30.0" customHeight="1">
      <c r="A1129" s="68"/>
      <c r="B1129" s="68">
        <v>1143.0</v>
      </c>
      <c r="C1129" s="68"/>
      <c r="D1129" s="69" t="str">
        <f>CONCATENATE(PROPER('BIÑAN INFO'!$G1129),", ",PROPER('BIÑAN INFO'!$E1129)," ",PROPER('BIÑAN INFO'!$F1129),"."," (",UPPER('BIÑAN INFO'!$H1129),")")</f>
        <v>Excaro, Maredel . ()</v>
      </c>
      <c r="E1129" s="70" t="s">
        <v>554</v>
      </c>
      <c r="F1129" s="70"/>
      <c r="G1129" s="70" t="s">
        <v>567</v>
      </c>
      <c r="H1129" s="69"/>
      <c r="I1129" s="71">
        <v>0.05</v>
      </c>
      <c r="J1129" s="72">
        <v>1000.0</v>
      </c>
      <c r="K1129" s="73" t="s">
        <v>50</v>
      </c>
      <c r="L1129" s="73"/>
      <c r="M1129" s="73"/>
      <c r="N1129" s="74" t="s">
        <v>568</v>
      </c>
      <c r="O1129" s="59"/>
      <c r="P1129" s="59"/>
      <c r="Q1129" s="59"/>
      <c r="R1129" s="59"/>
      <c r="S1129" s="59"/>
      <c r="T1129" s="59"/>
      <c r="U1129" s="59"/>
      <c r="V1129" s="59"/>
      <c r="W1129" s="59"/>
      <c r="X1129" s="59"/>
      <c r="Y1129" s="59"/>
      <c r="Z1129" s="59"/>
    </row>
    <row r="1130" ht="30.0" customHeight="1">
      <c r="A1130" s="68"/>
      <c r="B1130" s="68">
        <v>1144.0</v>
      </c>
      <c r="C1130" s="68"/>
      <c r="D1130" s="69" t="str">
        <f>CONCATENATE(PROPER('BIÑAN INFO'!$G1130),", ",PROPER('BIÑAN INFO'!$E1130)," ",PROPER('BIÑAN INFO'!$F1130),"."," (",UPPER('BIÑAN INFO'!$H1130),")")</f>
        <v>,  . ()</v>
      </c>
      <c r="E1130" s="70"/>
      <c r="F1130" s="70"/>
      <c r="G1130" s="70"/>
      <c r="H1130" s="69"/>
      <c r="I1130" s="71">
        <v>0.12</v>
      </c>
      <c r="J1130" s="72">
        <v>1000.0</v>
      </c>
      <c r="K1130" s="73"/>
      <c r="L1130" s="73"/>
      <c r="M1130" s="73"/>
      <c r="N1130" s="74"/>
      <c r="O1130" s="59"/>
      <c r="P1130" s="59"/>
      <c r="Q1130" s="59"/>
      <c r="R1130" s="59"/>
      <c r="S1130" s="59"/>
      <c r="T1130" s="59"/>
      <c r="U1130" s="59"/>
      <c r="V1130" s="59"/>
      <c r="W1130" s="59"/>
      <c r="X1130" s="59"/>
      <c r="Y1130" s="59"/>
      <c r="Z1130" s="59"/>
    </row>
    <row r="1131" ht="30.0" customHeight="1">
      <c r="A1131" s="68"/>
      <c r="B1131" s="68">
        <v>1145.0</v>
      </c>
      <c r="C1131" s="68"/>
      <c r="D1131" s="69" t="str">
        <f>CONCATENATE(PROPER('BIÑAN INFO'!$G1131),", ",PROPER('BIÑAN INFO'!$E1131)," ",PROPER('BIÑAN INFO'!$F1131),"."," (",UPPER('BIÑAN INFO'!$H1131),")")</f>
        <v>Ferrer, Dave . ()</v>
      </c>
      <c r="E1131" s="70" t="s">
        <v>569</v>
      </c>
      <c r="F1131" s="70"/>
      <c r="G1131" s="70" t="s">
        <v>570</v>
      </c>
      <c r="H1131" s="69"/>
      <c r="I1131" s="71">
        <v>0.05</v>
      </c>
      <c r="J1131" s="72">
        <v>1000.0</v>
      </c>
      <c r="K1131" s="73" t="s">
        <v>571</v>
      </c>
      <c r="L1131" s="73"/>
      <c r="M1131" s="73"/>
      <c r="N1131" s="74"/>
      <c r="O1131" s="59"/>
      <c r="P1131" s="59"/>
      <c r="Q1131" s="59"/>
      <c r="R1131" s="59"/>
      <c r="S1131" s="59"/>
      <c r="T1131" s="59"/>
      <c r="U1131" s="59"/>
      <c r="V1131" s="59"/>
      <c r="W1131" s="59"/>
      <c r="X1131" s="59"/>
      <c r="Y1131" s="59"/>
      <c r="Z1131" s="59"/>
    </row>
    <row r="1132" ht="30.0" customHeight="1">
      <c r="A1132" s="68"/>
      <c r="B1132" s="68">
        <v>1146.0</v>
      </c>
      <c r="C1132" s="68"/>
      <c r="D1132" s="69" t="str">
        <f>CONCATENATE(PROPER('BIÑAN INFO'!$G1132),", ",PROPER('BIÑAN INFO'!$E1132)," ",PROPER('BIÑAN INFO'!$F1132),"."," (",UPPER('BIÑAN INFO'!$H1132),")")</f>
        <v>,  . ()</v>
      </c>
      <c r="E1132" s="70"/>
      <c r="F1132" s="70"/>
      <c r="G1132" s="70"/>
      <c r="H1132" s="69"/>
      <c r="I1132" s="71">
        <v>0.12</v>
      </c>
      <c r="J1132" s="72">
        <v>1000.0</v>
      </c>
      <c r="K1132" s="73"/>
      <c r="L1132" s="73"/>
      <c r="M1132" s="73"/>
      <c r="N1132" s="74"/>
      <c r="O1132" s="59"/>
      <c r="P1132" s="59"/>
      <c r="Q1132" s="59"/>
      <c r="R1132" s="59"/>
      <c r="S1132" s="59"/>
      <c r="T1132" s="59"/>
      <c r="U1132" s="59"/>
      <c r="V1132" s="59"/>
      <c r="W1132" s="59"/>
      <c r="X1132" s="59"/>
      <c r="Y1132" s="59"/>
      <c r="Z1132" s="59"/>
    </row>
    <row r="1133" ht="30.0" customHeight="1">
      <c r="A1133" s="68"/>
      <c r="B1133" s="68">
        <v>1147.0</v>
      </c>
      <c r="C1133" s="68"/>
      <c r="D1133" s="69" t="str">
        <f>CONCATENATE(PROPER('BIÑAN INFO'!$G1133),", ",PROPER('BIÑAN INFO'!$E1133)," ",PROPER('BIÑAN INFO'!$F1133),"."," (",UPPER('BIÑAN INFO'!$H1133),")")</f>
        <v>Alfonso, Danilo . ()</v>
      </c>
      <c r="E1133" s="70" t="s">
        <v>251</v>
      </c>
      <c r="F1133" s="70"/>
      <c r="G1133" s="70" t="s">
        <v>572</v>
      </c>
      <c r="H1133" s="69"/>
      <c r="I1133" s="71">
        <v>0.05</v>
      </c>
      <c r="J1133" s="72">
        <v>1000.0</v>
      </c>
      <c r="K1133" s="73" t="s">
        <v>50</v>
      </c>
      <c r="L1133" s="73"/>
      <c r="M1133" s="83">
        <v>43009.0</v>
      </c>
      <c r="N1133" s="74"/>
      <c r="O1133" s="59"/>
      <c r="P1133" s="59"/>
      <c r="Q1133" s="59"/>
      <c r="R1133" s="59"/>
      <c r="S1133" s="59"/>
      <c r="T1133" s="59"/>
      <c r="U1133" s="59"/>
      <c r="V1133" s="59"/>
      <c r="W1133" s="59"/>
      <c r="X1133" s="59"/>
      <c r="Y1133" s="59"/>
      <c r="Z1133" s="59"/>
    </row>
    <row r="1134" ht="30.0" customHeight="1">
      <c r="A1134" s="68"/>
      <c r="B1134" s="68">
        <v>1148.0</v>
      </c>
      <c r="C1134" s="68"/>
      <c r="D1134" s="69" t="str">
        <f>CONCATENATE(PROPER('BIÑAN INFO'!$G1134),", ",PROPER('BIÑAN INFO'!$E1134)," ",PROPER('BIÑAN INFO'!$F1134),"."," (",UPPER('BIÑAN INFO'!$H1134),")")</f>
        <v>,  . ()</v>
      </c>
      <c r="E1134" s="70"/>
      <c r="F1134" s="70"/>
      <c r="G1134" s="70"/>
      <c r="H1134" s="69"/>
      <c r="I1134" s="71">
        <v>0.12</v>
      </c>
      <c r="J1134" s="72">
        <v>1000.0</v>
      </c>
      <c r="K1134" s="73"/>
      <c r="L1134" s="73"/>
      <c r="M1134" s="73"/>
      <c r="N1134" s="74"/>
      <c r="O1134" s="59"/>
      <c r="P1134" s="59"/>
      <c r="Q1134" s="59"/>
      <c r="R1134" s="59"/>
      <c r="S1134" s="59"/>
      <c r="T1134" s="59"/>
      <c r="U1134" s="59"/>
      <c r="V1134" s="59"/>
      <c r="W1134" s="59"/>
      <c r="X1134" s="59"/>
      <c r="Y1134" s="59"/>
      <c r="Z1134" s="59"/>
    </row>
    <row r="1135" ht="30.0" customHeight="1">
      <c r="A1135" s="68"/>
      <c r="B1135" s="68">
        <v>1149.0</v>
      </c>
      <c r="C1135" s="68"/>
      <c r="D1135" s="69" t="str">
        <f>CONCATENATE(PROPER('BIÑAN INFO'!$G1135),", ",PROPER('BIÑAN INFO'!$E1135)," ",PROPER('BIÑAN INFO'!$F1135),"."," (",UPPER('BIÑAN INFO'!$H1135),")")</f>
        <v>,  . ()</v>
      </c>
      <c r="E1135" s="70"/>
      <c r="F1135" s="70"/>
      <c r="G1135" s="70"/>
      <c r="H1135" s="69"/>
      <c r="I1135" s="71">
        <v>0.12</v>
      </c>
      <c r="J1135" s="72">
        <v>1000.0</v>
      </c>
      <c r="K1135" s="73"/>
      <c r="L1135" s="73"/>
      <c r="M1135" s="73"/>
      <c r="N1135" s="74"/>
      <c r="O1135" s="59"/>
      <c r="P1135" s="59"/>
      <c r="Q1135" s="59"/>
      <c r="R1135" s="59"/>
      <c r="S1135" s="59"/>
      <c r="T1135" s="59"/>
      <c r="U1135" s="59"/>
      <c r="V1135" s="59"/>
      <c r="W1135" s="59"/>
      <c r="X1135" s="59"/>
      <c r="Y1135" s="59"/>
      <c r="Z1135" s="59"/>
    </row>
    <row r="1136" ht="30.0" customHeight="1">
      <c r="A1136" s="68"/>
      <c r="B1136" s="68">
        <v>1150.0</v>
      </c>
      <c r="C1136" s="68"/>
      <c r="D1136" s="69" t="str">
        <f>CONCATENATE(PROPER('BIÑAN INFO'!$G1136),", ",PROPER('BIÑAN INFO'!$E1136)," ",PROPER('BIÑAN INFO'!$F1136),"."," (",UPPER('BIÑAN INFO'!$H1136),")")</f>
        <v>,  . ()</v>
      </c>
      <c r="E1136" s="70"/>
      <c r="F1136" s="69"/>
      <c r="G1136" s="70"/>
      <c r="H1136" s="69"/>
      <c r="I1136" s="71">
        <v>0.12</v>
      </c>
      <c r="J1136" s="72">
        <v>1000.0</v>
      </c>
      <c r="K1136" s="73"/>
      <c r="L1136" s="73"/>
      <c r="M1136" s="73"/>
      <c r="N1136" s="74"/>
      <c r="O1136" s="59"/>
      <c r="P1136" s="59"/>
      <c r="Q1136" s="59"/>
      <c r="R1136" s="59"/>
      <c r="S1136" s="59"/>
      <c r="T1136" s="59"/>
      <c r="U1136" s="59"/>
      <c r="V1136" s="59"/>
      <c r="W1136" s="59"/>
      <c r="X1136" s="59"/>
      <c r="Y1136" s="59"/>
      <c r="Z1136" s="59"/>
    </row>
    <row r="1137" ht="30.0" customHeight="1">
      <c r="A1137" s="68"/>
      <c r="B1137" s="68">
        <v>1151.0</v>
      </c>
      <c r="C1137" s="68"/>
      <c r="D1137" s="69" t="str">
        <f>CONCATENATE(PROPER('BIÑAN INFO'!$G1137),", ",PROPER('BIÑAN INFO'!$E1137)," ",PROPER('BIÑAN INFO'!$F1137),"."," (",UPPER('BIÑAN INFO'!$H1137),")")</f>
        <v>,  . ()</v>
      </c>
      <c r="E1137" s="70"/>
      <c r="F1137" s="69"/>
      <c r="G1137" s="70"/>
      <c r="H1137" s="69"/>
      <c r="I1137" s="71">
        <v>0.12</v>
      </c>
      <c r="J1137" s="72">
        <v>1000.0</v>
      </c>
      <c r="K1137" s="73"/>
      <c r="L1137" s="73"/>
      <c r="M1137" s="73"/>
      <c r="N1137" s="74"/>
      <c r="O1137" s="59"/>
      <c r="P1137" s="59"/>
      <c r="Q1137" s="59"/>
      <c r="R1137" s="59"/>
      <c r="S1137" s="59"/>
      <c r="T1137" s="59"/>
      <c r="U1137" s="59"/>
      <c r="V1137" s="59"/>
      <c r="W1137" s="59"/>
      <c r="X1137" s="59"/>
      <c r="Y1137" s="59"/>
      <c r="Z1137" s="59"/>
    </row>
    <row r="1138" ht="30.0" customHeight="1">
      <c r="A1138" s="68"/>
      <c r="B1138" s="68">
        <v>1152.0</v>
      </c>
      <c r="C1138" s="68"/>
      <c r="D1138" s="69" t="str">
        <f>CONCATENATE(PROPER('BIÑAN INFO'!$G1138),", ",PROPER('BIÑAN INFO'!$E1138)," ",PROPER('BIÑAN INFO'!$F1138),"."," (",UPPER('BIÑAN INFO'!$H1138),")")</f>
        <v>,  . ()</v>
      </c>
      <c r="E1138" s="70"/>
      <c r="F1138" s="69"/>
      <c r="G1138" s="70"/>
      <c r="H1138" s="69"/>
      <c r="I1138" s="71">
        <v>0.12</v>
      </c>
      <c r="J1138" s="72">
        <v>1000.0</v>
      </c>
      <c r="K1138" s="73"/>
      <c r="L1138" s="73"/>
      <c r="M1138" s="73"/>
      <c r="N1138" s="74"/>
      <c r="O1138" s="59"/>
      <c r="P1138" s="59"/>
      <c r="Q1138" s="59"/>
      <c r="R1138" s="59"/>
      <c r="S1138" s="59"/>
      <c r="T1138" s="59"/>
      <c r="U1138" s="59"/>
      <c r="V1138" s="59"/>
      <c r="W1138" s="59"/>
      <c r="X1138" s="59"/>
      <c r="Y1138" s="59"/>
      <c r="Z1138" s="59"/>
    </row>
    <row r="1139" ht="30.0" customHeight="1">
      <c r="A1139" s="68"/>
      <c r="B1139" s="68">
        <v>1153.0</v>
      </c>
      <c r="C1139" s="68"/>
      <c r="D1139" s="69" t="str">
        <f>CONCATENATE(PROPER('BIÑAN INFO'!$G1139),", ",PROPER('BIÑAN INFO'!$E1139)," ",PROPER('BIÑAN INFO'!$F1139),"."," (",UPPER('BIÑAN INFO'!$H1139),")")</f>
        <v>,  . ()</v>
      </c>
      <c r="E1139" s="70"/>
      <c r="F1139" s="69"/>
      <c r="G1139" s="70"/>
      <c r="H1139" s="69"/>
      <c r="I1139" s="71">
        <v>0.12</v>
      </c>
      <c r="J1139" s="72">
        <v>1000.0</v>
      </c>
      <c r="K1139" s="73"/>
      <c r="L1139" s="73"/>
      <c r="M1139" s="73"/>
      <c r="N1139" s="74"/>
      <c r="O1139" s="59"/>
      <c r="P1139" s="59"/>
      <c r="Q1139" s="59"/>
      <c r="R1139" s="59"/>
      <c r="S1139" s="59"/>
      <c r="T1139" s="59"/>
      <c r="U1139" s="59"/>
      <c r="V1139" s="59"/>
      <c r="W1139" s="59"/>
      <c r="X1139" s="59"/>
      <c r="Y1139" s="59"/>
      <c r="Z1139" s="59"/>
    </row>
    <row r="1140" ht="30.0" customHeight="1">
      <c r="A1140" s="68"/>
      <c r="B1140" s="68">
        <v>1154.0</v>
      </c>
      <c r="C1140" s="68"/>
      <c r="D1140" s="69" t="str">
        <f>CONCATENATE(PROPER('BIÑAN INFO'!$G1140),", ",PROPER('BIÑAN INFO'!$E1140)," ",PROPER('BIÑAN INFO'!$F1140),"."," (",UPPER('BIÑAN INFO'!$H1140),")")</f>
        <v>Batul, Ronald . ()</v>
      </c>
      <c r="E1140" s="70" t="s">
        <v>573</v>
      </c>
      <c r="F1140" s="69"/>
      <c r="G1140" s="70" t="s">
        <v>574</v>
      </c>
      <c r="H1140" s="69"/>
      <c r="I1140" s="71">
        <v>0.05</v>
      </c>
      <c r="J1140" s="72">
        <v>1000.0</v>
      </c>
      <c r="K1140" s="73"/>
      <c r="L1140" s="73"/>
      <c r="M1140" s="73"/>
      <c r="N1140" s="84" t="s">
        <v>575</v>
      </c>
      <c r="O1140" s="59"/>
      <c r="P1140" s="59"/>
      <c r="Q1140" s="59"/>
      <c r="R1140" s="59"/>
      <c r="S1140" s="59"/>
      <c r="T1140" s="59"/>
      <c r="U1140" s="59"/>
      <c r="V1140" s="59"/>
      <c r="W1140" s="59"/>
      <c r="X1140" s="59"/>
      <c r="Y1140" s="59"/>
      <c r="Z1140" s="59"/>
    </row>
    <row r="1141" ht="30.0" customHeight="1">
      <c r="A1141" s="68"/>
      <c r="B1141" s="68">
        <v>1155.0</v>
      </c>
      <c r="C1141" s="68"/>
      <c r="D1141" s="69" t="str">
        <f>CONCATENATE(PROPER('BIÑAN INFO'!$G1141),", ",PROPER('BIÑAN INFO'!$E1141)," ",PROPER('BIÑAN INFO'!$F1141),"."," (",UPPER('BIÑAN INFO'!$H1141),")")</f>
        <v>Ollero, Ofelia . ()</v>
      </c>
      <c r="E1141" s="70" t="s">
        <v>576</v>
      </c>
      <c r="F1141" s="69"/>
      <c r="G1141" s="70" t="s">
        <v>577</v>
      </c>
      <c r="H1141" s="69"/>
      <c r="I1141" s="71">
        <v>0.12</v>
      </c>
      <c r="J1141" s="72">
        <v>1000.0</v>
      </c>
      <c r="K1141" s="73"/>
      <c r="L1141" s="73"/>
      <c r="M1141" s="73"/>
      <c r="N1141" s="74"/>
      <c r="O1141" s="59"/>
      <c r="P1141" s="59"/>
      <c r="Q1141" s="59"/>
      <c r="R1141" s="59"/>
      <c r="S1141" s="59"/>
      <c r="T1141" s="59"/>
      <c r="U1141" s="59"/>
      <c r="V1141" s="59"/>
      <c r="W1141" s="59"/>
      <c r="X1141" s="59"/>
      <c r="Y1141" s="59"/>
      <c r="Z1141" s="59"/>
    </row>
    <row r="1142" ht="30.0" customHeight="1">
      <c r="A1142" s="68"/>
      <c r="B1142" s="68">
        <v>1156.0</v>
      </c>
      <c r="C1142" s="68"/>
      <c r="D1142" s="69" t="str">
        <f>CONCATENATE(PROPER('BIÑAN INFO'!$G1142),", ",PROPER('BIÑAN INFO'!$E1142)," ",PROPER('BIÑAN INFO'!$F1142),"."," (",UPPER('BIÑAN INFO'!$H1142),")")</f>
        <v>Maicon, Antonio . ()</v>
      </c>
      <c r="E1142" s="70" t="s">
        <v>76</v>
      </c>
      <c r="F1142" s="70"/>
      <c r="G1142" s="70" t="s">
        <v>578</v>
      </c>
      <c r="H1142" s="70"/>
      <c r="I1142" s="71">
        <v>0.12</v>
      </c>
      <c r="J1142" s="72">
        <v>1000.0</v>
      </c>
      <c r="K1142" s="73"/>
      <c r="L1142" s="73"/>
      <c r="M1142" s="73"/>
      <c r="N1142" s="74"/>
      <c r="O1142" s="59"/>
      <c r="P1142" s="59"/>
      <c r="Q1142" s="59"/>
      <c r="R1142" s="59"/>
      <c r="S1142" s="59"/>
      <c r="T1142" s="59"/>
      <c r="U1142" s="59"/>
      <c r="V1142" s="59"/>
      <c r="W1142" s="59"/>
      <c r="X1142" s="59"/>
      <c r="Y1142" s="59"/>
      <c r="Z1142" s="59"/>
    </row>
    <row r="1143" ht="30.0" customHeight="1">
      <c r="A1143" s="68"/>
      <c r="B1143" s="68">
        <v>1157.0</v>
      </c>
      <c r="C1143" s="68"/>
      <c r="D1143" s="69" t="str">
        <f>CONCATENATE(PROPER('BIÑAN INFO'!$G1143),", ",PROPER('BIÑAN INFO'!$E1143)," ",PROPER('BIÑAN INFO'!$F1143),"."," (",UPPER('BIÑAN INFO'!$H1143),")")</f>
        <v>,  . ()</v>
      </c>
      <c r="E1143" s="70"/>
      <c r="F1143" s="69"/>
      <c r="G1143" s="70"/>
      <c r="H1143" s="69"/>
      <c r="I1143" s="71">
        <v>0.12</v>
      </c>
      <c r="J1143" s="72">
        <v>1000.0</v>
      </c>
      <c r="K1143" s="73"/>
      <c r="L1143" s="73"/>
      <c r="M1143" s="73"/>
      <c r="N1143" s="74"/>
      <c r="O1143" s="59"/>
      <c r="P1143" s="59"/>
      <c r="Q1143" s="59"/>
      <c r="R1143" s="59"/>
      <c r="S1143" s="59"/>
      <c r="T1143" s="59"/>
      <c r="U1143" s="59"/>
      <c r="V1143" s="59"/>
      <c r="W1143" s="59"/>
      <c r="X1143" s="59"/>
      <c r="Y1143" s="59"/>
      <c r="Z1143" s="59"/>
    </row>
    <row r="1144" ht="30.0" customHeight="1">
      <c r="A1144" s="68"/>
      <c r="B1144" s="68">
        <v>1158.0</v>
      </c>
      <c r="C1144" s="68"/>
      <c r="D1144" s="69" t="str">
        <f>CONCATENATE(PROPER('BIÑAN INFO'!$G1144),", ",PROPER('BIÑAN INFO'!$E1144)," ",PROPER('BIÑAN INFO'!$F1144),"."," (",UPPER('BIÑAN INFO'!$H1144),")")</f>
        <v>Jaum, Rhodora . ()</v>
      </c>
      <c r="E1144" s="70" t="s">
        <v>579</v>
      </c>
      <c r="F1144" s="69"/>
      <c r="G1144" s="70" t="s">
        <v>580</v>
      </c>
      <c r="H1144" s="69"/>
      <c r="I1144" s="71">
        <v>0.05</v>
      </c>
      <c r="J1144" s="72">
        <v>1000.0</v>
      </c>
      <c r="K1144" s="73" t="s">
        <v>50</v>
      </c>
      <c r="L1144" s="73" t="s">
        <v>106</v>
      </c>
      <c r="M1144" s="73"/>
      <c r="N1144" s="74" t="s">
        <v>581</v>
      </c>
      <c r="O1144" s="59"/>
      <c r="P1144" s="59"/>
      <c r="Q1144" s="59"/>
      <c r="R1144" s="59"/>
      <c r="S1144" s="59"/>
      <c r="T1144" s="59"/>
      <c r="U1144" s="59"/>
      <c r="V1144" s="59"/>
      <c r="W1144" s="59"/>
      <c r="X1144" s="59"/>
      <c r="Y1144" s="59"/>
      <c r="Z1144" s="59"/>
    </row>
    <row r="1145" ht="30.0" customHeight="1">
      <c r="A1145" s="68"/>
      <c r="B1145" s="68">
        <v>1159.0</v>
      </c>
      <c r="C1145" s="68"/>
      <c r="D1145" s="69" t="str">
        <f>CONCATENATE(PROPER('BIÑAN INFO'!$G1145),", ",PROPER('BIÑAN INFO'!$E1145)," ",PROPER('BIÑAN INFO'!$F1145),"."," (",UPPER('BIÑAN INFO'!$H1145),")")</f>
        <v>,  . ()</v>
      </c>
      <c r="E1145" s="70"/>
      <c r="F1145" s="70"/>
      <c r="G1145" s="70"/>
      <c r="H1145" s="69"/>
      <c r="I1145" s="71">
        <v>0.12</v>
      </c>
      <c r="J1145" s="72">
        <v>1000.0</v>
      </c>
      <c r="K1145" s="73"/>
      <c r="L1145" s="73"/>
      <c r="M1145" s="73"/>
      <c r="N1145" s="74"/>
      <c r="O1145" s="59"/>
      <c r="P1145" s="59"/>
      <c r="Q1145" s="59"/>
      <c r="R1145" s="59"/>
      <c r="S1145" s="59"/>
      <c r="T1145" s="59"/>
      <c r="U1145" s="59"/>
      <c r="V1145" s="59"/>
      <c r="W1145" s="59"/>
      <c r="X1145" s="59"/>
      <c r="Y1145" s="59"/>
      <c r="Z1145" s="59"/>
    </row>
    <row r="1146" ht="30.0" customHeight="1">
      <c r="A1146" s="68"/>
      <c r="B1146" s="68">
        <v>1160.0</v>
      </c>
      <c r="C1146" s="68"/>
      <c r="D1146" s="69" t="str">
        <f>CONCATENATE(PROPER('BIÑAN INFO'!$G1146),", ",PROPER('BIÑAN INFO'!$E1146)," ",PROPER('BIÑAN INFO'!$F1146),"."," (",UPPER('BIÑAN INFO'!$H1146),")")</f>
        <v>,  . ()</v>
      </c>
      <c r="E1146" s="70"/>
      <c r="F1146" s="70"/>
      <c r="G1146" s="70"/>
      <c r="H1146" s="69"/>
      <c r="I1146" s="71">
        <v>0.12</v>
      </c>
      <c r="J1146" s="72">
        <v>1000.0</v>
      </c>
      <c r="K1146" s="73"/>
      <c r="L1146" s="73"/>
      <c r="M1146" s="73"/>
      <c r="N1146" s="74"/>
      <c r="O1146" s="59"/>
      <c r="P1146" s="59"/>
      <c r="Q1146" s="59"/>
      <c r="R1146" s="59"/>
      <c r="S1146" s="59"/>
      <c r="T1146" s="59"/>
      <c r="U1146" s="59"/>
      <c r="V1146" s="59"/>
      <c r="W1146" s="59"/>
      <c r="X1146" s="59"/>
      <c r="Y1146" s="59"/>
      <c r="Z1146" s="59"/>
    </row>
    <row r="1147" ht="30.0" customHeight="1">
      <c r="A1147" s="68"/>
      <c r="B1147" s="68">
        <v>1161.0</v>
      </c>
      <c r="C1147" s="68"/>
      <c r="D1147" s="69" t="str">
        <f>CONCATENATE(PROPER('BIÑAN INFO'!$G1147),", ",PROPER('BIÑAN INFO'!$E1147)," ",PROPER('BIÑAN INFO'!$F1147),"."," (",UPPER('BIÑAN INFO'!$H1147),")")</f>
        <v>Gravito, Margie . ()</v>
      </c>
      <c r="E1147" s="70" t="s">
        <v>582</v>
      </c>
      <c r="F1147" s="70"/>
      <c r="G1147" s="70" t="s">
        <v>583</v>
      </c>
      <c r="H1147" s="69"/>
      <c r="I1147" s="71">
        <v>0.05</v>
      </c>
      <c r="J1147" s="72">
        <v>1000.0</v>
      </c>
      <c r="K1147" s="73" t="s">
        <v>50</v>
      </c>
      <c r="L1147" s="85">
        <v>42918.0</v>
      </c>
      <c r="M1147" s="73"/>
      <c r="N1147" s="74"/>
      <c r="O1147" s="59"/>
      <c r="P1147" s="59"/>
      <c r="Q1147" s="59"/>
      <c r="R1147" s="59"/>
      <c r="S1147" s="59"/>
      <c r="T1147" s="59"/>
      <c r="U1147" s="59"/>
      <c r="V1147" s="59"/>
      <c r="W1147" s="59"/>
      <c r="X1147" s="59"/>
      <c r="Y1147" s="59"/>
      <c r="Z1147" s="59"/>
    </row>
    <row r="1148" ht="30.0" customHeight="1">
      <c r="A1148" s="68"/>
      <c r="B1148" s="68">
        <v>1162.0</v>
      </c>
      <c r="C1148" s="68"/>
      <c r="D1148" s="69" t="str">
        <f>CONCATENATE(PROPER('BIÑAN INFO'!$G1148),", ",PROPER('BIÑAN INFO'!$E1148)," ",PROPER('BIÑAN INFO'!$F1148),"."," (",UPPER('BIÑAN INFO'!$H1148),")")</f>
        <v>,  . ()</v>
      </c>
      <c r="E1148" s="70"/>
      <c r="F1148" s="70"/>
      <c r="G1148" s="70"/>
      <c r="H1148" s="69"/>
      <c r="I1148" s="71">
        <v>0.12</v>
      </c>
      <c r="J1148" s="72">
        <v>1000.0</v>
      </c>
      <c r="K1148" s="73"/>
      <c r="L1148" s="73"/>
      <c r="M1148" s="73"/>
      <c r="N1148" s="74"/>
      <c r="O1148" s="59"/>
      <c r="P1148" s="59"/>
      <c r="Q1148" s="59"/>
      <c r="R1148" s="59"/>
      <c r="S1148" s="59"/>
      <c r="T1148" s="59"/>
      <c r="U1148" s="59"/>
      <c r="V1148" s="59"/>
      <c r="W1148" s="59"/>
      <c r="X1148" s="59"/>
      <c r="Y1148" s="59"/>
      <c r="Z1148" s="59"/>
    </row>
    <row r="1149" ht="30.0" customHeight="1">
      <c r="A1149" s="68"/>
      <c r="B1149" s="68">
        <v>1163.0</v>
      </c>
      <c r="C1149" s="68"/>
      <c r="D1149" s="69" t="str">
        <f>CONCATENATE(PROPER('BIÑAN INFO'!$G1149),", ",PROPER('BIÑAN INFO'!$E1149)," ",PROPER('BIÑAN INFO'!$F1149),"."," (",UPPER('BIÑAN INFO'!$H1149),")")</f>
        <v>Castell, Maria Cecilia . ()</v>
      </c>
      <c r="E1149" s="70" t="s">
        <v>584</v>
      </c>
      <c r="F1149" s="70"/>
      <c r="G1149" s="70" t="s">
        <v>585</v>
      </c>
      <c r="H1149" s="69"/>
      <c r="I1149" s="71">
        <v>0.12</v>
      </c>
      <c r="J1149" s="72">
        <v>1000.0</v>
      </c>
      <c r="K1149" s="73"/>
      <c r="L1149" s="73"/>
      <c r="M1149" s="73"/>
      <c r="N1149" s="74"/>
      <c r="O1149" s="59"/>
      <c r="P1149" s="59"/>
      <c r="Q1149" s="59"/>
      <c r="R1149" s="59"/>
      <c r="S1149" s="59"/>
      <c r="T1149" s="59"/>
      <c r="U1149" s="59"/>
      <c r="V1149" s="59"/>
      <c r="W1149" s="59"/>
      <c r="X1149" s="59"/>
      <c r="Y1149" s="59"/>
      <c r="Z1149" s="59"/>
    </row>
    <row r="1150" ht="30.0" customHeight="1">
      <c r="A1150" s="68"/>
      <c r="B1150" s="68">
        <v>1164.0</v>
      </c>
      <c r="C1150" s="68"/>
      <c r="D1150" s="69" t="str">
        <f>CONCATENATE(PROPER('BIÑAN INFO'!$G1150),", ",PROPER('BIÑAN INFO'!$E1150)," ",PROPER('BIÑAN INFO'!$F1150),"."," (",UPPER('BIÑAN INFO'!$H1150),")")</f>
        <v>,  . ()</v>
      </c>
      <c r="E1150" s="70"/>
      <c r="F1150" s="70"/>
      <c r="G1150" s="70"/>
      <c r="H1150" s="69"/>
      <c r="I1150" s="71">
        <v>0.12</v>
      </c>
      <c r="J1150" s="72">
        <v>1000.0</v>
      </c>
      <c r="K1150" s="73"/>
      <c r="L1150" s="73"/>
      <c r="M1150" s="73"/>
      <c r="N1150" s="74"/>
      <c r="O1150" s="59"/>
      <c r="P1150" s="59"/>
      <c r="Q1150" s="59"/>
      <c r="R1150" s="59"/>
      <c r="S1150" s="59"/>
      <c r="T1150" s="59"/>
      <c r="U1150" s="59"/>
      <c r="V1150" s="59"/>
      <c r="W1150" s="59"/>
      <c r="X1150" s="59"/>
      <c r="Y1150" s="59"/>
      <c r="Z1150" s="59"/>
    </row>
    <row r="1151" ht="30.0" customHeight="1">
      <c r="A1151" s="68"/>
      <c r="B1151" s="68">
        <v>1165.0</v>
      </c>
      <c r="C1151" s="68"/>
      <c r="D1151" s="69" t="str">
        <f>CONCATENATE(PROPER('BIÑAN INFO'!$G1151),", ",PROPER('BIÑAN INFO'!$E1151)," ",PROPER('BIÑAN INFO'!$F1151),"."," (",UPPER('BIÑAN INFO'!$H1151),")")</f>
        <v>,  . ()</v>
      </c>
      <c r="E1151" s="70"/>
      <c r="F1151" s="70"/>
      <c r="G1151" s="70"/>
      <c r="H1151" s="69"/>
      <c r="I1151" s="71">
        <v>0.12</v>
      </c>
      <c r="J1151" s="72">
        <v>1000.0</v>
      </c>
      <c r="K1151" s="73"/>
      <c r="L1151" s="73"/>
      <c r="M1151" s="73"/>
      <c r="N1151" s="74"/>
      <c r="O1151" s="59"/>
      <c r="P1151" s="59"/>
      <c r="Q1151" s="59"/>
      <c r="R1151" s="59"/>
      <c r="S1151" s="59"/>
      <c r="T1151" s="59"/>
      <c r="U1151" s="59"/>
      <c r="V1151" s="59"/>
      <c r="W1151" s="59"/>
      <c r="X1151" s="59"/>
      <c r="Y1151" s="59"/>
      <c r="Z1151" s="59"/>
    </row>
    <row r="1152" ht="30.0" customHeight="1">
      <c r="A1152" s="68"/>
      <c r="B1152" s="68">
        <v>1166.0</v>
      </c>
      <c r="C1152" s="68"/>
      <c r="D1152" s="69" t="str">
        <f>CONCATENATE(PROPER('BIÑAN INFO'!$G1152),", ",PROPER('BIÑAN INFO'!$E1152)," ",PROPER('BIÑAN INFO'!$F1152),"."," (",UPPER('BIÑAN INFO'!$H1152),")")</f>
        <v>Barba, Myrna M. ()</v>
      </c>
      <c r="E1152" s="70" t="s">
        <v>586</v>
      </c>
      <c r="F1152" s="70" t="s">
        <v>587</v>
      </c>
      <c r="G1152" s="70" t="s">
        <v>588</v>
      </c>
      <c r="H1152" s="69"/>
      <c r="I1152" s="71">
        <v>0.05</v>
      </c>
      <c r="J1152" s="72">
        <v>1000.0</v>
      </c>
      <c r="K1152" s="73" t="s">
        <v>571</v>
      </c>
      <c r="L1152" s="73"/>
      <c r="M1152" s="73"/>
      <c r="N1152" s="74"/>
      <c r="O1152" s="59"/>
      <c r="P1152" s="59"/>
      <c r="Q1152" s="59"/>
      <c r="R1152" s="59"/>
      <c r="S1152" s="59"/>
      <c r="T1152" s="59"/>
      <c r="U1152" s="59"/>
      <c r="V1152" s="59"/>
      <c r="W1152" s="59"/>
      <c r="X1152" s="59"/>
      <c r="Y1152" s="59"/>
      <c r="Z1152" s="59"/>
    </row>
    <row r="1153" ht="30.0" customHeight="1">
      <c r="A1153" s="68"/>
      <c r="B1153" s="68">
        <v>1167.0</v>
      </c>
      <c r="C1153" s="68"/>
      <c r="D1153" s="69" t="str">
        <f>CONCATENATE(PROPER('BIÑAN INFO'!$G1153),", ",PROPER('BIÑAN INFO'!$E1153)," ",PROPER('BIÑAN INFO'!$F1153),"."," (",UPPER('BIÑAN INFO'!$H1153),")")</f>
        <v>,  . ()</v>
      </c>
      <c r="E1153" s="70"/>
      <c r="F1153" s="70"/>
      <c r="G1153" s="70"/>
      <c r="H1153" s="69"/>
      <c r="I1153" s="71">
        <v>0.12</v>
      </c>
      <c r="J1153" s="72">
        <v>1000.0</v>
      </c>
      <c r="K1153" s="73"/>
      <c r="L1153" s="73"/>
      <c r="M1153" s="73"/>
      <c r="N1153" s="74"/>
      <c r="O1153" s="59"/>
      <c r="P1153" s="59"/>
      <c r="Q1153" s="59"/>
      <c r="R1153" s="59"/>
      <c r="S1153" s="59"/>
      <c r="T1153" s="59"/>
      <c r="U1153" s="59"/>
      <c r="V1153" s="59"/>
      <c r="W1153" s="59"/>
      <c r="X1153" s="59"/>
      <c r="Y1153" s="59"/>
      <c r="Z1153" s="59"/>
    </row>
    <row r="1154" ht="30.0" customHeight="1">
      <c r="A1154" s="68"/>
      <c r="B1154" s="68">
        <v>1168.0</v>
      </c>
      <c r="C1154" s="68"/>
      <c r="D1154" s="69" t="str">
        <f>CONCATENATE(PROPER('BIÑAN INFO'!$G1154),", ",PROPER('BIÑAN INFO'!$E1154)," ",PROPER('BIÑAN INFO'!$F1154),"."," (",UPPER('BIÑAN INFO'!$H1154),")")</f>
        <v>Sebello, Ruel . ()</v>
      </c>
      <c r="E1154" s="70" t="s">
        <v>589</v>
      </c>
      <c r="F1154" s="70"/>
      <c r="G1154" s="70" t="s">
        <v>590</v>
      </c>
      <c r="H1154" s="69"/>
      <c r="I1154" s="71">
        <v>0.05</v>
      </c>
      <c r="J1154" s="72">
        <v>1000.0</v>
      </c>
      <c r="K1154" s="73"/>
      <c r="L1154" s="73"/>
      <c r="M1154" s="73"/>
      <c r="N1154" s="74"/>
      <c r="O1154" s="59"/>
      <c r="P1154" s="59"/>
      <c r="Q1154" s="59"/>
      <c r="R1154" s="59"/>
      <c r="S1154" s="59"/>
      <c r="T1154" s="59"/>
      <c r="U1154" s="59"/>
      <c r="V1154" s="59"/>
      <c r="W1154" s="59"/>
      <c r="X1154" s="59"/>
      <c r="Y1154" s="59"/>
      <c r="Z1154" s="59"/>
    </row>
    <row r="1155" ht="30.0" customHeight="1">
      <c r="A1155" s="68"/>
      <c r="B1155" s="68">
        <v>1169.0</v>
      </c>
      <c r="C1155" s="68"/>
      <c r="D1155" s="69" t="str">
        <f>CONCATENATE(PROPER('BIÑAN INFO'!$G1155),", ",PROPER('BIÑAN INFO'!$E1155)," ",PROPER('BIÑAN INFO'!$F1155),"."," (",UPPER('BIÑAN INFO'!$H1155),")")</f>
        <v>,  . ()</v>
      </c>
      <c r="E1155" s="70"/>
      <c r="F1155" s="69"/>
      <c r="G1155" s="70"/>
      <c r="H1155" s="69"/>
      <c r="I1155" s="71">
        <v>0.12</v>
      </c>
      <c r="J1155" s="72">
        <v>1000.0</v>
      </c>
      <c r="K1155" s="73"/>
      <c r="L1155" s="73"/>
      <c r="M1155" s="73"/>
      <c r="N1155" s="74"/>
      <c r="O1155" s="59"/>
      <c r="P1155" s="59"/>
      <c r="Q1155" s="59"/>
      <c r="R1155" s="59"/>
      <c r="S1155" s="59"/>
      <c r="T1155" s="59"/>
      <c r="U1155" s="59"/>
      <c r="V1155" s="59"/>
      <c r="W1155" s="59"/>
      <c r="X1155" s="59"/>
      <c r="Y1155" s="59"/>
      <c r="Z1155" s="59"/>
    </row>
    <row r="1156" ht="30.0" customHeight="1">
      <c r="A1156" s="68"/>
      <c r="B1156" s="68">
        <v>1170.0</v>
      </c>
      <c r="C1156" s="68"/>
      <c r="D1156" s="69" t="str">
        <f>CONCATENATE(PROPER('BIÑAN INFO'!$G1156),", ",PROPER('BIÑAN INFO'!$E1156)," ",PROPER('BIÑAN INFO'!$F1156),"."," (",UPPER('BIÑAN INFO'!$H1156),")")</f>
        <v>,  . ()</v>
      </c>
      <c r="E1156" s="70"/>
      <c r="F1156" s="69"/>
      <c r="G1156" s="70"/>
      <c r="H1156" s="69"/>
      <c r="I1156" s="71">
        <v>0.12</v>
      </c>
      <c r="J1156" s="72">
        <v>1000.0</v>
      </c>
      <c r="K1156" s="73"/>
      <c r="L1156" s="73"/>
      <c r="M1156" s="73"/>
      <c r="N1156" s="74"/>
      <c r="O1156" s="59"/>
      <c r="P1156" s="59"/>
      <c r="Q1156" s="59"/>
      <c r="R1156" s="59"/>
      <c r="S1156" s="59"/>
      <c r="T1156" s="59"/>
      <c r="U1156" s="59"/>
      <c r="V1156" s="59"/>
      <c r="W1156" s="59"/>
      <c r="X1156" s="59"/>
      <c r="Y1156" s="59"/>
      <c r="Z1156" s="59"/>
    </row>
    <row r="1157" ht="30.0" customHeight="1">
      <c r="A1157" s="68"/>
      <c r="B1157" s="68">
        <v>1171.0</v>
      </c>
      <c r="C1157" s="68"/>
      <c r="D1157" s="69" t="str">
        <f>CONCATENATE(PROPER('BIÑAN INFO'!$G1157),", ",PROPER('BIÑAN INFO'!$E1157)," ",PROPER('BIÑAN INFO'!$F1157),"."," (",UPPER('BIÑAN INFO'!$H1157),")")</f>
        <v>Hocson, Diah . ()</v>
      </c>
      <c r="E1157" s="70" t="s">
        <v>444</v>
      </c>
      <c r="F1157" s="69"/>
      <c r="G1157" s="70" t="s">
        <v>445</v>
      </c>
      <c r="H1157" s="69"/>
      <c r="I1157" s="71">
        <v>0.05</v>
      </c>
      <c r="J1157" s="72">
        <v>1000.0</v>
      </c>
      <c r="K1157" s="73"/>
      <c r="L1157" s="73"/>
      <c r="M1157" s="73"/>
      <c r="N1157" s="74"/>
      <c r="O1157" s="59"/>
      <c r="P1157" s="59"/>
      <c r="Q1157" s="59"/>
      <c r="R1157" s="59"/>
      <c r="S1157" s="59"/>
      <c r="T1157" s="59"/>
      <c r="U1157" s="59"/>
      <c r="V1157" s="59"/>
      <c r="W1157" s="59"/>
      <c r="X1157" s="59"/>
      <c r="Y1157" s="59"/>
      <c r="Z1157" s="59"/>
    </row>
    <row r="1158" ht="30.0" customHeight="1">
      <c r="A1158" s="68"/>
      <c r="B1158" s="68">
        <v>1172.0</v>
      </c>
      <c r="C1158" s="68"/>
      <c r="D1158" s="69" t="str">
        <f>CONCATENATE(PROPER('BIÑAN INFO'!$G1158),", ",PROPER('BIÑAN INFO'!$E1158)," ",PROPER('BIÑAN INFO'!$F1158),"."," (",UPPER('BIÑAN INFO'!$H1158),")")</f>
        <v>Mangahas, Jayric . ()</v>
      </c>
      <c r="E1158" s="70" t="s">
        <v>591</v>
      </c>
      <c r="F1158" s="69"/>
      <c r="G1158" s="70" t="s">
        <v>592</v>
      </c>
      <c r="H1158" s="69"/>
      <c r="I1158" s="71">
        <v>0.05</v>
      </c>
      <c r="J1158" s="72">
        <v>1000.0</v>
      </c>
      <c r="K1158" s="73" t="s">
        <v>571</v>
      </c>
      <c r="L1158" s="73"/>
      <c r="M1158" s="73"/>
      <c r="N1158" s="74"/>
      <c r="O1158" s="59"/>
      <c r="P1158" s="59"/>
      <c r="Q1158" s="59"/>
      <c r="R1158" s="59"/>
      <c r="S1158" s="59"/>
      <c r="T1158" s="59"/>
      <c r="U1158" s="59"/>
      <c r="V1158" s="59"/>
      <c r="W1158" s="59"/>
      <c r="X1158" s="59"/>
      <c r="Y1158" s="59"/>
      <c r="Z1158" s="59"/>
    </row>
    <row r="1159" ht="30.0" customHeight="1">
      <c r="A1159" s="68"/>
      <c r="B1159" s="68">
        <v>1173.0</v>
      </c>
      <c r="C1159" s="68"/>
      <c r="D1159" s="69" t="str">
        <f>CONCATENATE(PROPER('BIÑAN INFO'!$G1159),", ",PROPER('BIÑAN INFO'!$E1159)," ",PROPER('BIÑAN INFO'!$F1159),"."," (",UPPER('BIÑAN INFO'!$H1159),")")</f>
        <v>,  . ()</v>
      </c>
      <c r="E1159" s="70"/>
      <c r="F1159" s="69"/>
      <c r="G1159" s="70"/>
      <c r="H1159" s="69"/>
      <c r="I1159" s="71">
        <v>0.12</v>
      </c>
      <c r="J1159" s="72">
        <v>1000.0</v>
      </c>
      <c r="K1159" s="73"/>
      <c r="L1159" s="73"/>
      <c r="M1159" s="73"/>
      <c r="N1159" s="74"/>
      <c r="O1159" s="59"/>
      <c r="P1159" s="59"/>
      <c r="Q1159" s="59"/>
      <c r="R1159" s="59"/>
      <c r="S1159" s="59"/>
      <c r="T1159" s="59"/>
      <c r="U1159" s="59"/>
      <c r="V1159" s="59"/>
      <c r="W1159" s="59"/>
      <c r="X1159" s="59"/>
      <c r="Y1159" s="59"/>
      <c r="Z1159" s="59"/>
    </row>
    <row r="1160" ht="30.0" customHeight="1">
      <c r="A1160" s="68"/>
      <c r="B1160" s="68">
        <v>1174.0</v>
      </c>
      <c r="C1160" s="68"/>
      <c r="D1160" s="69" t="str">
        <f>CONCATENATE(PROPER('BIÑAN INFO'!$G1160),", ",PROPER('BIÑAN INFO'!$E1160)," ",PROPER('BIÑAN INFO'!$F1160),"."," (",UPPER('BIÑAN INFO'!$H1160),")")</f>
        <v>Ocaña, Ramil . ()</v>
      </c>
      <c r="E1160" s="70" t="s">
        <v>514</v>
      </c>
      <c r="F1160" s="69"/>
      <c r="G1160" s="70" t="s">
        <v>593</v>
      </c>
      <c r="H1160" s="69"/>
      <c r="I1160" s="71">
        <v>0.12</v>
      </c>
      <c r="J1160" s="72">
        <v>1000.0</v>
      </c>
      <c r="K1160" s="73"/>
      <c r="L1160" s="73"/>
      <c r="M1160" s="73"/>
      <c r="N1160" s="74"/>
      <c r="O1160" s="59"/>
      <c r="P1160" s="59"/>
      <c r="Q1160" s="59"/>
      <c r="R1160" s="59"/>
      <c r="S1160" s="59"/>
      <c r="T1160" s="59"/>
      <c r="U1160" s="59"/>
      <c r="V1160" s="59"/>
      <c r="W1160" s="59"/>
      <c r="X1160" s="59"/>
      <c r="Y1160" s="59"/>
      <c r="Z1160" s="59"/>
    </row>
    <row r="1161" ht="30.0" customHeight="1">
      <c r="A1161" s="68"/>
      <c r="B1161" s="68">
        <v>1175.0</v>
      </c>
      <c r="C1161" s="68"/>
      <c r="D1161" s="69" t="str">
        <f>CONCATENATE(PROPER('BIÑAN INFO'!$G1161),", ",PROPER('BIÑAN INFO'!$E1161)," ",PROPER('BIÑAN INFO'!$F1161),"."," (",UPPER('BIÑAN INFO'!$H1161),")")</f>
        <v>,  . ()</v>
      </c>
      <c r="E1161" s="70"/>
      <c r="F1161" s="69"/>
      <c r="G1161" s="70"/>
      <c r="H1161" s="69"/>
      <c r="I1161" s="71">
        <v>0.05</v>
      </c>
      <c r="J1161" s="72">
        <v>1000.0</v>
      </c>
      <c r="K1161" s="73"/>
      <c r="L1161" s="73"/>
      <c r="M1161" s="73"/>
      <c r="N1161" s="74"/>
      <c r="O1161" s="59"/>
      <c r="P1161" s="59"/>
      <c r="Q1161" s="59"/>
      <c r="R1161" s="59"/>
      <c r="S1161" s="59"/>
      <c r="T1161" s="59"/>
      <c r="U1161" s="59"/>
      <c r="V1161" s="59"/>
      <c r="W1161" s="59"/>
      <c r="X1161" s="59"/>
      <c r="Y1161" s="59"/>
      <c r="Z1161" s="59"/>
    </row>
    <row r="1162" ht="30.0" customHeight="1">
      <c r="A1162" s="68"/>
      <c r="B1162" s="68">
        <v>1176.0</v>
      </c>
      <c r="C1162" s="68"/>
      <c r="D1162" s="69" t="str">
        <f>CONCATENATE(PROPER('BIÑAN INFO'!$G1162),", ",PROPER('BIÑAN INFO'!$E1162)," ",PROPER('BIÑAN INFO'!$F1162),"."," (",UPPER('BIÑAN INFO'!$H1162),")")</f>
        <v>,  . ()</v>
      </c>
      <c r="E1162" s="70"/>
      <c r="F1162" s="69"/>
      <c r="G1162" s="70"/>
      <c r="H1162" s="69"/>
      <c r="I1162" s="71">
        <v>0.05</v>
      </c>
      <c r="J1162" s="72">
        <v>1000.0</v>
      </c>
      <c r="K1162" s="73"/>
      <c r="L1162" s="73"/>
      <c r="M1162" s="73"/>
      <c r="N1162" s="74"/>
      <c r="O1162" s="59"/>
      <c r="P1162" s="59"/>
      <c r="Q1162" s="59"/>
      <c r="R1162" s="59"/>
      <c r="S1162" s="59"/>
      <c r="T1162" s="59"/>
      <c r="U1162" s="59"/>
      <c r="V1162" s="59"/>
      <c r="W1162" s="59"/>
      <c r="X1162" s="59"/>
      <c r="Y1162" s="59"/>
      <c r="Z1162" s="59"/>
    </row>
    <row r="1163" ht="30.0" customHeight="1">
      <c r="A1163" s="68"/>
      <c r="B1163" s="68">
        <v>1177.0</v>
      </c>
      <c r="C1163" s="68"/>
      <c r="D1163" s="69" t="str">
        <f>CONCATENATE(PROPER('BIÑAN INFO'!$G1163),", ",PROPER('BIÑAN INFO'!$E1163)," ",PROPER('BIÑAN INFO'!$F1163),"."," (",UPPER('BIÑAN INFO'!$H1163),")")</f>
        <v>Garcia, Taciana . ()</v>
      </c>
      <c r="E1163" s="70" t="s">
        <v>594</v>
      </c>
      <c r="F1163" s="69"/>
      <c r="G1163" s="70" t="s">
        <v>496</v>
      </c>
      <c r="H1163" s="69"/>
      <c r="I1163" s="71">
        <v>0.12</v>
      </c>
      <c r="J1163" s="72">
        <v>1000.0</v>
      </c>
      <c r="K1163" s="73"/>
      <c r="L1163" s="73"/>
      <c r="M1163" s="73"/>
      <c r="N1163" s="74"/>
      <c r="O1163" s="59"/>
      <c r="P1163" s="59"/>
      <c r="Q1163" s="59"/>
      <c r="R1163" s="59"/>
      <c r="S1163" s="59"/>
      <c r="T1163" s="59"/>
      <c r="U1163" s="59"/>
      <c r="V1163" s="59"/>
      <c r="W1163" s="59"/>
      <c r="X1163" s="59"/>
      <c r="Y1163" s="59"/>
      <c r="Z1163" s="59"/>
    </row>
    <row r="1164" ht="30.0" customHeight="1">
      <c r="A1164" s="68"/>
      <c r="B1164" s="68">
        <v>1178.0</v>
      </c>
      <c r="C1164" s="68"/>
      <c r="D1164" s="69" t="str">
        <f>CONCATENATE(PROPER('BIÑAN INFO'!$G1164),", ",PROPER('BIÑAN INFO'!$E1164)," ",PROPER('BIÑAN INFO'!$F1164),"."," (",UPPER('BIÑAN INFO'!$H1164),")")</f>
        <v>,  . ()</v>
      </c>
      <c r="E1164" s="70"/>
      <c r="F1164" s="69"/>
      <c r="G1164" s="70"/>
      <c r="H1164" s="69"/>
      <c r="I1164" s="71">
        <v>0.12</v>
      </c>
      <c r="J1164" s="72">
        <v>1000.0</v>
      </c>
      <c r="K1164" s="73"/>
      <c r="L1164" s="73"/>
      <c r="M1164" s="73"/>
      <c r="N1164" s="74"/>
      <c r="O1164" s="59"/>
      <c r="P1164" s="59"/>
      <c r="Q1164" s="59"/>
      <c r="R1164" s="59"/>
      <c r="S1164" s="59"/>
      <c r="T1164" s="59"/>
      <c r="U1164" s="59"/>
      <c r="V1164" s="59"/>
      <c r="W1164" s="59"/>
      <c r="X1164" s="59"/>
      <c r="Y1164" s="59"/>
      <c r="Z1164" s="59"/>
    </row>
    <row r="1165" ht="30.0" customHeight="1">
      <c r="A1165" s="68"/>
      <c r="B1165" s="68">
        <v>1179.0</v>
      </c>
      <c r="C1165" s="68"/>
      <c r="D1165" s="69" t="str">
        <f>CONCATENATE(PROPER('BIÑAN INFO'!$G1165),", ",PROPER('BIÑAN INFO'!$E1165)," ",PROPER('BIÑAN INFO'!$F1165),"."," (",UPPER('BIÑAN INFO'!$H1165),")")</f>
        <v>Tizon, Evalyn . ()</v>
      </c>
      <c r="E1165" s="70" t="s">
        <v>595</v>
      </c>
      <c r="F1165" s="69"/>
      <c r="G1165" s="70" t="s">
        <v>596</v>
      </c>
      <c r="H1165" s="69"/>
      <c r="I1165" s="71">
        <v>0.05</v>
      </c>
      <c r="J1165" s="72">
        <v>1000.0</v>
      </c>
      <c r="K1165" s="73" t="s">
        <v>50</v>
      </c>
      <c r="L1165" s="73" t="s">
        <v>81</v>
      </c>
      <c r="M1165" s="73">
        <v>2022.0</v>
      </c>
      <c r="N1165" s="74"/>
      <c r="O1165" s="59"/>
      <c r="P1165" s="59"/>
      <c r="Q1165" s="59"/>
      <c r="R1165" s="59"/>
      <c r="S1165" s="59"/>
      <c r="T1165" s="59"/>
      <c r="U1165" s="59"/>
      <c r="V1165" s="59"/>
      <c r="W1165" s="59"/>
      <c r="X1165" s="59"/>
      <c r="Y1165" s="59"/>
      <c r="Z1165" s="59"/>
    </row>
    <row r="1166" ht="30.0" customHeight="1">
      <c r="A1166" s="68"/>
      <c r="B1166" s="68">
        <v>1180.0</v>
      </c>
      <c r="C1166" s="68"/>
      <c r="D1166" s="69" t="str">
        <f>CONCATENATE(PROPER('BIÑAN INFO'!$G1166),", ",PROPER('BIÑAN INFO'!$E1166)," ",PROPER('BIÑAN INFO'!$F1166),"."," (",UPPER('BIÑAN INFO'!$H1166),")")</f>
        <v>Palomer, Ma. Concepcion Bailon. ()</v>
      </c>
      <c r="E1166" s="70" t="s">
        <v>597</v>
      </c>
      <c r="F1166" s="69" t="s">
        <v>598</v>
      </c>
      <c r="G1166" s="70" t="s">
        <v>599</v>
      </c>
      <c r="H1166" s="69"/>
      <c r="I1166" s="71">
        <v>0.05</v>
      </c>
      <c r="J1166" s="72">
        <v>1000.0</v>
      </c>
      <c r="K1166" s="73" t="s">
        <v>50</v>
      </c>
      <c r="L1166" s="73" t="s">
        <v>465</v>
      </c>
      <c r="M1166" s="73">
        <v>2022.0</v>
      </c>
      <c r="N1166" s="74"/>
      <c r="O1166" s="59"/>
      <c r="P1166" s="59"/>
      <c r="Q1166" s="59"/>
      <c r="R1166" s="59"/>
      <c r="S1166" s="59"/>
      <c r="T1166" s="59"/>
      <c r="U1166" s="59"/>
      <c r="V1166" s="59"/>
      <c r="W1166" s="59"/>
      <c r="X1166" s="59"/>
      <c r="Y1166" s="59"/>
      <c r="Z1166" s="59"/>
    </row>
    <row r="1167" ht="30.0" customHeight="1">
      <c r="A1167" s="68"/>
      <c r="B1167" s="68">
        <v>1181.0</v>
      </c>
      <c r="C1167" s="68"/>
      <c r="D1167" s="69" t="str">
        <f>CONCATENATE(PROPER('BIÑAN INFO'!$G1167),", ",PROPER('BIÑAN INFO'!$E1167)," ",PROPER('BIÑAN INFO'!$F1167),"."," (",UPPER('BIÑAN INFO'!$H1167),")")</f>
        <v>,  . ()</v>
      </c>
      <c r="E1167" s="70"/>
      <c r="F1167" s="69"/>
      <c r="G1167" s="70"/>
      <c r="H1167" s="69"/>
      <c r="I1167" s="71">
        <v>0.05</v>
      </c>
      <c r="J1167" s="72">
        <v>1000.0</v>
      </c>
      <c r="K1167" s="73"/>
      <c r="L1167" s="73"/>
      <c r="M1167" s="73"/>
      <c r="N1167" s="74"/>
      <c r="O1167" s="59"/>
      <c r="P1167" s="59"/>
      <c r="Q1167" s="59"/>
      <c r="R1167" s="59"/>
      <c r="S1167" s="59"/>
      <c r="T1167" s="59"/>
      <c r="U1167" s="59"/>
      <c r="V1167" s="59"/>
      <c r="W1167" s="59"/>
      <c r="X1167" s="59"/>
      <c r="Y1167" s="59"/>
      <c r="Z1167" s="59"/>
    </row>
    <row r="1168" ht="30.0" customHeight="1">
      <c r="A1168" s="68"/>
      <c r="B1168" s="68">
        <v>1182.0</v>
      </c>
      <c r="C1168" s="68"/>
      <c r="D1168" s="69" t="str">
        <f>CONCATENATE(PROPER('BIÑAN INFO'!$G1168),", ",PROPER('BIÑAN INFO'!$E1168)," ",PROPER('BIÑAN INFO'!$F1168),"."," (",UPPER('BIÑAN INFO'!$H1168),")")</f>
        <v>,  . ()</v>
      </c>
      <c r="E1168" s="70"/>
      <c r="F1168" s="69"/>
      <c r="G1168" s="70"/>
      <c r="H1168" s="69"/>
      <c r="I1168" s="71">
        <v>0.12</v>
      </c>
      <c r="J1168" s="72">
        <v>1000.0</v>
      </c>
      <c r="K1168" s="73"/>
      <c r="L1168" s="73"/>
      <c r="M1168" s="73"/>
      <c r="N1168" s="74"/>
      <c r="O1168" s="59"/>
      <c r="P1168" s="59"/>
      <c r="Q1168" s="59"/>
      <c r="R1168" s="59"/>
      <c r="S1168" s="59"/>
      <c r="T1168" s="59"/>
      <c r="U1168" s="59"/>
      <c r="V1168" s="59"/>
      <c r="W1168" s="59"/>
      <c r="X1168" s="59"/>
      <c r="Y1168" s="59"/>
      <c r="Z1168" s="59"/>
    </row>
    <row r="1169" ht="30.0" customHeight="1">
      <c r="A1169" s="68"/>
      <c r="B1169" s="68">
        <v>1183.0</v>
      </c>
      <c r="C1169" s="68"/>
      <c r="D1169" s="69" t="str">
        <f>CONCATENATE(PROPER('BIÑAN INFO'!$G1169),", ",PROPER('BIÑAN INFO'!$E1169)," ",PROPER('BIÑAN INFO'!$F1169),"."," (",UPPER('BIÑAN INFO'!$H1169),")")</f>
        <v>De Vera, Glenn . ()</v>
      </c>
      <c r="E1169" s="70" t="s">
        <v>600</v>
      </c>
      <c r="F1169" s="69"/>
      <c r="G1169" s="70" t="s">
        <v>601</v>
      </c>
      <c r="H1169" s="69"/>
      <c r="I1169" s="71">
        <v>0.05</v>
      </c>
      <c r="J1169" s="72">
        <v>1000.0</v>
      </c>
      <c r="K1169" s="73"/>
      <c r="L1169" s="73"/>
      <c r="M1169" s="73"/>
      <c r="N1169" s="74" t="s">
        <v>568</v>
      </c>
      <c r="O1169" s="59"/>
      <c r="P1169" s="59"/>
      <c r="Q1169" s="59"/>
      <c r="R1169" s="59"/>
      <c r="S1169" s="59"/>
      <c r="T1169" s="59"/>
      <c r="U1169" s="59"/>
      <c r="V1169" s="59"/>
      <c r="W1169" s="59"/>
      <c r="X1169" s="59"/>
      <c r="Y1169" s="59"/>
      <c r="Z1169" s="59"/>
    </row>
    <row r="1170" ht="30.0" customHeight="1">
      <c r="A1170" s="68"/>
      <c r="B1170" s="68">
        <v>1184.0</v>
      </c>
      <c r="C1170" s="68"/>
      <c r="D1170" s="69" t="str">
        <f>CONCATENATE(PROPER('BIÑAN INFO'!$G1170),", ",PROPER('BIÑAN INFO'!$E1170)," ",PROPER('BIÑAN INFO'!$F1170),"."," (",UPPER('BIÑAN INFO'!$H1170),")")</f>
        <v>,  . ()</v>
      </c>
      <c r="E1170" s="70"/>
      <c r="F1170" s="69"/>
      <c r="G1170" s="70"/>
      <c r="H1170" s="69"/>
      <c r="I1170" s="71">
        <v>0.12</v>
      </c>
      <c r="J1170" s="72">
        <v>1000.0</v>
      </c>
      <c r="K1170" s="73"/>
      <c r="L1170" s="73"/>
      <c r="M1170" s="73"/>
      <c r="N1170" s="74"/>
      <c r="O1170" s="59"/>
      <c r="P1170" s="59"/>
      <c r="Q1170" s="59"/>
      <c r="R1170" s="59"/>
      <c r="S1170" s="59"/>
      <c r="T1170" s="59"/>
      <c r="U1170" s="59"/>
      <c r="V1170" s="59"/>
      <c r="W1170" s="59"/>
      <c r="X1170" s="59"/>
      <c r="Y1170" s="59"/>
      <c r="Z1170" s="59"/>
    </row>
    <row r="1171" ht="30.0" customHeight="1">
      <c r="A1171" s="68"/>
      <c r="B1171" s="68">
        <v>1185.0</v>
      </c>
      <c r="C1171" s="68"/>
      <c r="D1171" s="69" t="str">
        <f>CONCATENATE(PROPER('BIÑAN INFO'!$G1171),", ",PROPER('BIÑAN INFO'!$E1171)," ",PROPER('BIÑAN INFO'!$F1171),"."," (",UPPER('BIÑAN INFO'!$H1171),")")</f>
        <v>,  . ()</v>
      </c>
      <c r="E1171" s="70"/>
      <c r="F1171" s="69"/>
      <c r="G1171" s="70"/>
      <c r="H1171" s="69"/>
      <c r="I1171" s="71">
        <v>0.12</v>
      </c>
      <c r="J1171" s="72">
        <v>1000.0</v>
      </c>
      <c r="K1171" s="73"/>
      <c r="L1171" s="73"/>
      <c r="M1171" s="73"/>
      <c r="N1171" s="74"/>
      <c r="O1171" s="59"/>
      <c r="P1171" s="59"/>
      <c r="Q1171" s="59"/>
      <c r="R1171" s="59"/>
      <c r="S1171" s="59"/>
      <c r="T1171" s="59"/>
      <c r="U1171" s="59"/>
      <c r="V1171" s="59"/>
      <c r="W1171" s="59"/>
      <c r="X1171" s="59"/>
      <c r="Y1171" s="59"/>
      <c r="Z1171" s="59"/>
    </row>
    <row r="1172" ht="30.0" customHeight="1">
      <c r="A1172" s="68"/>
      <c r="B1172" s="68">
        <v>1186.0</v>
      </c>
      <c r="C1172" s="68"/>
      <c r="D1172" s="69" t="str">
        <f>CONCATENATE(PROPER('BIÑAN INFO'!$G1172),", ",PROPER('BIÑAN INFO'!$E1172)," ",PROPER('BIÑAN INFO'!$F1172),"."," (",UPPER('BIÑAN INFO'!$H1172),")")</f>
        <v>,  . ()</v>
      </c>
      <c r="E1172" s="70"/>
      <c r="F1172" s="69"/>
      <c r="G1172" s="70"/>
      <c r="H1172" s="69"/>
      <c r="I1172" s="71">
        <v>0.05</v>
      </c>
      <c r="J1172" s="72">
        <v>1000.0</v>
      </c>
      <c r="K1172" s="73"/>
      <c r="L1172" s="73"/>
      <c r="M1172" s="73"/>
      <c r="N1172" s="74"/>
      <c r="O1172" s="59"/>
      <c r="P1172" s="59"/>
      <c r="Q1172" s="59"/>
      <c r="R1172" s="59"/>
      <c r="S1172" s="59"/>
      <c r="T1172" s="59"/>
      <c r="U1172" s="59"/>
      <c r="V1172" s="59"/>
      <c r="W1172" s="59"/>
      <c r="X1172" s="59"/>
      <c r="Y1172" s="59"/>
      <c r="Z1172" s="59"/>
    </row>
    <row r="1173" ht="30.0" customHeight="1">
      <c r="A1173" s="68"/>
      <c r="B1173" s="68">
        <v>1187.0</v>
      </c>
      <c r="C1173" s="68"/>
      <c r="D1173" s="69" t="str">
        <f>CONCATENATE(PROPER('BIÑAN INFO'!$G1173),", ",PROPER('BIÑAN INFO'!$E1173)," ",PROPER('BIÑAN INFO'!$F1173),"."," (",UPPER('BIÑAN INFO'!$H1173),")")</f>
        <v>Conde, Azucena . ()</v>
      </c>
      <c r="E1173" s="70" t="s">
        <v>602</v>
      </c>
      <c r="F1173" s="70"/>
      <c r="G1173" s="70" t="s">
        <v>603</v>
      </c>
      <c r="H1173" s="69"/>
      <c r="I1173" s="71">
        <v>0.05</v>
      </c>
      <c r="J1173" s="72">
        <v>1000.0</v>
      </c>
      <c r="K1173" s="73" t="s">
        <v>50</v>
      </c>
      <c r="L1173" s="73"/>
      <c r="M1173" s="73"/>
      <c r="N1173" s="74" t="s">
        <v>457</v>
      </c>
      <c r="O1173" s="59"/>
      <c r="P1173" s="59"/>
      <c r="Q1173" s="59"/>
      <c r="R1173" s="59"/>
      <c r="S1173" s="59"/>
      <c r="T1173" s="59"/>
      <c r="U1173" s="59"/>
      <c r="V1173" s="59"/>
      <c r="W1173" s="59"/>
      <c r="X1173" s="59"/>
      <c r="Y1173" s="59"/>
      <c r="Z1173" s="59"/>
    </row>
    <row r="1174" ht="30.0" customHeight="1">
      <c r="A1174" s="68"/>
      <c r="B1174" s="68">
        <v>1188.0</v>
      </c>
      <c r="C1174" s="68"/>
      <c r="D1174" s="69" t="str">
        <f>CONCATENATE(PROPER('BIÑAN INFO'!$G1174),", ",PROPER('BIÑAN INFO'!$E1174)," ",PROPER('BIÑAN INFO'!$F1174),"."," (",UPPER('BIÑAN INFO'!$H1174),")")</f>
        <v>,  . ()</v>
      </c>
      <c r="E1174" s="70"/>
      <c r="F1174" s="70"/>
      <c r="G1174" s="70"/>
      <c r="H1174" s="69"/>
      <c r="I1174" s="71">
        <v>0.12</v>
      </c>
      <c r="J1174" s="72">
        <v>1000.0</v>
      </c>
      <c r="K1174" s="73"/>
      <c r="L1174" s="73"/>
      <c r="M1174" s="73"/>
      <c r="N1174" s="74"/>
      <c r="O1174" s="59"/>
      <c r="P1174" s="59"/>
      <c r="Q1174" s="59"/>
      <c r="R1174" s="59"/>
      <c r="S1174" s="59"/>
      <c r="T1174" s="59"/>
      <c r="U1174" s="59"/>
      <c r="V1174" s="59"/>
      <c r="W1174" s="59"/>
      <c r="X1174" s="59"/>
      <c r="Y1174" s="59"/>
      <c r="Z1174" s="59"/>
    </row>
    <row r="1175" ht="30.0" customHeight="1">
      <c r="A1175" s="68"/>
      <c r="B1175" s="68">
        <v>1189.0</v>
      </c>
      <c r="C1175" s="68"/>
      <c r="D1175" s="69" t="str">
        <f>CONCATENATE(PROPER('BIÑAN INFO'!$G1175),", ",PROPER('BIÑAN INFO'!$E1175)," ",PROPER('BIÑAN INFO'!$F1175),"."," (",UPPER('BIÑAN INFO'!$H1175),")")</f>
        <v>Lukban,  . ()</v>
      </c>
      <c r="E1175" s="70"/>
      <c r="F1175" s="70"/>
      <c r="G1175" s="70" t="s">
        <v>604</v>
      </c>
      <c r="H1175" s="69"/>
      <c r="I1175" s="71">
        <v>0.05</v>
      </c>
      <c r="J1175" s="72">
        <v>1000.0</v>
      </c>
      <c r="K1175" s="73"/>
      <c r="L1175" s="73"/>
      <c r="M1175" s="73"/>
      <c r="N1175" s="74"/>
      <c r="O1175" s="59"/>
      <c r="P1175" s="59"/>
      <c r="Q1175" s="59"/>
      <c r="R1175" s="59"/>
      <c r="S1175" s="59"/>
      <c r="T1175" s="59"/>
      <c r="U1175" s="59"/>
      <c r="V1175" s="59"/>
      <c r="W1175" s="59"/>
      <c r="X1175" s="59"/>
      <c r="Y1175" s="59"/>
      <c r="Z1175" s="59"/>
    </row>
    <row r="1176" ht="30.0" customHeight="1">
      <c r="A1176" s="68"/>
      <c r="B1176" s="68">
        <v>1190.0</v>
      </c>
      <c r="C1176" s="68"/>
      <c r="D1176" s="69" t="str">
        <f>CONCATENATE(PROPER('BIÑAN INFO'!$G1176),", ",PROPER('BIÑAN INFO'!$E1176)," ",PROPER('BIÑAN INFO'!$F1176),"."," (",UPPER('BIÑAN INFO'!$H1176),")")</f>
        <v>,  . ()</v>
      </c>
      <c r="E1176" s="70"/>
      <c r="F1176" s="70"/>
      <c r="G1176" s="70"/>
      <c r="H1176" s="69"/>
      <c r="I1176" s="71">
        <v>0.05</v>
      </c>
      <c r="J1176" s="72">
        <v>1000.0</v>
      </c>
      <c r="K1176" s="73"/>
      <c r="L1176" s="73"/>
      <c r="M1176" s="73"/>
      <c r="N1176" s="74"/>
      <c r="O1176" s="59"/>
      <c r="P1176" s="59"/>
      <c r="Q1176" s="59"/>
      <c r="R1176" s="59"/>
      <c r="S1176" s="59"/>
      <c r="T1176" s="59"/>
      <c r="U1176" s="59"/>
      <c r="V1176" s="59"/>
      <c r="W1176" s="59"/>
      <c r="X1176" s="59"/>
      <c r="Y1176" s="59"/>
      <c r="Z1176" s="59"/>
    </row>
    <row r="1177" ht="30.0" customHeight="1">
      <c r="A1177" s="68"/>
      <c r="B1177" s="68">
        <v>1191.0</v>
      </c>
      <c r="C1177" s="68"/>
      <c r="D1177" s="69" t="str">
        <f>CONCATENATE(PROPER('BIÑAN INFO'!$G1177),", ",PROPER('BIÑAN INFO'!$E1177)," ",PROPER('BIÑAN INFO'!$F1177),"."," (",UPPER('BIÑAN INFO'!$H1177),")")</f>
        <v>,  . ()</v>
      </c>
      <c r="E1177" s="70"/>
      <c r="F1177" s="70"/>
      <c r="G1177" s="70"/>
      <c r="H1177" s="69"/>
      <c r="I1177" s="71">
        <v>0.12</v>
      </c>
      <c r="J1177" s="72">
        <v>1000.0</v>
      </c>
      <c r="K1177" s="73"/>
      <c r="L1177" s="73"/>
      <c r="M1177" s="73"/>
      <c r="N1177" s="74"/>
      <c r="O1177" s="59"/>
      <c r="P1177" s="59"/>
      <c r="Q1177" s="59"/>
      <c r="R1177" s="59"/>
      <c r="S1177" s="59"/>
      <c r="T1177" s="59"/>
      <c r="U1177" s="59"/>
      <c r="V1177" s="59"/>
      <c r="W1177" s="59"/>
      <c r="X1177" s="59"/>
      <c r="Y1177" s="59"/>
      <c r="Z1177" s="59"/>
    </row>
    <row r="1178" ht="30.0" customHeight="1">
      <c r="A1178" s="68"/>
      <c r="B1178" s="68">
        <v>1192.0</v>
      </c>
      <c r="C1178" s="68"/>
      <c r="D1178" s="69" t="str">
        <f>CONCATENATE(PROPER('BIÑAN INFO'!$G1178),", ",PROPER('BIÑAN INFO'!$E1178)," ",PROPER('BIÑAN INFO'!$F1178),"."," (",UPPER('BIÑAN INFO'!$H1178),")")</f>
        <v>Flores, Marilyn . ()</v>
      </c>
      <c r="E1178" s="70" t="s">
        <v>231</v>
      </c>
      <c r="F1178" s="70"/>
      <c r="G1178" s="70" t="s">
        <v>605</v>
      </c>
      <c r="H1178" s="69"/>
      <c r="I1178" s="71">
        <v>0.12</v>
      </c>
      <c r="J1178" s="72">
        <v>1000.0</v>
      </c>
      <c r="K1178" s="73"/>
      <c r="L1178" s="73"/>
      <c r="M1178" s="73"/>
      <c r="N1178" s="74"/>
      <c r="O1178" s="59"/>
      <c r="P1178" s="59"/>
      <c r="Q1178" s="59"/>
      <c r="R1178" s="59"/>
      <c r="S1178" s="59"/>
      <c r="T1178" s="59"/>
      <c r="U1178" s="59"/>
      <c r="V1178" s="59"/>
      <c r="W1178" s="59"/>
      <c r="X1178" s="59"/>
      <c r="Y1178" s="59"/>
      <c r="Z1178" s="59"/>
    </row>
    <row r="1179" ht="30.0" customHeight="1">
      <c r="A1179" s="68"/>
      <c r="B1179" s="68">
        <v>1193.0</v>
      </c>
      <c r="C1179" s="68"/>
      <c r="D1179" s="69" t="str">
        <f>CONCATENATE(PROPER('BIÑAN INFO'!$G1179),", ",PROPER('BIÑAN INFO'!$E1179)," ",PROPER('BIÑAN INFO'!$F1179),"."," (",UPPER('BIÑAN INFO'!$H1179),")")</f>
        <v>Bag-Ao, Ma. Priti . ()</v>
      </c>
      <c r="E1179" s="70" t="s">
        <v>606</v>
      </c>
      <c r="F1179" s="70"/>
      <c r="G1179" s="70" t="s">
        <v>607</v>
      </c>
      <c r="H1179" s="69"/>
      <c r="I1179" s="71">
        <v>0.12</v>
      </c>
      <c r="J1179" s="72">
        <v>1000.0</v>
      </c>
      <c r="K1179" s="73"/>
      <c r="L1179" s="73"/>
      <c r="M1179" s="73"/>
      <c r="N1179" s="74"/>
      <c r="O1179" s="59"/>
      <c r="P1179" s="59"/>
      <c r="Q1179" s="59"/>
      <c r="R1179" s="59"/>
      <c r="S1179" s="59"/>
      <c r="T1179" s="59"/>
      <c r="U1179" s="59"/>
      <c r="V1179" s="59"/>
      <c r="W1179" s="59"/>
      <c r="X1179" s="59"/>
      <c r="Y1179" s="59"/>
      <c r="Z1179" s="59"/>
    </row>
    <row r="1180" ht="30.0" customHeight="1">
      <c r="A1180" s="68"/>
      <c r="B1180" s="68">
        <v>1194.0</v>
      </c>
      <c r="C1180" s="68"/>
      <c r="D1180" s="69" t="str">
        <f>CONCATENATE(PROPER('BIÑAN INFO'!$G1180),", ",PROPER('BIÑAN INFO'!$E1180)," ",PROPER('BIÑAN INFO'!$F1180),"."," (",UPPER('BIÑAN INFO'!$H1180),")")</f>
        <v>,  . ()</v>
      </c>
      <c r="E1180" s="70"/>
      <c r="F1180" s="70"/>
      <c r="G1180" s="70"/>
      <c r="H1180" s="70"/>
      <c r="I1180" s="71">
        <v>0.12</v>
      </c>
      <c r="J1180" s="72">
        <v>1000.0</v>
      </c>
      <c r="K1180" s="73"/>
      <c r="L1180" s="73"/>
      <c r="M1180" s="73"/>
      <c r="N1180" s="74"/>
      <c r="O1180" s="59"/>
      <c r="P1180" s="59"/>
      <c r="Q1180" s="59"/>
      <c r="R1180" s="59"/>
      <c r="S1180" s="59"/>
      <c r="T1180" s="59"/>
      <c r="U1180" s="59"/>
      <c r="V1180" s="59"/>
      <c r="W1180" s="59"/>
      <c r="X1180" s="59"/>
      <c r="Y1180" s="59"/>
      <c r="Z1180" s="59"/>
    </row>
    <row r="1181" ht="30.0" customHeight="1">
      <c r="A1181" s="68"/>
      <c r="B1181" s="68">
        <v>1195.0</v>
      </c>
      <c r="C1181" s="68"/>
      <c r="D1181" s="69" t="str">
        <f>CONCATENATE(PROPER('BIÑAN INFO'!$G1181),", ",PROPER('BIÑAN INFO'!$E1181)," ",PROPER('BIÑAN INFO'!$F1181),"."," (",UPPER('BIÑAN INFO'!$H1181),")")</f>
        <v>,  . ()</v>
      </c>
      <c r="E1181" s="70"/>
      <c r="F1181" s="70"/>
      <c r="G1181" s="70"/>
      <c r="H1181" s="70"/>
      <c r="I1181" s="71">
        <v>0.12</v>
      </c>
      <c r="J1181" s="72">
        <v>1000.0</v>
      </c>
      <c r="K1181" s="73"/>
      <c r="L1181" s="73"/>
      <c r="M1181" s="73"/>
      <c r="N1181" s="74"/>
      <c r="O1181" s="59"/>
      <c r="P1181" s="59"/>
      <c r="Q1181" s="59"/>
      <c r="R1181" s="59"/>
      <c r="S1181" s="59"/>
      <c r="T1181" s="59"/>
      <c r="U1181" s="59"/>
      <c r="V1181" s="59"/>
      <c r="W1181" s="59"/>
      <c r="X1181" s="59"/>
      <c r="Y1181" s="59"/>
      <c r="Z1181" s="59"/>
    </row>
    <row r="1182" ht="30.0" customHeight="1">
      <c r="A1182" s="68"/>
      <c r="B1182" s="68">
        <v>1196.0</v>
      </c>
      <c r="C1182" s="68"/>
      <c r="D1182" s="69" t="str">
        <f>CONCATENATE(PROPER('BIÑAN INFO'!$G1182),", ",PROPER('BIÑAN INFO'!$E1182)," ",PROPER('BIÑAN INFO'!$F1182),"."," (",UPPER('BIÑAN INFO'!$H1182),")")</f>
        <v>,  . ()</v>
      </c>
      <c r="E1182" s="70"/>
      <c r="F1182" s="70"/>
      <c r="G1182" s="70"/>
      <c r="H1182" s="70"/>
      <c r="I1182" s="71">
        <v>0.12</v>
      </c>
      <c r="J1182" s="72">
        <v>1000.0</v>
      </c>
      <c r="K1182" s="73"/>
      <c r="L1182" s="73"/>
      <c r="M1182" s="73"/>
      <c r="N1182" s="74"/>
      <c r="O1182" s="59"/>
      <c r="P1182" s="59"/>
      <c r="Q1182" s="59"/>
      <c r="R1182" s="59"/>
      <c r="S1182" s="59"/>
      <c r="T1182" s="59"/>
      <c r="U1182" s="59"/>
      <c r="V1182" s="59"/>
      <c r="W1182" s="59"/>
      <c r="X1182" s="59"/>
      <c r="Y1182" s="59"/>
      <c r="Z1182" s="59"/>
    </row>
    <row r="1183" ht="30.0" customHeight="1">
      <c r="A1183" s="68"/>
      <c r="B1183" s="68">
        <v>1197.0</v>
      </c>
      <c r="C1183" s="68"/>
      <c r="D1183" s="69" t="str">
        <f>CONCATENATE(PROPER('BIÑAN INFO'!$G1183),", ",PROPER('BIÑAN INFO'!$E1183)," ",PROPER('BIÑAN INFO'!$F1183),"."," (",UPPER('BIÑAN INFO'!$H1183),")")</f>
        <v>,  . ()</v>
      </c>
      <c r="E1183" s="70"/>
      <c r="F1183" s="70"/>
      <c r="G1183" s="70"/>
      <c r="H1183" s="70"/>
      <c r="I1183" s="71">
        <v>0.12</v>
      </c>
      <c r="J1183" s="72">
        <v>1000.0</v>
      </c>
      <c r="K1183" s="73"/>
      <c r="L1183" s="73"/>
      <c r="M1183" s="73"/>
      <c r="N1183" s="74"/>
      <c r="O1183" s="59"/>
      <c r="P1183" s="59"/>
      <c r="Q1183" s="59"/>
      <c r="R1183" s="59"/>
      <c r="S1183" s="59"/>
      <c r="T1183" s="59"/>
      <c r="U1183" s="59"/>
      <c r="V1183" s="59"/>
      <c r="W1183" s="59"/>
      <c r="X1183" s="59"/>
      <c r="Y1183" s="59"/>
      <c r="Z1183" s="59"/>
    </row>
    <row r="1184" ht="30.0" customHeight="1">
      <c r="A1184" s="68"/>
      <c r="B1184" s="68">
        <v>1198.0</v>
      </c>
      <c r="C1184" s="68"/>
      <c r="D1184" s="69" t="str">
        <f>CONCATENATE(PROPER('BIÑAN INFO'!$G1184),", ",PROPER('BIÑAN INFO'!$E1184)," ",PROPER('BIÑAN INFO'!$F1184),"."," (",UPPER('BIÑAN INFO'!$H1184),")")</f>
        <v>Sison, Airene . ()</v>
      </c>
      <c r="E1184" s="70" t="s">
        <v>608</v>
      </c>
      <c r="F1184" s="70"/>
      <c r="G1184" s="70" t="s">
        <v>609</v>
      </c>
      <c r="H1184" s="70"/>
      <c r="I1184" s="71">
        <v>0.05</v>
      </c>
      <c r="J1184" s="72">
        <v>1000.0</v>
      </c>
      <c r="K1184" s="73"/>
      <c r="L1184" s="73"/>
      <c r="M1184" s="73"/>
      <c r="N1184" s="74"/>
      <c r="O1184" s="59"/>
      <c r="P1184" s="59"/>
      <c r="Q1184" s="59"/>
      <c r="R1184" s="59"/>
      <c r="S1184" s="59"/>
      <c r="T1184" s="59"/>
      <c r="U1184" s="59"/>
      <c r="V1184" s="59"/>
      <c r="W1184" s="59"/>
      <c r="X1184" s="59"/>
      <c r="Y1184" s="59"/>
      <c r="Z1184" s="59"/>
    </row>
    <row r="1185" ht="30.0" customHeight="1">
      <c r="A1185" s="68"/>
      <c r="B1185" s="68">
        <v>1199.0</v>
      </c>
      <c r="C1185" s="68"/>
      <c r="D1185" s="69" t="str">
        <f>CONCATENATE(PROPER('BIÑAN INFO'!$G1185),", ",PROPER('BIÑAN INFO'!$E1185)," ",PROPER('BIÑAN INFO'!$F1185),"."," (",UPPER('BIÑAN INFO'!$H1185),")")</f>
        <v>Lim, William . ()</v>
      </c>
      <c r="E1185" s="70" t="s">
        <v>610</v>
      </c>
      <c r="F1185" s="70"/>
      <c r="G1185" s="70" t="s">
        <v>611</v>
      </c>
      <c r="H1185" s="70"/>
      <c r="I1185" s="71">
        <v>0.05</v>
      </c>
      <c r="J1185" s="72">
        <v>1000.0</v>
      </c>
      <c r="K1185" s="73"/>
      <c r="L1185" s="73"/>
      <c r="M1185" s="73"/>
      <c r="N1185" s="74"/>
      <c r="O1185" s="59"/>
      <c r="P1185" s="59"/>
      <c r="Q1185" s="59"/>
      <c r="R1185" s="59"/>
      <c r="S1185" s="59"/>
      <c r="T1185" s="59"/>
      <c r="U1185" s="59"/>
      <c r="V1185" s="59"/>
      <c r="W1185" s="59"/>
      <c r="X1185" s="59"/>
      <c r="Y1185" s="59"/>
      <c r="Z1185" s="59"/>
    </row>
    <row r="1186" ht="30.0" customHeight="1">
      <c r="A1186" s="68"/>
      <c r="B1186" s="68">
        <v>1200.0</v>
      </c>
      <c r="C1186" s="68"/>
      <c r="D1186" s="69" t="str">
        <f>CONCATENATE(PROPER('BIÑAN INFO'!$G1186),", ",PROPER('BIÑAN INFO'!$E1186)," ",PROPER('BIÑAN INFO'!$F1186),"."," (",UPPER('BIÑAN INFO'!$H1186),")")</f>
        <v>Walker, Frank J. ()</v>
      </c>
      <c r="E1186" s="70" t="s">
        <v>612</v>
      </c>
      <c r="F1186" s="70" t="s">
        <v>613</v>
      </c>
      <c r="G1186" s="70" t="s">
        <v>614</v>
      </c>
      <c r="H1186" s="70"/>
      <c r="I1186" s="71">
        <v>0.05</v>
      </c>
      <c r="J1186" s="72">
        <v>1000.0</v>
      </c>
      <c r="K1186" s="73" t="s">
        <v>50</v>
      </c>
      <c r="L1186" s="73"/>
      <c r="M1186" s="73"/>
      <c r="N1186" s="74" t="s">
        <v>133</v>
      </c>
      <c r="O1186" s="59"/>
      <c r="P1186" s="59"/>
      <c r="Q1186" s="59"/>
      <c r="R1186" s="59"/>
      <c r="S1186" s="59"/>
      <c r="T1186" s="59"/>
      <c r="U1186" s="59"/>
      <c r="V1186" s="59"/>
      <c r="W1186" s="59"/>
      <c r="X1186" s="59"/>
      <c r="Y1186" s="59"/>
      <c r="Z1186" s="59"/>
    </row>
    <row r="1187" ht="30.0" customHeight="1">
      <c r="A1187" s="68"/>
      <c r="B1187" s="68">
        <v>1201.0</v>
      </c>
      <c r="C1187" s="68"/>
      <c r="D1187" s="69" t="str">
        <f>CONCATENATE(PROPER('BIÑAN INFO'!$G1187),", ",PROPER('BIÑAN INFO'!$E1187)," ",PROPER('BIÑAN INFO'!$F1187),"."," (",UPPER('BIÑAN INFO'!$H1187),")")</f>
        <v>,  . ()</v>
      </c>
      <c r="E1187" s="70"/>
      <c r="F1187" s="70"/>
      <c r="G1187" s="70"/>
      <c r="H1187" s="69"/>
      <c r="I1187" s="71">
        <v>0.12</v>
      </c>
      <c r="J1187" s="72">
        <v>1000.0</v>
      </c>
      <c r="K1187" s="73"/>
      <c r="L1187" s="73"/>
      <c r="M1187" s="73"/>
      <c r="N1187" s="74"/>
      <c r="O1187" s="59"/>
      <c r="P1187" s="59"/>
      <c r="Q1187" s="59"/>
      <c r="R1187" s="59"/>
      <c r="S1187" s="59"/>
      <c r="T1187" s="59"/>
      <c r="U1187" s="59"/>
      <c r="V1187" s="59"/>
      <c r="W1187" s="59"/>
      <c r="X1187" s="59"/>
      <c r="Y1187" s="59"/>
      <c r="Z1187" s="59"/>
    </row>
    <row r="1188" ht="30.0" customHeight="1">
      <c r="A1188" s="68"/>
      <c r="B1188" s="68">
        <v>1202.0</v>
      </c>
      <c r="C1188" s="68"/>
      <c r="D1188" s="69" t="str">
        <f>CONCATENATE(PROPER('BIÑAN INFO'!$G1188),", ",PROPER('BIÑAN INFO'!$E1188)," ",PROPER('BIÑAN INFO'!$F1188),"."," (",UPPER('BIÑAN INFO'!$H1188),")")</f>
        <v>Salyo, Ma Corazon R. ()</v>
      </c>
      <c r="E1188" s="70" t="s">
        <v>615</v>
      </c>
      <c r="F1188" s="70" t="s">
        <v>260</v>
      </c>
      <c r="G1188" s="70" t="s">
        <v>616</v>
      </c>
      <c r="H1188" s="69"/>
      <c r="I1188" s="71">
        <v>0.12</v>
      </c>
      <c r="J1188" s="72">
        <v>1000.0</v>
      </c>
      <c r="K1188" s="73"/>
      <c r="L1188" s="73"/>
      <c r="M1188" s="73"/>
      <c r="N1188" s="74"/>
      <c r="O1188" s="59"/>
      <c r="P1188" s="59"/>
      <c r="Q1188" s="59"/>
      <c r="R1188" s="59"/>
      <c r="S1188" s="59"/>
      <c r="T1188" s="59"/>
      <c r="U1188" s="59"/>
      <c r="V1188" s="59"/>
      <c r="W1188" s="59"/>
      <c r="X1188" s="59"/>
      <c r="Y1188" s="59"/>
      <c r="Z1188" s="59"/>
    </row>
    <row r="1189" ht="30.0" customHeight="1">
      <c r="A1189" s="68"/>
      <c r="B1189" s="68">
        <v>1203.0</v>
      </c>
      <c r="C1189" s="68"/>
      <c r="D1189" s="69" t="str">
        <f>CONCATENATE(PROPER('BIÑAN INFO'!$G1189),", ",PROPER('BIÑAN INFO'!$E1189)," ",PROPER('BIÑAN INFO'!$F1189),"."," (",UPPER('BIÑAN INFO'!$H1189),")")</f>
        <v>,  . ()</v>
      </c>
      <c r="E1189" s="70"/>
      <c r="F1189" s="70"/>
      <c r="G1189" s="70"/>
      <c r="H1189" s="69"/>
      <c r="I1189" s="71">
        <v>0.12</v>
      </c>
      <c r="J1189" s="72">
        <v>1000.0</v>
      </c>
      <c r="K1189" s="73"/>
      <c r="L1189" s="73"/>
      <c r="M1189" s="73"/>
      <c r="N1189" s="74"/>
      <c r="O1189" s="59"/>
      <c r="P1189" s="59"/>
      <c r="Q1189" s="59"/>
      <c r="R1189" s="59"/>
      <c r="S1189" s="59"/>
      <c r="T1189" s="59"/>
      <c r="U1189" s="59"/>
      <c r="V1189" s="59"/>
      <c r="W1189" s="59"/>
      <c r="X1189" s="59"/>
      <c r="Y1189" s="59"/>
      <c r="Z1189" s="59"/>
    </row>
    <row r="1190" ht="30.0" customHeight="1">
      <c r="A1190" s="68"/>
      <c r="B1190" s="68">
        <v>1204.0</v>
      </c>
      <c r="C1190" s="68"/>
      <c r="D1190" s="69" t="str">
        <f>CONCATENATE(PROPER('BIÑAN INFO'!$G1190),", ",PROPER('BIÑAN INFO'!$E1190)," ",PROPER('BIÑAN INFO'!$F1190),"."," (",UPPER('BIÑAN INFO'!$H1190),")")</f>
        <v>Gonzalez, Helen . ()</v>
      </c>
      <c r="E1190" s="70" t="s">
        <v>617</v>
      </c>
      <c r="F1190" s="70"/>
      <c r="G1190" s="70" t="s">
        <v>618</v>
      </c>
      <c r="H1190" s="69"/>
      <c r="I1190" s="71">
        <v>0.12</v>
      </c>
      <c r="J1190" s="72">
        <v>1000.0</v>
      </c>
      <c r="K1190" s="73"/>
      <c r="L1190" s="73"/>
      <c r="M1190" s="73"/>
      <c r="N1190" s="74"/>
      <c r="O1190" s="59"/>
      <c r="P1190" s="59"/>
      <c r="Q1190" s="59"/>
      <c r="R1190" s="59"/>
      <c r="S1190" s="59"/>
      <c r="T1190" s="59"/>
      <c r="U1190" s="59"/>
      <c r="V1190" s="59"/>
      <c r="W1190" s="59"/>
      <c r="X1190" s="59"/>
      <c r="Y1190" s="59"/>
      <c r="Z1190" s="59"/>
    </row>
    <row r="1191" ht="30.0" customHeight="1">
      <c r="A1191" s="68"/>
      <c r="B1191" s="68">
        <v>1205.0</v>
      </c>
      <c r="C1191" s="68"/>
      <c r="D1191" s="69" t="str">
        <f>CONCATENATE(PROPER('BIÑAN INFO'!$G1191),", ",PROPER('BIÑAN INFO'!$E1191)," ",PROPER('BIÑAN INFO'!$F1191),"."," (",UPPER('BIÑAN INFO'!$H1191),")")</f>
        <v>,  . ()</v>
      </c>
      <c r="E1191" s="70"/>
      <c r="F1191" s="70"/>
      <c r="G1191" s="70"/>
      <c r="H1191" s="69"/>
      <c r="I1191" s="71">
        <v>0.12</v>
      </c>
      <c r="J1191" s="72">
        <v>1000.0</v>
      </c>
      <c r="K1191" s="73"/>
      <c r="L1191" s="73"/>
      <c r="M1191" s="73"/>
      <c r="N1191" s="74"/>
      <c r="O1191" s="59"/>
      <c r="P1191" s="59"/>
      <c r="Q1191" s="59"/>
      <c r="R1191" s="59"/>
      <c r="S1191" s="59"/>
      <c r="T1191" s="59"/>
      <c r="U1191" s="59"/>
      <c r="V1191" s="59"/>
      <c r="W1191" s="59"/>
      <c r="X1191" s="59"/>
      <c r="Y1191" s="59"/>
      <c r="Z1191" s="59"/>
    </row>
    <row r="1192" ht="30.0" customHeight="1">
      <c r="A1192" s="68"/>
      <c r="B1192" s="68">
        <v>1206.0</v>
      </c>
      <c r="C1192" s="68"/>
      <c r="D1192" s="69" t="str">
        <f>CONCATENATE(PROPER('BIÑAN INFO'!$G1192),", ",PROPER('BIÑAN INFO'!$E1192)," ",PROPER('BIÑAN INFO'!$F1192),"."," (",UPPER('BIÑAN INFO'!$H1192),")")</f>
        <v>,  . ()</v>
      </c>
      <c r="E1192" s="70"/>
      <c r="F1192" s="70"/>
      <c r="G1192" s="70"/>
      <c r="H1192" s="69"/>
      <c r="I1192" s="71">
        <v>0.12</v>
      </c>
      <c r="J1192" s="72">
        <v>1000.0</v>
      </c>
      <c r="K1192" s="73"/>
      <c r="L1192" s="73"/>
      <c r="M1192" s="73"/>
      <c r="N1192" s="74"/>
      <c r="O1192" s="59"/>
      <c r="P1192" s="59"/>
      <c r="Q1192" s="59"/>
      <c r="R1192" s="59"/>
      <c r="S1192" s="59"/>
      <c r="T1192" s="59"/>
      <c r="U1192" s="59"/>
      <c r="V1192" s="59"/>
      <c r="W1192" s="59"/>
      <c r="X1192" s="59"/>
      <c r="Y1192" s="59"/>
      <c r="Z1192" s="59"/>
    </row>
    <row r="1193" ht="30.0" customHeight="1">
      <c r="A1193" s="68"/>
      <c r="B1193" s="68">
        <v>1207.0</v>
      </c>
      <c r="C1193" s="68"/>
      <c r="D1193" s="69" t="str">
        <f>CONCATENATE(PROPER('BIÑAN INFO'!$G1193),", ",PROPER('BIÑAN INFO'!$E1193)," ",PROPER('BIÑAN INFO'!$F1193),"."," (",UPPER('BIÑAN INFO'!$H1193),")")</f>
        <v>,  . ()</v>
      </c>
      <c r="E1193" s="70"/>
      <c r="F1193" s="70"/>
      <c r="G1193" s="70"/>
      <c r="H1193" s="69"/>
      <c r="I1193" s="71">
        <v>0.12</v>
      </c>
      <c r="J1193" s="72">
        <v>1000.0</v>
      </c>
      <c r="K1193" s="73"/>
      <c r="L1193" s="73"/>
      <c r="M1193" s="73"/>
      <c r="N1193" s="74"/>
      <c r="O1193" s="59"/>
      <c r="P1193" s="59"/>
      <c r="Q1193" s="59"/>
      <c r="R1193" s="59"/>
      <c r="S1193" s="59"/>
      <c r="T1193" s="59"/>
      <c r="U1193" s="59"/>
      <c r="V1193" s="59"/>
      <c r="W1193" s="59"/>
      <c r="X1193" s="59"/>
      <c r="Y1193" s="59"/>
      <c r="Z1193" s="59"/>
    </row>
    <row r="1194" ht="30.0" customHeight="1">
      <c r="A1194" s="68"/>
      <c r="B1194" s="68">
        <v>1208.0</v>
      </c>
      <c r="C1194" s="68"/>
      <c r="D1194" s="69" t="str">
        <f>CONCATENATE(PROPER('BIÑAN INFO'!$G1194),", ",PROPER('BIÑAN INFO'!$E1194)," ",PROPER('BIÑAN INFO'!$F1194),"."," (",UPPER('BIÑAN INFO'!$H1194),")")</f>
        <v>,  . ()</v>
      </c>
      <c r="E1194" s="70"/>
      <c r="F1194" s="70"/>
      <c r="G1194" s="70"/>
      <c r="H1194" s="69"/>
      <c r="I1194" s="71">
        <v>0.12</v>
      </c>
      <c r="J1194" s="72">
        <v>1000.0</v>
      </c>
      <c r="K1194" s="73"/>
      <c r="L1194" s="73"/>
      <c r="M1194" s="73"/>
      <c r="N1194" s="74"/>
      <c r="O1194" s="59"/>
      <c r="P1194" s="59"/>
      <c r="Q1194" s="59"/>
      <c r="R1194" s="59"/>
      <c r="S1194" s="59"/>
      <c r="T1194" s="59"/>
      <c r="U1194" s="59"/>
      <c r="V1194" s="59"/>
      <c r="W1194" s="59"/>
      <c r="X1194" s="59"/>
      <c r="Y1194" s="59"/>
      <c r="Z1194" s="59"/>
    </row>
    <row r="1195" ht="30.0" customHeight="1">
      <c r="A1195" s="68"/>
      <c r="B1195" s="68">
        <v>1209.0</v>
      </c>
      <c r="C1195" s="68"/>
      <c r="D1195" s="69" t="str">
        <f>CONCATENATE(PROPER('BIÑAN INFO'!$G1195),", ",PROPER('BIÑAN INFO'!$E1195)," ",PROPER('BIÑAN INFO'!$F1195),"."," (",UPPER('BIÑAN INFO'!$H1195),")")</f>
        <v>,  . ()</v>
      </c>
      <c r="E1195" s="70"/>
      <c r="F1195" s="70"/>
      <c r="G1195" s="70"/>
      <c r="H1195" s="69"/>
      <c r="I1195" s="71">
        <v>0.12</v>
      </c>
      <c r="J1195" s="72">
        <v>1000.0</v>
      </c>
      <c r="K1195" s="73"/>
      <c r="L1195" s="73"/>
      <c r="M1195" s="73"/>
      <c r="N1195" s="74"/>
      <c r="O1195" s="59"/>
      <c r="P1195" s="59"/>
      <c r="Q1195" s="59"/>
      <c r="R1195" s="59"/>
      <c r="S1195" s="59"/>
      <c r="T1195" s="59"/>
      <c r="U1195" s="59"/>
      <c r="V1195" s="59"/>
      <c r="W1195" s="59"/>
      <c r="X1195" s="59"/>
      <c r="Y1195" s="59"/>
      <c r="Z1195" s="59"/>
    </row>
    <row r="1196" ht="30.0" customHeight="1">
      <c r="A1196" s="68"/>
      <c r="B1196" s="68">
        <v>1210.0</v>
      </c>
      <c r="C1196" s="68"/>
      <c r="D1196" s="69" t="str">
        <f>CONCATENATE(PROPER('BIÑAN INFO'!$G1196),", ",PROPER('BIÑAN INFO'!$E1196)," ",PROPER('BIÑAN INFO'!$F1196),"."," (",UPPER('BIÑAN INFO'!$H1196),")")</f>
        <v>,  . ()</v>
      </c>
      <c r="E1196" s="70"/>
      <c r="F1196" s="70"/>
      <c r="G1196" s="70"/>
      <c r="H1196" s="69"/>
      <c r="I1196" s="71">
        <v>0.12</v>
      </c>
      <c r="J1196" s="72">
        <v>1000.0</v>
      </c>
      <c r="K1196" s="73"/>
      <c r="L1196" s="73"/>
      <c r="M1196" s="73"/>
      <c r="N1196" s="74"/>
      <c r="O1196" s="59"/>
      <c r="P1196" s="59"/>
      <c r="Q1196" s="59"/>
      <c r="R1196" s="59"/>
      <c r="S1196" s="59"/>
      <c r="T1196" s="59"/>
      <c r="U1196" s="59"/>
      <c r="V1196" s="59"/>
      <c r="W1196" s="59"/>
      <c r="X1196" s="59"/>
      <c r="Y1196" s="59"/>
      <c r="Z1196" s="59"/>
    </row>
    <row r="1197" ht="30.0" customHeight="1">
      <c r="A1197" s="68"/>
      <c r="B1197" s="68">
        <v>1211.0</v>
      </c>
      <c r="C1197" s="68"/>
      <c r="D1197" s="69" t="str">
        <f>CONCATENATE(PROPER('BIÑAN INFO'!$G1197),", ",PROPER('BIÑAN INFO'!$E1197)," ",PROPER('BIÑAN INFO'!$F1197),"."," (",UPPER('BIÑAN INFO'!$H1197),")")</f>
        <v>,  . ()</v>
      </c>
      <c r="E1197" s="70"/>
      <c r="F1197" s="70"/>
      <c r="G1197" s="70"/>
      <c r="H1197" s="69"/>
      <c r="I1197" s="71">
        <v>0.12</v>
      </c>
      <c r="J1197" s="72">
        <v>1000.0</v>
      </c>
      <c r="K1197" s="73"/>
      <c r="L1197" s="73"/>
      <c r="M1197" s="73"/>
      <c r="N1197" s="74"/>
      <c r="O1197" s="59"/>
      <c r="P1197" s="59"/>
      <c r="Q1197" s="59"/>
      <c r="R1197" s="59"/>
      <c r="S1197" s="59"/>
      <c r="T1197" s="59"/>
      <c r="U1197" s="59"/>
      <c r="V1197" s="59"/>
      <c r="W1197" s="59"/>
      <c r="X1197" s="59"/>
      <c r="Y1197" s="59"/>
      <c r="Z1197" s="59"/>
    </row>
    <row r="1198" ht="30.0" customHeight="1">
      <c r="A1198" s="68"/>
      <c r="B1198" s="68">
        <v>1212.0</v>
      </c>
      <c r="C1198" s="68"/>
      <c r="D1198" s="69" t="str">
        <f>CONCATENATE(PROPER('BIÑAN INFO'!$G1198),", ",PROPER('BIÑAN INFO'!$E1198)," ",PROPER('BIÑAN INFO'!$F1198),"."," (",UPPER('BIÑAN INFO'!$H1198),")")</f>
        <v>,  . ()</v>
      </c>
      <c r="E1198" s="70"/>
      <c r="F1198" s="70"/>
      <c r="G1198" s="70"/>
      <c r="H1198" s="69"/>
      <c r="I1198" s="71">
        <v>0.12</v>
      </c>
      <c r="J1198" s="72">
        <v>1000.0</v>
      </c>
      <c r="K1198" s="73"/>
      <c r="L1198" s="73"/>
      <c r="M1198" s="73"/>
      <c r="N1198" s="74"/>
      <c r="O1198" s="59"/>
      <c r="P1198" s="59"/>
      <c r="Q1198" s="59"/>
      <c r="R1198" s="59"/>
      <c r="S1198" s="59"/>
      <c r="T1198" s="59"/>
      <c r="U1198" s="59"/>
      <c r="V1198" s="59"/>
      <c r="W1198" s="59"/>
      <c r="X1198" s="59"/>
      <c r="Y1198" s="59"/>
      <c r="Z1198" s="59"/>
    </row>
    <row r="1199" ht="30.0" customHeight="1">
      <c r="A1199" s="68"/>
      <c r="B1199" s="68">
        <v>1213.0</v>
      </c>
      <c r="C1199" s="68"/>
      <c r="D1199" s="69" t="str">
        <f>CONCATENATE(PROPER('BIÑAN INFO'!$G1199),", ",PROPER('BIÑAN INFO'!$E1199)," ",PROPER('BIÑAN INFO'!$F1199),"."," (",UPPER('BIÑAN INFO'!$H1199),")")</f>
        <v>,  . ()</v>
      </c>
      <c r="E1199" s="70"/>
      <c r="F1199" s="70"/>
      <c r="G1199" s="70"/>
      <c r="H1199" s="69"/>
      <c r="I1199" s="71">
        <v>0.12</v>
      </c>
      <c r="J1199" s="72">
        <v>1000.0</v>
      </c>
      <c r="K1199" s="73"/>
      <c r="L1199" s="73"/>
      <c r="M1199" s="73"/>
      <c r="N1199" s="74"/>
      <c r="O1199" s="59"/>
      <c r="P1199" s="59"/>
      <c r="Q1199" s="59"/>
      <c r="R1199" s="59"/>
      <c r="S1199" s="59"/>
      <c r="T1199" s="59"/>
      <c r="U1199" s="59"/>
      <c r="V1199" s="59"/>
      <c r="W1199" s="59"/>
      <c r="X1199" s="59"/>
      <c r="Y1199" s="59"/>
      <c r="Z1199" s="59"/>
    </row>
    <row r="1200" ht="30.0" customHeight="1">
      <c r="A1200" s="68"/>
      <c r="B1200" s="68">
        <v>1214.0</v>
      </c>
      <c r="C1200" s="68"/>
      <c r="D1200" s="69" t="str">
        <f>CONCATENATE(PROPER('BIÑAN INFO'!$G1200),", ",PROPER('BIÑAN INFO'!$E1200)," ",PROPER('BIÑAN INFO'!$F1200),"."," (",UPPER('BIÑAN INFO'!$H1200),")")</f>
        <v>,  . ()</v>
      </c>
      <c r="E1200" s="70"/>
      <c r="F1200" s="70"/>
      <c r="G1200" s="70"/>
      <c r="H1200" s="69"/>
      <c r="I1200" s="71">
        <v>0.12</v>
      </c>
      <c r="J1200" s="72">
        <v>1000.0</v>
      </c>
      <c r="K1200" s="73"/>
      <c r="L1200" s="73"/>
      <c r="M1200" s="73"/>
      <c r="N1200" s="74"/>
      <c r="O1200" s="59"/>
      <c r="P1200" s="59"/>
      <c r="Q1200" s="59"/>
      <c r="R1200" s="59"/>
      <c r="S1200" s="59"/>
      <c r="T1200" s="59"/>
      <c r="U1200" s="59"/>
      <c r="V1200" s="59"/>
      <c r="W1200" s="59"/>
      <c r="X1200" s="59"/>
      <c r="Y1200" s="59"/>
      <c r="Z1200" s="59"/>
    </row>
    <row r="1201" ht="30.0" customHeight="1">
      <c r="A1201" s="68"/>
      <c r="B1201" s="68">
        <v>1215.0</v>
      </c>
      <c r="C1201" s="68"/>
      <c r="D1201" s="69" t="str">
        <f>CONCATENATE(PROPER('BIÑAN INFO'!$G1201),", ",PROPER('BIÑAN INFO'!$E1201)," ",PROPER('BIÑAN INFO'!$F1201),"."," (",UPPER('BIÑAN INFO'!$H1201),")")</f>
        <v>,  . ()</v>
      </c>
      <c r="E1201" s="70"/>
      <c r="F1201" s="70"/>
      <c r="G1201" s="70"/>
      <c r="H1201" s="69"/>
      <c r="I1201" s="71">
        <v>0.12</v>
      </c>
      <c r="J1201" s="72">
        <v>1000.0</v>
      </c>
      <c r="K1201" s="73"/>
      <c r="L1201" s="73"/>
      <c r="M1201" s="73"/>
      <c r="N1201" s="74"/>
      <c r="O1201" s="59"/>
      <c r="P1201" s="59"/>
      <c r="Q1201" s="59"/>
      <c r="R1201" s="59"/>
      <c r="S1201" s="59"/>
      <c r="T1201" s="59"/>
      <c r="U1201" s="59"/>
      <c r="V1201" s="59"/>
      <c r="W1201" s="59"/>
      <c r="X1201" s="59"/>
      <c r="Y1201" s="59"/>
      <c r="Z1201" s="59"/>
    </row>
    <row r="1202" ht="30.0" customHeight="1">
      <c r="A1202" s="68"/>
      <c r="B1202" s="68">
        <v>1216.0</v>
      </c>
      <c r="C1202" s="68"/>
      <c r="D1202" s="69" t="str">
        <f>CONCATENATE(PROPER('BIÑAN INFO'!$G1202),", ",PROPER('BIÑAN INFO'!$E1202)," ",PROPER('BIÑAN INFO'!$F1202),"."," (",UPPER('BIÑAN INFO'!$H1202),")")</f>
        <v>Sun, Perla V. ()</v>
      </c>
      <c r="E1202" s="70" t="s">
        <v>619</v>
      </c>
      <c r="F1202" s="70" t="s">
        <v>620</v>
      </c>
      <c r="G1202" s="70" t="s">
        <v>621</v>
      </c>
      <c r="H1202" s="69"/>
      <c r="I1202" s="71">
        <v>0.05</v>
      </c>
      <c r="J1202" s="72">
        <v>1000.0</v>
      </c>
      <c r="K1202" s="73"/>
      <c r="L1202" s="73"/>
      <c r="M1202" s="73"/>
      <c r="N1202" s="74"/>
      <c r="O1202" s="59"/>
      <c r="P1202" s="59"/>
      <c r="Q1202" s="59"/>
      <c r="R1202" s="59"/>
      <c r="S1202" s="59"/>
      <c r="T1202" s="59"/>
      <c r="U1202" s="59"/>
      <c r="V1202" s="59"/>
      <c r="W1202" s="59"/>
      <c r="X1202" s="59"/>
      <c r="Y1202" s="59"/>
      <c r="Z1202" s="59"/>
    </row>
    <row r="1203" ht="30.0" customHeight="1">
      <c r="A1203" s="68"/>
      <c r="B1203" s="68">
        <v>1217.0</v>
      </c>
      <c r="C1203" s="68"/>
      <c r="D1203" s="69" t="str">
        <f>CONCATENATE(PROPER('BIÑAN INFO'!$G1203),", ",PROPER('BIÑAN INFO'!$E1203)," ",PROPER('BIÑAN INFO'!$F1203),"."," (",UPPER('BIÑAN INFO'!$H1203),")")</f>
        <v>,  . ()</v>
      </c>
      <c r="E1203" s="70"/>
      <c r="F1203" s="70"/>
      <c r="G1203" s="70"/>
      <c r="H1203" s="69"/>
      <c r="I1203" s="71">
        <v>0.05</v>
      </c>
      <c r="J1203" s="72">
        <v>1000.0</v>
      </c>
      <c r="K1203" s="73"/>
      <c r="L1203" s="73"/>
      <c r="M1203" s="73"/>
      <c r="N1203" s="74"/>
      <c r="O1203" s="59"/>
      <c r="P1203" s="59"/>
      <c r="Q1203" s="59"/>
      <c r="R1203" s="59"/>
      <c r="S1203" s="59"/>
      <c r="T1203" s="59"/>
      <c r="U1203" s="59"/>
      <c r="V1203" s="59"/>
      <c r="W1203" s="59"/>
      <c r="X1203" s="59"/>
      <c r="Y1203" s="59"/>
      <c r="Z1203" s="59"/>
    </row>
    <row r="1204" ht="30.0" customHeight="1">
      <c r="A1204" s="68"/>
      <c r="B1204" s="68">
        <v>1218.0</v>
      </c>
      <c r="C1204" s="68"/>
      <c r="D1204" s="69" t="str">
        <f>CONCATENATE(PROPER('BIÑAN INFO'!$G1204),", ",PROPER('BIÑAN INFO'!$E1204)," ",PROPER('BIÑAN INFO'!$F1204),"."," (",UPPER('BIÑAN INFO'!$H1204),")")</f>
        <v>,  . ()</v>
      </c>
      <c r="E1204" s="70"/>
      <c r="F1204" s="70"/>
      <c r="G1204" s="70"/>
      <c r="H1204" s="69"/>
      <c r="I1204" s="71">
        <v>0.12</v>
      </c>
      <c r="J1204" s="72">
        <v>1000.0</v>
      </c>
      <c r="K1204" s="73"/>
      <c r="L1204" s="73"/>
      <c r="M1204" s="73"/>
      <c r="N1204" s="74"/>
      <c r="O1204" s="59"/>
      <c r="P1204" s="59"/>
      <c r="Q1204" s="59"/>
      <c r="R1204" s="59"/>
      <c r="S1204" s="59"/>
      <c r="T1204" s="59"/>
      <c r="U1204" s="59"/>
      <c r="V1204" s="59"/>
      <c r="W1204" s="59"/>
      <c r="X1204" s="59"/>
      <c r="Y1204" s="59"/>
      <c r="Z1204" s="59"/>
    </row>
    <row r="1205" ht="30.0" customHeight="1">
      <c r="A1205" s="68"/>
      <c r="B1205" s="68">
        <v>1219.0</v>
      </c>
      <c r="C1205" s="68"/>
      <c r="D1205" s="69" t="str">
        <f>CONCATENATE(PROPER('BIÑAN INFO'!$G1205),", ",PROPER('BIÑAN INFO'!$E1205)," ",PROPER('BIÑAN INFO'!$F1205),"."," (",UPPER('BIÑAN INFO'!$H1205),")")</f>
        <v>,  . ()</v>
      </c>
      <c r="E1205" s="70"/>
      <c r="F1205" s="70"/>
      <c r="G1205" s="70"/>
      <c r="H1205" s="69"/>
      <c r="I1205" s="71">
        <v>0.12</v>
      </c>
      <c r="J1205" s="72">
        <v>1000.0</v>
      </c>
      <c r="K1205" s="73"/>
      <c r="L1205" s="73"/>
      <c r="M1205" s="73"/>
      <c r="N1205" s="74"/>
      <c r="O1205" s="59"/>
      <c r="P1205" s="59"/>
      <c r="Q1205" s="59"/>
      <c r="R1205" s="59"/>
      <c r="S1205" s="59"/>
      <c r="T1205" s="59"/>
      <c r="U1205" s="59"/>
      <c r="V1205" s="59"/>
      <c r="W1205" s="59"/>
      <c r="X1205" s="59"/>
      <c r="Y1205" s="59"/>
      <c r="Z1205" s="59"/>
    </row>
    <row r="1206" ht="30.0" customHeight="1">
      <c r="A1206" s="68"/>
      <c r="B1206" s="68">
        <v>1220.0</v>
      </c>
      <c r="C1206" s="68"/>
      <c r="D1206" s="69" t="str">
        <f>CONCATENATE(PROPER('BIÑAN INFO'!$G1206),", ",PROPER('BIÑAN INFO'!$E1206)," ",PROPER('BIÑAN INFO'!$F1206),"."," (",UPPER('BIÑAN INFO'!$H1206),")")</f>
        <v>Laserna, Ma Cecilia Q. ()</v>
      </c>
      <c r="E1206" s="70" t="s">
        <v>622</v>
      </c>
      <c r="F1206" s="70" t="s">
        <v>545</v>
      </c>
      <c r="G1206" s="70" t="s">
        <v>456</v>
      </c>
      <c r="H1206" s="69"/>
      <c r="I1206" s="71">
        <v>0.05</v>
      </c>
      <c r="J1206" s="72">
        <v>1000.0</v>
      </c>
      <c r="K1206" s="73" t="s">
        <v>50</v>
      </c>
      <c r="L1206" s="73" t="s">
        <v>465</v>
      </c>
      <c r="M1206" s="73">
        <v>2022.0</v>
      </c>
      <c r="N1206" s="74"/>
      <c r="O1206" s="59"/>
      <c r="P1206" s="59"/>
      <c r="Q1206" s="59"/>
      <c r="R1206" s="59"/>
      <c r="S1206" s="59"/>
      <c r="T1206" s="59"/>
      <c r="U1206" s="59"/>
      <c r="V1206" s="59"/>
      <c r="W1206" s="59"/>
      <c r="X1206" s="59"/>
      <c r="Y1206" s="59"/>
      <c r="Z1206" s="59"/>
    </row>
    <row r="1207" ht="30.0" customHeight="1">
      <c r="A1207" s="68"/>
      <c r="B1207" s="68">
        <v>1221.0</v>
      </c>
      <c r="C1207" s="68"/>
      <c r="D1207" s="69" t="str">
        <f>CONCATENATE(PROPER('BIÑAN INFO'!$G1207),", ",PROPER('BIÑAN INFO'!$E1207)," ",PROPER('BIÑAN INFO'!$F1207),"."," (",UPPER('BIÑAN INFO'!$H1207),")")</f>
        <v>,  . ()</v>
      </c>
      <c r="E1207" s="70"/>
      <c r="F1207" s="70"/>
      <c r="G1207" s="70"/>
      <c r="H1207" s="69"/>
      <c r="I1207" s="71">
        <v>0.05</v>
      </c>
      <c r="J1207" s="72">
        <v>1000.0</v>
      </c>
      <c r="K1207" s="73"/>
      <c r="L1207" s="73"/>
      <c r="M1207" s="73"/>
      <c r="N1207" s="74"/>
      <c r="O1207" s="59"/>
      <c r="P1207" s="59"/>
      <c r="Q1207" s="59"/>
      <c r="R1207" s="59"/>
      <c r="S1207" s="59"/>
      <c r="T1207" s="59"/>
      <c r="U1207" s="59"/>
      <c r="V1207" s="59"/>
      <c r="W1207" s="59"/>
      <c r="X1207" s="59"/>
      <c r="Y1207" s="59"/>
      <c r="Z1207" s="59"/>
    </row>
    <row r="1208" ht="30.0" customHeight="1">
      <c r="A1208" s="68"/>
      <c r="B1208" s="68">
        <v>1222.0</v>
      </c>
      <c r="C1208" s="68"/>
      <c r="D1208" s="69" t="str">
        <f>CONCATENATE(PROPER('BIÑAN INFO'!$G1208),", ",PROPER('BIÑAN INFO'!$E1208)," ",PROPER('BIÑAN INFO'!$F1208),"."," (",UPPER('BIÑAN INFO'!$H1208),")")</f>
        <v>,  . ()</v>
      </c>
      <c r="E1208" s="70"/>
      <c r="F1208" s="70"/>
      <c r="G1208" s="70"/>
      <c r="H1208" s="69"/>
      <c r="I1208" s="71">
        <v>0.12</v>
      </c>
      <c r="J1208" s="72">
        <v>1000.0</v>
      </c>
      <c r="K1208" s="73"/>
      <c r="L1208" s="73"/>
      <c r="M1208" s="73"/>
      <c r="N1208" s="74"/>
      <c r="O1208" s="59"/>
      <c r="P1208" s="59"/>
      <c r="Q1208" s="59"/>
      <c r="R1208" s="59"/>
      <c r="S1208" s="59"/>
      <c r="T1208" s="59"/>
      <c r="U1208" s="59"/>
      <c r="V1208" s="59"/>
      <c r="W1208" s="59"/>
      <c r="X1208" s="59"/>
      <c r="Y1208" s="59"/>
      <c r="Z1208" s="59"/>
    </row>
    <row r="1209" ht="30.0" customHeight="1">
      <c r="A1209" s="68"/>
      <c r="B1209" s="68">
        <v>1223.0</v>
      </c>
      <c r="C1209" s="68"/>
      <c r="D1209" s="69" t="str">
        <f>CONCATENATE(PROPER('BIÑAN INFO'!$G1209),", ",PROPER('BIÑAN INFO'!$E1209)," ",PROPER('BIÑAN INFO'!$F1209),"."," (",UPPER('BIÑAN INFO'!$H1209),")")</f>
        <v>,  . ()</v>
      </c>
      <c r="E1209" s="70"/>
      <c r="F1209" s="70"/>
      <c r="G1209" s="70"/>
      <c r="H1209" s="69"/>
      <c r="I1209" s="71">
        <v>0.05</v>
      </c>
      <c r="J1209" s="72">
        <v>1000.0</v>
      </c>
      <c r="K1209" s="73" t="s">
        <v>50</v>
      </c>
      <c r="L1209" s="73" t="s">
        <v>106</v>
      </c>
      <c r="M1209" s="73"/>
      <c r="N1209" s="74" t="s">
        <v>623</v>
      </c>
      <c r="O1209" s="59"/>
      <c r="P1209" s="59"/>
      <c r="Q1209" s="59"/>
      <c r="R1209" s="59"/>
      <c r="S1209" s="59"/>
      <c r="T1209" s="59"/>
      <c r="U1209" s="59"/>
      <c r="V1209" s="59"/>
      <c r="W1209" s="59"/>
      <c r="X1209" s="59"/>
      <c r="Y1209" s="59"/>
      <c r="Z1209" s="59"/>
    </row>
    <row r="1210" ht="30.0" customHeight="1">
      <c r="A1210" s="68"/>
      <c r="B1210" s="68">
        <v>1224.0</v>
      </c>
      <c r="C1210" s="68"/>
      <c r="D1210" s="69" t="str">
        <f>CONCATENATE(PROPER('BIÑAN INFO'!$G1210),", ",PROPER('BIÑAN INFO'!$E1210)," ",PROPER('BIÑAN INFO'!$F1210),"."," (",UPPER('BIÑAN INFO'!$H1210),")")</f>
        <v>,  . ()</v>
      </c>
      <c r="E1210" s="70"/>
      <c r="F1210" s="70"/>
      <c r="G1210" s="70"/>
      <c r="H1210" s="69"/>
      <c r="I1210" s="71">
        <v>0.12</v>
      </c>
      <c r="J1210" s="72">
        <v>1000.0</v>
      </c>
      <c r="K1210" s="73"/>
      <c r="L1210" s="73"/>
      <c r="M1210" s="73"/>
      <c r="N1210" s="74"/>
      <c r="O1210" s="59"/>
      <c r="P1210" s="59"/>
      <c r="Q1210" s="59"/>
      <c r="R1210" s="59"/>
      <c r="S1210" s="59"/>
      <c r="T1210" s="59"/>
      <c r="U1210" s="59"/>
      <c r="V1210" s="59"/>
      <c r="W1210" s="59"/>
      <c r="X1210" s="59"/>
      <c r="Y1210" s="59"/>
      <c r="Z1210" s="59"/>
    </row>
    <row r="1211" ht="30.0" customHeight="1">
      <c r="A1211" s="68"/>
      <c r="B1211" s="68">
        <v>1225.0</v>
      </c>
      <c r="C1211" s="68"/>
      <c r="D1211" s="69" t="str">
        <f>CONCATENATE(PROPER('BIÑAN INFO'!$G1211),", ",PROPER('BIÑAN INFO'!$E1211)," ",PROPER('BIÑAN INFO'!$F1211),"."," (",UPPER('BIÑAN INFO'!$H1211),")")</f>
        <v>,  . ()</v>
      </c>
      <c r="E1211" s="70"/>
      <c r="F1211" s="70"/>
      <c r="G1211" s="70"/>
      <c r="H1211" s="69"/>
      <c r="I1211" s="71">
        <v>0.12</v>
      </c>
      <c r="J1211" s="72">
        <v>1000.0</v>
      </c>
      <c r="K1211" s="73"/>
      <c r="L1211" s="73"/>
      <c r="M1211" s="73"/>
      <c r="N1211" s="74"/>
      <c r="O1211" s="59"/>
      <c r="P1211" s="59"/>
      <c r="Q1211" s="59"/>
      <c r="R1211" s="59"/>
      <c r="S1211" s="59"/>
      <c r="T1211" s="59"/>
      <c r="U1211" s="59"/>
      <c r="V1211" s="59"/>
      <c r="W1211" s="59"/>
      <c r="X1211" s="59"/>
      <c r="Y1211" s="59"/>
      <c r="Z1211" s="59"/>
    </row>
    <row r="1212" ht="30.0" customHeight="1">
      <c r="A1212" s="68"/>
      <c r="B1212" s="68">
        <v>1226.0</v>
      </c>
      <c r="C1212" s="68"/>
      <c r="D1212" s="69" t="str">
        <f>CONCATENATE(PROPER('BIÑAN INFO'!$G1212),", ",PROPER('BIÑAN INFO'!$E1212)," ",PROPER('BIÑAN INFO'!$F1212),"."," (",UPPER('BIÑAN INFO'!$H1212),")")</f>
        <v>Villareal, Myra J. ()</v>
      </c>
      <c r="E1212" s="70" t="s">
        <v>624</v>
      </c>
      <c r="F1212" s="70" t="s">
        <v>613</v>
      </c>
      <c r="G1212" s="70" t="s">
        <v>625</v>
      </c>
      <c r="H1212" s="69"/>
      <c r="I1212" s="71">
        <v>0.05</v>
      </c>
      <c r="J1212" s="72">
        <v>1000.0</v>
      </c>
      <c r="K1212" s="73" t="s">
        <v>50</v>
      </c>
      <c r="L1212" s="73"/>
      <c r="M1212" s="73"/>
      <c r="N1212" s="74"/>
      <c r="O1212" s="59"/>
      <c r="P1212" s="59"/>
      <c r="Q1212" s="59"/>
      <c r="R1212" s="59"/>
      <c r="S1212" s="59"/>
      <c r="T1212" s="59"/>
      <c r="U1212" s="59"/>
      <c r="V1212" s="59"/>
      <c r="W1212" s="59"/>
      <c r="X1212" s="59"/>
      <c r="Y1212" s="59"/>
      <c r="Z1212" s="59"/>
    </row>
    <row r="1213" ht="30.0" customHeight="1">
      <c r="A1213" s="68"/>
      <c r="B1213" s="68">
        <v>1227.0</v>
      </c>
      <c r="C1213" s="68"/>
      <c r="D1213" s="69" t="str">
        <f>CONCATENATE(PROPER('BIÑAN INFO'!$G1213),", ",PROPER('BIÑAN INFO'!$E1213)," ",PROPER('BIÑAN INFO'!$F1213),"."," (",UPPER('BIÑAN INFO'!$H1213),")")</f>
        <v>,  . ()</v>
      </c>
      <c r="E1213" s="70"/>
      <c r="F1213" s="70"/>
      <c r="G1213" s="70"/>
      <c r="H1213" s="69"/>
      <c r="I1213" s="71">
        <v>0.05</v>
      </c>
      <c r="J1213" s="72">
        <v>1000.0</v>
      </c>
      <c r="K1213" s="73"/>
      <c r="L1213" s="73"/>
      <c r="M1213" s="73"/>
      <c r="N1213" s="74"/>
      <c r="O1213" s="59"/>
      <c r="P1213" s="59"/>
      <c r="Q1213" s="59"/>
      <c r="R1213" s="59"/>
      <c r="S1213" s="59"/>
      <c r="T1213" s="59"/>
      <c r="U1213" s="59"/>
      <c r="V1213" s="59"/>
      <c r="W1213" s="59"/>
      <c r="X1213" s="59"/>
      <c r="Y1213" s="59"/>
      <c r="Z1213" s="59"/>
    </row>
    <row r="1214" ht="30.0" customHeight="1">
      <c r="A1214" s="68"/>
      <c r="B1214" s="68">
        <v>1228.0</v>
      </c>
      <c r="C1214" s="68"/>
      <c r="D1214" s="69" t="str">
        <f>CONCATENATE(PROPER('BIÑAN INFO'!$G1214),", ",PROPER('BIÑAN INFO'!$E1214)," ",PROPER('BIÑAN INFO'!$F1214),"."," (",UPPER('BIÑAN INFO'!$H1214),")")</f>
        <v>,  . ()</v>
      </c>
      <c r="E1214" s="70"/>
      <c r="F1214" s="69"/>
      <c r="G1214" s="70"/>
      <c r="H1214" s="69"/>
      <c r="I1214" s="71">
        <v>0.12</v>
      </c>
      <c r="J1214" s="72">
        <v>1000.0</v>
      </c>
      <c r="K1214" s="73"/>
      <c r="L1214" s="73"/>
      <c r="M1214" s="73"/>
      <c r="N1214" s="74"/>
      <c r="O1214" s="59"/>
      <c r="P1214" s="59"/>
      <c r="Q1214" s="59"/>
      <c r="R1214" s="59"/>
      <c r="S1214" s="59"/>
      <c r="T1214" s="59"/>
      <c r="U1214" s="59"/>
      <c r="V1214" s="59"/>
      <c r="W1214" s="59"/>
      <c r="X1214" s="59"/>
      <c r="Y1214" s="59"/>
      <c r="Z1214" s="59"/>
    </row>
    <row r="1215" ht="30.0" customHeight="1">
      <c r="A1215" s="68"/>
      <c r="B1215" s="68">
        <v>1229.0</v>
      </c>
      <c r="C1215" s="68"/>
      <c r="D1215" s="69" t="str">
        <f>CONCATENATE(PROPER('BIÑAN INFO'!$G1215),", ",PROPER('BIÑAN INFO'!$E1215)," ",PROPER('BIÑAN INFO'!$F1215),"."," (",UPPER('BIÑAN INFO'!$H1215),")")</f>
        <v>,  . ()</v>
      </c>
      <c r="E1215" s="70"/>
      <c r="F1215" s="69"/>
      <c r="G1215" s="70"/>
      <c r="H1215" s="69"/>
      <c r="I1215" s="71">
        <v>0.12</v>
      </c>
      <c r="J1215" s="72">
        <v>1000.0</v>
      </c>
      <c r="K1215" s="73"/>
      <c r="L1215" s="73"/>
      <c r="M1215" s="73"/>
      <c r="N1215" s="74"/>
      <c r="O1215" s="59"/>
      <c r="P1215" s="59"/>
      <c r="Q1215" s="59"/>
      <c r="R1215" s="59"/>
      <c r="S1215" s="59"/>
      <c r="T1215" s="59"/>
      <c r="U1215" s="59"/>
      <c r="V1215" s="59"/>
      <c r="W1215" s="59"/>
      <c r="X1215" s="59"/>
      <c r="Y1215" s="59"/>
      <c r="Z1215" s="59"/>
    </row>
    <row r="1216" ht="30.0" customHeight="1">
      <c r="A1216" s="68"/>
      <c r="B1216" s="68">
        <v>1230.0</v>
      </c>
      <c r="C1216" s="68"/>
      <c r="D1216" s="69" t="str">
        <f>CONCATENATE(PROPER('BIÑAN INFO'!$G1216),", ",PROPER('BIÑAN INFO'!$E1216)," ",PROPER('BIÑAN INFO'!$F1216),"."," (",UPPER('BIÑAN INFO'!$H1216),")")</f>
        <v>,  . ()</v>
      </c>
      <c r="E1216" s="70"/>
      <c r="F1216" s="70"/>
      <c r="G1216" s="70"/>
      <c r="H1216" s="69"/>
      <c r="I1216" s="71">
        <v>0.12</v>
      </c>
      <c r="J1216" s="72">
        <v>1000.0</v>
      </c>
      <c r="K1216" s="73"/>
      <c r="L1216" s="73"/>
      <c r="M1216" s="73"/>
      <c r="N1216" s="74"/>
      <c r="O1216" s="59"/>
      <c r="P1216" s="59"/>
      <c r="Q1216" s="59"/>
      <c r="R1216" s="59"/>
      <c r="S1216" s="59"/>
      <c r="T1216" s="59"/>
      <c r="U1216" s="59"/>
      <c r="V1216" s="59"/>
      <c r="W1216" s="59"/>
      <c r="X1216" s="59"/>
      <c r="Y1216" s="59"/>
      <c r="Z1216" s="59"/>
    </row>
    <row r="1217" ht="30.0" customHeight="1">
      <c r="A1217" s="68"/>
      <c r="B1217" s="68">
        <v>1231.0</v>
      </c>
      <c r="C1217" s="68"/>
      <c r="D1217" s="69" t="str">
        <f>CONCATENATE(PROPER('BIÑAN INFO'!$G1217),", ",PROPER('BIÑAN INFO'!$E1217)," ",PROPER('BIÑAN INFO'!$F1217),"."," (",UPPER('BIÑAN INFO'!$H1217),")")</f>
        <v>Gonzales, Roberto A. ()</v>
      </c>
      <c r="E1217" s="70" t="s">
        <v>197</v>
      </c>
      <c r="F1217" s="70" t="s">
        <v>427</v>
      </c>
      <c r="G1217" s="70" t="s">
        <v>394</v>
      </c>
      <c r="H1217" s="69"/>
      <c r="I1217" s="71">
        <v>0.12</v>
      </c>
      <c r="J1217" s="72">
        <v>1000.0</v>
      </c>
      <c r="K1217" s="73"/>
      <c r="L1217" s="73"/>
      <c r="M1217" s="73"/>
      <c r="N1217" s="74"/>
      <c r="O1217" s="59"/>
      <c r="P1217" s="59"/>
      <c r="Q1217" s="59"/>
      <c r="R1217" s="59"/>
      <c r="S1217" s="59"/>
      <c r="T1217" s="59"/>
      <c r="U1217" s="59"/>
      <c r="V1217" s="59"/>
      <c r="W1217" s="59"/>
      <c r="X1217" s="59"/>
      <c r="Y1217" s="59"/>
      <c r="Z1217" s="59"/>
    </row>
    <row r="1218" ht="30.0" customHeight="1">
      <c r="A1218" s="68"/>
      <c r="B1218" s="68">
        <v>1232.0</v>
      </c>
      <c r="C1218" s="68"/>
      <c r="D1218" s="69" t="str">
        <f>CONCATENATE(PROPER('BIÑAN INFO'!$G1218),", ",PROPER('BIÑAN INFO'!$E1218)," ",PROPER('BIÑAN INFO'!$F1218),"."," (",UPPER('BIÑAN INFO'!$H1218),")")</f>
        <v>,  . ()</v>
      </c>
      <c r="E1218" s="70"/>
      <c r="F1218" s="69"/>
      <c r="G1218" s="70"/>
      <c r="H1218" s="69"/>
      <c r="I1218" s="71">
        <v>0.12</v>
      </c>
      <c r="J1218" s="72">
        <v>1000.0</v>
      </c>
      <c r="K1218" s="73"/>
      <c r="L1218" s="73"/>
      <c r="M1218" s="73"/>
      <c r="N1218" s="74"/>
      <c r="O1218" s="59"/>
      <c r="P1218" s="59"/>
      <c r="Q1218" s="59"/>
      <c r="R1218" s="59"/>
      <c r="S1218" s="59"/>
      <c r="T1218" s="59"/>
      <c r="U1218" s="59"/>
      <c r="V1218" s="59"/>
      <c r="W1218" s="59"/>
      <c r="X1218" s="59"/>
      <c r="Y1218" s="59"/>
      <c r="Z1218" s="59"/>
    </row>
    <row r="1219" ht="30.0" customHeight="1">
      <c r="A1219" s="68"/>
      <c r="B1219" s="68">
        <v>1233.0</v>
      </c>
      <c r="C1219" s="68"/>
      <c r="D1219" s="69" t="str">
        <f>CONCATENATE(PROPER('BIÑAN INFO'!$G1219),", ",PROPER('BIÑAN INFO'!$E1219)," ",PROPER('BIÑAN INFO'!$F1219),"."," (",UPPER('BIÑAN INFO'!$H1219),")")</f>
        <v>Grajo, Loreto B. (JR)</v>
      </c>
      <c r="E1219" s="70" t="s">
        <v>626</v>
      </c>
      <c r="F1219" s="69" t="s">
        <v>627</v>
      </c>
      <c r="G1219" s="70" t="s">
        <v>628</v>
      </c>
      <c r="H1219" s="69" t="s">
        <v>629</v>
      </c>
      <c r="I1219" s="71">
        <v>0.05</v>
      </c>
      <c r="J1219" s="72">
        <v>1000.0</v>
      </c>
      <c r="K1219" s="73" t="s">
        <v>50</v>
      </c>
      <c r="L1219" s="73"/>
      <c r="M1219" s="73"/>
      <c r="N1219" s="74" t="s">
        <v>443</v>
      </c>
      <c r="O1219" s="59"/>
      <c r="P1219" s="59"/>
      <c r="Q1219" s="59"/>
      <c r="R1219" s="59"/>
      <c r="S1219" s="59"/>
      <c r="T1219" s="59"/>
      <c r="U1219" s="59"/>
      <c r="V1219" s="59"/>
      <c r="W1219" s="59"/>
      <c r="X1219" s="59"/>
      <c r="Y1219" s="59"/>
      <c r="Z1219" s="59"/>
    </row>
    <row r="1220" ht="30.0" customHeight="1">
      <c r="A1220" s="68"/>
      <c r="B1220" s="68">
        <v>1234.0</v>
      </c>
      <c r="C1220" s="68"/>
      <c r="D1220" s="69" t="str">
        <f>CONCATENATE(PROPER('BIÑAN INFO'!$G1220),", ",PROPER('BIÑAN INFO'!$E1220)," ",PROPER('BIÑAN INFO'!$F1220),"."," (",UPPER('BIÑAN INFO'!$H1220),")")</f>
        <v>,  . ()</v>
      </c>
      <c r="E1220" s="70"/>
      <c r="F1220" s="69"/>
      <c r="G1220" s="70"/>
      <c r="H1220" s="69"/>
      <c r="I1220" s="71">
        <v>0.12</v>
      </c>
      <c r="J1220" s="72">
        <v>1000.0</v>
      </c>
      <c r="K1220" s="73"/>
      <c r="L1220" s="73"/>
      <c r="M1220" s="73"/>
      <c r="N1220" s="74"/>
      <c r="O1220" s="59"/>
      <c r="P1220" s="59"/>
      <c r="Q1220" s="59"/>
      <c r="R1220" s="59"/>
      <c r="S1220" s="59"/>
      <c r="T1220" s="59"/>
      <c r="U1220" s="59"/>
      <c r="V1220" s="59"/>
      <c r="W1220" s="59"/>
      <c r="X1220" s="59"/>
      <c r="Y1220" s="59"/>
      <c r="Z1220" s="59"/>
    </row>
    <row r="1221" ht="30.0" customHeight="1">
      <c r="A1221" s="68"/>
      <c r="B1221" s="68">
        <v>1235.0</v>
      </c>
      <c r="C1221" s="68"/>
      <c r="D1221" s="69" t="str">
        <f>CONCATENATE(PROPER('BIÑAN INFO'!$G1221),", ",PROPER('BIÑAN INFO'!$E1221)," ",PROPER('BIÑAN INFO'!$F1221),"."," (",UPPER('BIÑAN INFO'!$H1221),")")</f>
        <v>,  . ()</v>
      </c>
      <c r="E1221" s="70"/>
      <c r="F1221" s="70"/>
      <c r="G1221" s="70"/>
      <c r="H1221" s="69"/>
      <c r="I1221" s="71">
        <v>0.12</v>
      </c>
      <c r="J1221" s="72">
        <v>1000.0</v>
      </c>
      <c r="K1221" s="73"/>
      <c r="L1221" s="73"/>
      <c r="M1221" s="73"/>
      <c r="N1221" s="74"/>
      <c r="O1221" s="59"/>
      <c r="P1221" s="59"/>
      <c r="Q1221" s="59"/>
      <c r="R1221" s="59"/>
      <c r="S1221" s="59"/>
      <c r="T1221" s="59"/>
      <c r="U1221" s="59"/>
      <c r="V1221" s="59"/>
      <c r="W1221" s="59"/>
      <c r="X1221" s="59"/>
      <c r="Y1221" s="59"/>
      <c r="Z1221" s="59"/>
    </row>
    <row r="1222" ht="30.0" customHeight="1">
      <c r="A1222" s="68"/>
      <c r="B1222" s="68">
        <v>1236.0</v>
      </c>
      <c r="C1222" s="68"/>
      <c r="D1222" s="69" t="str">
        <f>CONCATENATE(PROPER('BIÑAN INFO'!$G1222),", ",PROPER('BIÑAN INFO'!$E1222)," ",PROPER('BIÑAN INFO'!$F1222),"."," (",UPPER('BIÑAN INFO'!$H1222),")")</f>
        <v>Lucasan, Pamela P. ()</v>
      </c>
      <c r="E1222" s="70" t="s">
        <v>630</v>
      </c>
      <c r="F1222" s="70" t="s">
        <v>513</v>
      </c>
      <c r="G1222" s="70" t="s">
        <v>631</v>
      </c>
      <c r="H1222" s="69"/>
      <c r="I1222" s="71">
        <v>0.05</v>
      </c>
      <c r="J1222" s="72">
        <v>1000.0</v>
      </c>
      <c r="K1222" s="73" t="s">
        <v>50</v>
      </c>
      <c r="L1222" s="73"/>
      <c r="M1222" s="73"/>
      <c r="N1222" s="74" t="s">
        <v>632</v>
      </c>
      <c r="O1222" s="59"/>
      <c r="P1222" s="59"/>
      <c r="Q1222" s="59"/>
      <c r="R1222" s="59"/>
      <c r="S1222" s="59"/>
      <c r="T1222" s="59"/>
      <c r="U1222" s="59"/>
      <c r="V1222" s="59"/>
      <c r="W1222" s="59"/>
      <c r="X1222" s="59"/>
      <c r="Y1222" s="59"/>
      <c r="Z1222" s="59"/>
    </row>
    <row r="1223" ht="30.0" customHeight="1">
      <c r="A1223" s="68"/>
      <c r="B1223" s="68">
        <v>1237.0</v>
      </c>
      <c r="C1223" s="68"/>
      <c r="D1223" s="69" t="str">
        <f>CONCATENATE(PROPER('BIÑAN INFO'!$G1223),", ",PROPER('BIÑAN INFO'!$E1223)," ",PROPER('BIÑAN INFO'!$F1223),"."," (",UPPER('BIÑAN INFO'!$H1223),")")</f>
        <v>Hernandez, Gracia O. ()</v>
      </c>
      <c r="E1223" s="70" t="s">
        <v>633</v>
      </c>
      <c r="F1223" s="70" t="s">
        <v>634</v>
      </c>
      <c r="G1223" s="70" t="s">
        <v>635</v>
      </c>
      <c r="H1223" s="69"/>
      <c r="I1223" s="71">
        <v>0.05</v>
      </c>
      <c r="J1223" s="72">
        <v>1000.0</v>
      </c>
      <c r="K1223" s="73" t="s">
        <v>50</v>
      </c>
      <c r="L1223" s="73"/>
      <c r="M1223" s="73"/>
      <c r="N1223" s="74" t="s">
        <v>632</v>
      </c>
      <c r="O1223" s="59"/>
      <c r="P1223" s="59"/>
      <c r="Q1223" s="59"/>
      <c r="R1223" s="59"/>
      <c r="S1223" s="59"/>
      <c r="T1223" s="59"/>
      <c r="U1223" s="59"/>
      <c r="V1223" s="59"/>
      <c r="W1223" s="59"/>
      <c r="X1223" s="59"/>
      <c r="Y1223" s="59"/>
      <c r="Z1223" s="59"/>
    </row>
    <row r="1224" ht="30.0" customHeight="1">
      <c r="A1224" s="68"/>
      <c r="B1224" s="68">
        <v>1238.0</v>
      </c>
      <c r="C1224" s="68"/>
      <c r="D1224" s="69" t="str">
        <f>CONCATENATE(PROPER('BIÑAN INFO'!$G1224),", ",PROPER('BIÑAN INFO'!$E1224)," ",PROPER('BIÑAN INFO'!$F1224),"."," (",UPPER('BIÑAN INFO'!$H1224),")")</f>
        <v>,  . ()</v>
      </c>
      <c r="E1224" s="70"/>
      <c r="F1224" s="69"/>
      <c r="G1224" s="70"/>
      <c r="H1224" s="69"/>
      <c r="I1224" s="71">
        <v>0.12</v>
      </c>
      <c r="J1224" s="72">
        <v>1000.0</v>
      </c>
      <c r="K1224" s="73"/>
      <c r="L1224" s="73"/>
      <c r="M1224" s="73"/>
      <c r="N1224" s="74"/>
      <c r="O1224" s="59"/>
      <c r="P1224" s="59"/>
      <c r="Q1224" s="59"/>
      <c r="R1224" s="59"/>
      <c r="S1224" s="59"/>
      <c r="T1224" s="59"/>
      <c r="U1224" s="59"/>
      <c r="V1224" s="59"/>
      <c r="W1224" s="59"/>
      <c r="X1224" s="59"/>
      <c r="Y1224" s="59"/>
      <c r="Z1224" s="59"/>
    </row>
    <row r="1225" ht="30.0" customHeight="1">
      <c r="A1225" s="68"/>
      <c r="B1225" s="68">
        <v>1239.0</v>
      </c>
      <c r="C1225" s="68"/>
      <c r="D1225" s="69" t="str">
        <f>CONCATENATE(PROPER('BIÑAN INFO'!$G1225),", ",PROPER('BIÑAN INFO'!$E1225)," ",PROPER('BIÑAN INFO'!$F1225),"."," (",UPPER('BIÑAN INFO'!$H1225),")")</f>
        <v>,  . ()</v>
      </c>
      <c r="E1225" s="70"/>
      <c r="F1225" s="70"/>
      <c r="G1225" s="70"/>
      <c r="H1225" s="69"/>
      <c r="I1225" s="71">
        <v>0.12</v>
      </c>
      <c r="J1225" s="72">
        <v>1000.0</v>
      </c>
      <c r="K1225" s="73"/>
      <c r="L1225" s="73"/>
      <c r="M1225" s="73"/>
      <c r="N1225" s="74"/>
      <c r="O1225" s="59"/>
      <c r="P1225" s="59"/>
      <c r="Q1225" s="59"/>
      <c r="R1225" s="59"/>
      <c r="S1225" s="59"/>
      <c r="T1225" s="59"/>
      <c r="U1225" s="59"/>
      <c r="V1225" s="59"/>
      <c r="W1225" s="59"/>
      <c r="X1225" s="59"/>
      <c r="Y1225" s="59"/>
      <c r="Z1225" s="59"/>
    </row>
    <row r="1226" ht="30.0" customHeight="1">
      <c r="A1226" s="68"/>
      <c r="B1226" s="68">
        <v>1240.0</v>
      </c>
      <c r="C1226" s="68"/>
      <c r="D1226" s="69" t="str">
        <f>CONCATENATE(PROPER('BIÑAN INFO'!$G1226),", ",PROPER('BIÑAN INFO'!$E1226)," ",PROPER('BIÑAN INFO'!$F1226),"."," (",UPPER('BIÑAN INFO'!$H1226),")")</f>
        <v>Dela Cruz, Marilou B. ()</v>
      </c>
      <c r="E1226" s="70" t="s">
        <v>538</v>
      </c>
      <c r="F1226" s="69" t="s">
        <v>627</v>
      </c>
      <c r="G1226" s="70" t="s">
        <v>636</v>
      </c>
      <c r="H1226" s="69"/>
      <c r="I1226" s="71">
        <v>0.05</v>
      </c>
      <c r="J1226" s="72">
        <v>1000.0</v>
      </c>
      <c r="K1226" s="73" t="s">
        <v>50</v>
      </c>
      <c r="L1226" s="73"/>
      <c r="M1226" s="73"/>
      <c r="N1226" s="74"/>
      <c r="O1226" s="59"/>
      <c r="P1226" s="59"/>
      <c r="Q1226" s="59"/>
      <c r="R1226" s="59"/>
      <c r="S1226" s="59"/>
      <c r="T1226" s="59"/>
      <c r="U1226" s="59"/>
      <c r="V1226" s="59"/>
      <c r="W1226" s="59"/>
      <c r="X1226" s="59"/>
      <c r="Y1226" s="59"/>
      <c r="Z1226" s="59"/>
    </row>
    <row r="1227" ht="30.0" customHeight="1">
      <c r="A1227" s="68"/>
      <c r="B1227" s="68">
        <v>1241.0</v>
      </c>
      <c r="C1227" s="68"/>
      <c r="D1227" s="69" t="str">
        <f>CONCATENATE(PROPER('BIÑAN INFO'!$G1227),", ",PROPER('BIÑAN INFO'!$E1227)," ",PROPER('BIÑAN INFO'!$F1227),"."," (",UPPER('BIÑAN INFO'!$H1227),")")</f>
        <v>,  . ()</v>
      </c>
      <c r="E1227" s="70"/>
      <c r="F1227" s="69"/>
      <c r="G1227" s="70"/>
      <c r="H1227" s="69"/>
      <c r="I1227" s="71">
        <v>0.12</v>
      </c>
      <c r="J1227" s="72">
        <v>1000.0</v>
      </c>
      <c r="K1227" s="73"/>
      <c r="L1227" s="73"/>
      <c r="M1227" s="73"/>
      <c r="N1227" s="74"/>
      <c r="O1227" s="59"/>
      <c r="P1227" s="59"/>
      <c r="Q1227" s="59"/>
      <c r="R1227" s="59"/>
      <c r="S1227" s="59"/>
      <c r="T1227" s="59"/>
      <c r="U1227" s="59"/>
      <c r="V1227" s="59"/>
      <c r="W1227" s="59"/>
      <c r="X1227" s="59"/>
      <c r="Y1227" s="59"/>
      <c r="Z1227" s="59"/>
    </row>
    <row r="1228" ht="30.0" customHeight="1">
      <c r="A1228" s="68"/>
      <c r="B1228" s="68">
        <v>1242.0</v>
      </c>
      <c r="C1228" s="68"/>
      <c r="D1228" s="69" t="str">
        <f>CONCATENATE(PROPER('BIÑAN INFO'!$G1228),", ",PROPER('BIÑAN INFO'!$E1228)," ",PROPER('BIÑAN INFO'!$F1228),"."," (",UPPER('BIÑAN INFO'!$H1228),")")</f>
        <v>,  . ()</v>
      </c>
      <c r="E1228" s="70"/>
      <c r="F1228" s="70"/>
      <c r="G1228" s="70"/>
      <c r="H1228" s="69"/>
      <c r="I1228" s="71">
        <v>0.12</v>
      </c>
      <c r="J1228" s="72">
        <v>1000.0</v>
      </c>
      <c r="K1228" s="73"/>
      <c r="L1228" s="73"/>
      <c r="M1228" s="73"/>
      <c r="N1228" s="74"/>
      <c r="O1228" s="59"/>
      <c r="P1228" s="59"/>
      <c r="Q1228" s="59"/>
      <c r="R1228" s="59"/>
      <c r="S1228" s="59"/>
      <c r="T1228" s="59"/>
      <c r="U1228" s="59"/>
      <c r="V1228" s="59"/>
      <c r="W1228" s="59"/>
      <c r="X1228" s="59"/>
      <c r="Y1228" s="59"/>
      <c r="Z1228" s="59"/>
    </row>
    <row r="1229" ht="30.0" customHeight="1">
      <c r="A1229" s="68"/>
      <c r="B1229" s="68">
        <v>1243.0</v>
      </c>
      <c r="C1229" s="68"/>
      <c r="D1229" s="69" t="str">
        <f>CONCATENATE(PROPER('BIÑAN INFO'!$G1229),", ",PROPER('BIÑAN INFO'!$E1229)," ",PROPER('BIÑAN INFO'!$F1229),"."," (",UPPER('BIÑAN INFO'!$H1229),")")</f>
        <v>,  . ()</v>
      </c>
      <c r="E1229" s="70"/>
      <c r="F1229" s="69"/>
      <c r="G1229" s="70"/>
      <c r="H1229" s="69"/>
      <c r="I1229" s="71">
        <v>0.12</v>
      </c>
      <c r="J1229" s="72">
        <v>1000.0</v>
      </c>
      <c r="K1229" s="73"/>
      <c r="L1229" s="73"/>
      <c r="M1229" s="73"/>
      <c r="N1229" s="74"/>
      <c r="O1229" s="59"/>
      <c r="P1229" s="59"/>
      <c r="Q1229" s="59"/>
      <c r="R1229" s="59"/>
      <c r="S1229" s="59"/>
      <c r="T1229" s="59"/>
      <c r="U1229" s="59"/>
      <c r="V1229" s="59"/>
      <c r="W1229" s="59"/>
      <c r="X1229" s="59"/>
      <c r="Y1229" s="59"/>
      <c r="Z1229" s="59"/>
    </row>
    <row r="1230" ht="30.0" customHeight="1">
      <c r="A1230" s="68"/>
      <c r="B1230" s="68">
        <v>1244.0</v>
      </c>
      <c r="C1230" s="68"/>
      <c r="D1230" s="69" t="str">
        <f>CONCATENATE(PROPER('BIÑAN INFO'!$G1230),", ",PROPER('BIÑAN INFO'!$E1230)," ",PROPER('BIÑAN INFO'!$F1230),"."," (",UPPER('BIÑAN INFO'!$H1230),")")</f>
        <v>Renala, Juanito A. ()</v>
      </c>
      <c r="E1230" s="70" t="s">
        <v>637</v>
      </c>
      <c r="F1230" s="70" t="s">
        <v>427</v>
      </c>
      <c r="G1230" s="70" t="s">
        <v>638</v>
      </c>
      <c r="H1230" s="70"/>
      <c r="I1230" s="71">
        <v>0.12</v>
      </c>
      <c r="J1230" s="72">
        <v>1000.0</v>
      </c>
      <c r="K1230" s="73"/>
      <c r="L1230" s="73"/>
      <c r="M1230" s="73"/>
      <c r="N1230" s="74"/>
      <c r="O1230" s="59"/>
      <c r="P1230" s="59"/>
      <c r="Q1230" s="59"/>
      <c r="R1230" s="59"/>
      <c r="S1230" s="59"/>
      <c r="T1230" s="59"/>
      <c r="U1230" s="59"/>
      <c r="V1230" s="59"/>
      <c r="W1230" s="59"/>
      <c r="X1230" s="59"/>
      <c r="Y1230" s="59"/>
      <c r="Z1230" s="59"/>
    </row>
    <row r="1231" ht="30.0" customHeight="1">
      <c r="A1231" s="68"/>
      <c r="B1231" s="68">
        <v>1245.0</v>
      </c>
      <c r="C1231" s="68"/>
      <c r="D1231" s="69" t="str">
        <f>CONCATENATE(PROPER('BIÑAN INFO'!$G1231),", ",PROPER('BIÑAN INFO'!$E1231)," ",PROPER('BIÑAN INFO'!$F1231),"."," (",UPPER('BIÑAN INFO'!$H1231),")")</f>
        <v>Gonzales, Ginalyn . ()</v>
      </c>
      <c r="E1231" s="70" t="s">
        <v>639</v>
      </c>
      <c r="F1231" s="70"/>
      <c r="G1231" s="70" t="s">
        <v>394</v>
      </c>
      <c r="H1231" s="69"/>
      <c r="I1231" s="71">
        <v>0.12</v>
      </c>
      <c r="J1231" s="72">
        <v>1000.0</v>
      </c>
      <c r="K1231" s="73"/>
      <c r="L1231" s="73"/>
      <c r="M1231" s="73"/>
      <c r="N1231" s="74"/>
      <c r="O1231" s="59"/>
      <c r="P1231" s="59"/>
      <c r="Q1231" s="59"/>
      <c r="R1231" s="59"/>
      <c r="S1231" s="59"/>
      <c r="T1231" s="59"/>
      <c r="U1231" s="59"/>
      <c r="V1231" s="59"/>
      <c r="W1231" s="59"/>
      <c r="X1231" s="59"/>
      <c r="Y1231" s="59"/>
      <c r="Z1231" s="59"/>
    </row>
    <row r="1232" ht="30.0" customHeight="1">
      <c r="A1232" s="68"/>
      <c r="B1232" s="68">
        <v>1246.0</v>
      </c>
      <c r="C1232" s="68"/>
      <c r="D1232" s="69" t="str">
        <f>CONCATENATE(PROPER('BIÑAN INFO'!$G1232),", ",PROPER('BIÑAN INFO'!$E1232)," ",PROPER('BIÑAN INFO'!$F1232),"."," (",UPPER('BIÑAN INFO'!$H1232),")")</f>
        <v>Reyes, Maria Fe. ()</v>
      </c>
      <c r="E1232" s="70" t="s">
        <v>640</v>
      </c>
      <c r="F1232" s="69" t="s">
        <v>641</v>
      </c>
      <c r="G1232" s="70" t="s">
        <v>122</v>
      </c>
      <c r="H1232" s="69"/>
      <c r="I1232" s="71">
        <v>0.12</v>
      </c>
      <c r="J1232" s="72">
        <v>1000.0</v>
      </c>
      <c r="K1232" s="73"/>
      <c r="L1232" s="73"/>
      <c r="M1232" s="73"/>
      <c r="N1232" s="74"/>
      <c r="O1232" s="59"/>
      <c r="P1232" s="59"/>
      <c r="Q1232" s="59"/>
      <c r="R1232" s="59"/>
      <c r="S1232" s="59"/>
      <c r="T1232" s="59"/>
      <c r="U1232" s="59"/>
      <c r="V1232" s="59"/>
      <c r="W1232" s="59"/>
      <c r="X1232" s="59"/>
      <c r="Y1232" s="59"/>
      <c r="Z1232" s="59"/>
    </row>
    <row r="1233" ht="30.0" customHeight="1">
      <c r="A1233" s="68"/>
      <c r="B1233" s="68">
        <v>1247.0</v>
      </c>
      <c r="C1233" s="68"/>
      <c r="D1233" s="69" t="str">
        <f>CONCATENATE(PROPER('BIÑAN INFO'!$G1233),", ",PROPER('BIÑAN INFO'!$E1233)," ",PROPER('BIÑAN INFO'!$F1233),"."," (",UPPER('BIÑAN INFO'!$H1233),")")</f>
        <v>,  . ()</v>
      </c>
      <c r="E1233" s="70"/>
      <c r="F1233" s="69"/>
      <c r="G1233" s="70"/>
      <c r="H1233" s="69"/>
      <c r="I1233" s="71">
        <v>0.12</v>
      </c>
      <c r="J1233" s="72">
        <v>1000.0</v>
      </c>
      <c r="K1233" s="73"/>
      <c r="L1233" s="73"/>
      <c r="M1233" s="73"/>
      <c r="N1233" s="74"/>
      <c r="O1233" s="59"/>
      <c r="P1233" s="59"/>
      <c r="Q1233" s="59"/>
      <c r="R1233" s="59"/>
      <c r="S1233" s="59"/>
      <c r="T1233" s="59"/>
      <c r="U1233" s="59"/>
      <c r="V1233" s="59"/>
      <c r="W1233" s="59"/>
      <c r="X1233" s="59"/>
      <c r="Y1233" s="59"/>
      <c r="Z1233" s="59"/>
    </row>
    <row r="1234" ht="30.0" customHeight="1">
      <c r="A1234" s="68"/>
      <c r="B1234" s="68">
        <v>1248.0</v>
      </c>
      <c r="C1234" s="68"/>
      <c r="D1234" s="69" t="str">
        <f>CONCATENATE(PROPER('BIÑAN INFO'!$G1234),", ",PROPER('BIÑAN INFO'!$E1234)," ",PROPER('BIÑAN INFO'!$F1234),"."," (",UPPER('BIÑAN INFO'!$H1234),")")</f>
        <v>Andaya, Rudy . ()</v>
      </c>
      <c r="E1234" s="70" t="s">
        <v>642</v>
      </c>
      <c r="F1234" s="69"/>
      <c r="G1234" s="70" t="s">
        <v>380</v>
      </c>
      <c r="H1234" s="69"/>
      <c r="I1234" s="71">
        <v>0.12</v>
      </c>
      <c r="J1234" s="72">
        <v>1000.0</v>
      </c>
      <c r="K1234" s="73"/>
      <c r="L1234" s="73"/>
      <c r="M1234" s="73"/>
      <c r="N1234" s="74"/>
      <c r="O1234" s="59"/>
      <c r="P1234" s="59"/>
      <c r="Q1234" s="59"/>
      <c r="R1234" s="59"/>
      <c r="S1234" s="59"/>
      <c r="T1234" s="59"/>
      <c r="U1234" s="59"/>
      <c r="V1234" s="59"/>
      <c r="W1234" s="59"/>
      <c r="X1234" s="59"/>
      <c r="Y1234" s="59"/>
      <c r="Z1234" s="59"/>
    </row>
    <row r="1235" ht="30.0" customHeight="1">
      <c r="A1235" s="68"/>
      <c r="B1235" s="68">
        <v>1249.0</v>
      </c>
      <c r="C1235" s="68"/>
      <c r="D1235" s="69" t="str">
        <f>CONCATENATE(PROPER('BIÑAN INFO'!$G1235),", ",PROPER('BIÑAN INFO'!$E1235)," ",PROPER('BIÑAN INFO'!$F1235),"."," (",UPPER('BIÑAN INFO'!$H1235),")")</f>
        <v>Wenceslao Jr., Olivarez . ()</v>
      </c>
      <c r="E1235" s="70" t="s">
        <v>643</v>
      </c>
      <c r="F1235" s="69"/>
      <c r="G1235" s="70" t="s">
        <v>644</v>
      </c>
      <c r="H1235" s="69"/>
      <c r="I1235" s="71">
        <v>0.12</v>
      </c>
      <c r="J1235" s="72">
        <v>1000.0</v>
      </c>
      <c r="K1235" s="73"/>
      <c r="L1235" s="73"/>
      <c r="M1235" s="73"/>
      <c r="N1235" s="74"/>
      <c r="O1235" s="59"/>
      <c r="P1235" s="59"/>
      <c r="Q1235" s="59"/>
      <c r="R1235" s="59"/>
      <c r="S1235" s="59"/>
      <c r="T1235" s="59"/>
      <c r="U1235" s="59"/>
      <c r="V1235" s="59"/>
      <c r="W1235" s="59"/>
      <c r="X1235" s="59"/>
      <c r="Y1235" s="59"/>
      <c r="Z1235" s="59"/>
    </row>
    <row r="1236" ht="30.0" customHeight="1">
      <c r="A1236" s="68"/>
      <c r="B1236" s="68">
        <v>1250.0</v>
      </c>
      <c r="C1236" s="68"/>
      <c r="D1236" s="69" t="str">
        <f>CONCATENATE(PROPER('BIÑAN INFO'!$G1236),", ",PROPER('BIÑAN INFO'!$E1236)," ",PROPER('BIÑAN INFO'!$F1236),"."," (",UPPER('BIÑAN INFO'!$H1236),")")</f>
        <v>,  . ()</v>
      </c>
      <c r="E1236" s="70"/>
      <c r="F1236" s="69"/>
      <c r="G1236" s="70"/>
      <c r="H1236" s="69"/>
      <c r="I1236" s="71">
        <v>0.12</v>
      </c>
      <c r="J1236" s="72">
        <v>1000.0</v>
      </c>
      <c r="K1236" s="73"/>
      <c r="L1236" s="73"/>
      <c r="M1236" s="73"/>
      <c r="N1236" s="74"/>
      <c r="O1236" s="59"/>
      <c r="P1236" s="59"/>
      <c r="Q1236" s="59"/>
      <c r="R1236" s="59"/>
      <c r="S1236" s="59"/>
      <c r="T1236" s="59"/>
      <c r="U1236" s="59"/>
      <c r="V1236" s="59"/>
      <c r="W1236" s="59"/>
      <c r="X1236" s="59"/>
      <c r="Y1236" s="59"/>
      <c r="Z1236" s="59"/>
    </row>
    <row r="1237" ht="30.0" customHeight="1">
      <c r="A1237" s="68"/>
      <c r="B1237" s="68">
        <v>1251.0</v>
      </c>
      <c r="C1237" s="68"/>
      <c r="D1237" s="69" t="str">
        <f>CONCATENATE(PROPER('BIÑAN INFO'!$G1237),", ",PROPER('BIÑAN INFO'!$E1237)," ",PROPER('BIÑAN INFO'!$F1237),"."," (",UPPER('BIÑAN INFO'!$H1237),")")</f>
        <v>,  . ()</v>
      </c>
      <c r="E1237" s="70"/>
      <c r="F1237" s="69"/>
      <c r="G1237" s="70"/>
      <c r="H1237" s="69"/>
      <c r="I1237" s="71">
        <v>0.12</v>
      </c>
      <c r="J1237" s="72">
        <v>1000.0</v>
      </c>
      <c r="K1237" s="73"/>
      <c r="L1237" s="73"/>
      <c r="M1237" s="73"/>
      <c r="N1237" s="74"/>
      <c r="O1237" s="59"/>
      <c r="P1237" s="59"/>
      <c r="Q1237" s="59"/>
      <c r="R1237" s="59"/>
      <c r="S1237" s="59"/>
      <c r="T1237" s="59"/>
      <c r="U1237" s="59"/>
      <c r="V1237" s="59"/>
      <c r="W1237" s="59"/>
      <c r="X1237" s="59"/>
      <c r="Y1237" s="59"/>
      <c r="Z1237" s="59"/>
    </row>
    <row r="1238" ht="30.0" customHeight="1">
      <c r="A1238" s="68"/>
      <c r="B1238" s="68">
        <v>1252.0</v>
      </c>
      <c r="C1238" s="68"/>
      <c r="D1238" s="69" t="str">
        <f>CONCATENATE(PROPER('BIÑAN INFO'!$G1238),", ",PROPER('BIÑAN INFO'!$E1238)," ",PROPER('BIÑAN INFO'!$F1238),"."," (",UPPER('BIÑAN INFO'!$H1238),")")</f>
        <v>,  . ()</v>
      </c>
      <c r="E1238" s="70"/>
      <c r="F1238" s="69"/>
      <c r="G1238" s="70"/>
      <c r="H1238" s="69"/>
      <c r="I1238" s="71">
        <v>0.12</v>
      </c>
      <c r="J1238" s="72">
        <v>1000.0</v>
      </c>
      <c r="K1238" s="73"/>
      <c r="L1238" s="73"/>
      <c r="M1238" s="73"/>
      <c r="N1238" s="74"/>
      <c r="O1238" s="59"/>
      <c r="P1238" s="59"/>
      <c r="Q1238" s="59"/>
      <c r="R1238" s="59"/>
      <c r="S1238" s="59"/>
      <c r="T1238" s="59"/>
      <c r="U1238" s="59"/>
      <c r="V1238" s="59"/>
      <c r="W1238" s="59"/>
      <c r="X1238" s="59"/>
      <c r="Y1238" s="59"/>
      <c r="Z1238" s="59"/>
    </row>
    <row r="1239" ht="30.0" customHeight="1">
      <c r="A1239" s="68"/>
      <c r="B1239" s="68">
        <v>1253.0</v>
      </c>
      <c r="C1239" s="68"/>
      <c r="D1239" s="69" t="str">
        <f>CONCATENATE(PROPER('BIÑAN INFO'!$G1239),", ",PROPER('BIÑAN INFO'!$E1239)," ",PROPER('BIÑAN INFO'!$F1239),"."," (",UPPER('BIÑAN INFO'!$H1239),")")</f>
        <v>Herrera, Celestie . ()</v>
      </c>
      <c r="E1239" s="70" t="s">
        <v>645</v>
      </c>
      <c r="F1239" s="70"/>
      <c r="G1239" s="70" t="s">
        <v>646</v>
      </c>
      <c r="H1239" s="70"/>
      <c r="I1239" s="71">
        <v>0.05</v>
      </c>
      <c r="J1239" s="72">
        <v>1000.0</v>
      </c>
      <c r="K1239" s="73" t="s">
        <v>50</v>
      </c>
      <c r="L1239" s="73"/>
      <c r="M1239" s="73"/>
      <c r="N1239" s="74"/>
      <c r="O1239" s="59"/>
      <c r="P1239" s="59"/>
      <c r="Q1239" s="59"/>
      <c r="R1239" s="59"/>
      <c r="S1239" s="59"/>
      <c r="T1239" s="59"/>
      <c r="U1239" s="59"/>
      <c r="V1239" s="59"/>
      <c r="W1239" s="59"/>
      <c r="X1239" s="59"/>
      <c r="Y1239" s="59"/>
      <c r="Z1239" s="59"/>
    </row>
    <row r="1240" ht="30.0" customHeight="1">
      <c r="A1240" s="68"/>
      <c r="B1240" s="68">
        <v>1254.0</v>
      </c>
      <c r="C1240" s="68"/>
      <c r="D1240" s="69" t="str">
        <f>CONCATENATE(PROPER('BIÑAN INFO'!$G1240),", ",PROPER('BIÑAN INFO'!$E1240)," ",PROPER('BIÑAN INFO'!$F1240),"."," (",UPPER('BIÑAN INFO'!$H1240),")")</f>
        <v>Herrera, Dennis . ()</v>
      </c>
      <c r="E1240" s="70" t="s">
        <v>497</v>
      </c>
      <c r="F1240" s="70"/>
      <c r="G1240" s="70" t="s">
        <v>646</v>
      </c>
      <c r="H1240" s="69"/>
      <c r="I1240" s="71">
        <v>0.05</v>
      </c>
      <c r="J1240" s="72">
        <v>1000.0</v>
      </c>
      <c r="K1240" s="73" t="s">
        <v>50</v>
      </c>
      <c r="L1240" s="73"/>
      <c r="M1240" s="73"/>
      <c r="N1240" s="74"/>
      <c r="O1240" s="59"/>
      <c r="P1240" s="59"/>
      <c r="Q1240" s="59"/>
      <c r="R1240" s="59"/>
      <c r="S1240" s="59"/>
      <c r="T1240" s="59"/>
      <c r="U1240" s="59"/>
      <c r="V1240" s="59"/>
      <c r="W1240" s="59"/>
      <c r="X1240" s="59"/>
      <c r="Y1240" s="59"/>
      <c r="Z1240" s="59"/>
    </row>
    <row r="1241" ht="30.0" customHeight="1">
      <c r="A1241" s="68"/>
      <c r="B1241" s="68">
        <v>1255.0</v>
      </c>
      <c r="C1241" s="68"/>
      <c r="D1241" s="69" t="str">
        <f>CONCATENATE(PROPER('BIÑAN INFO'!$G1241),", ",PROPER('BIÑAN INFO'!$E1241)," ",PROPER('BIÑAN INFO'!$F1241),"."," (",UPPER('BIÑAN INFO'!$H1241),")")</f>
        <v>Ritual, Sherean L. ()</v>
      </c>
      <c r="E1241" s="70" t="s">
        <v>647</v>
      </c>
      <c r="F1241" s="69" t="s">
        <v>648</v>
      </c>
      <c r="G1241" s="70" t="s">
        <v>649</v>
      </c>
      <c r="H1241" s="69"/>
      <c r="I1241" s="71">
        <v>0.05</v>
      </c>
      <c r="J1241" s="72">
        <v>1000.0</v>
      </c>
      <c r="K1241" s="73" t="s">
        <v>50</v>
      </c>
      <c r="L1241" s="73"/>
      <c r="M1241" s="73"/>
      <c r="N1241" s="74" t="s">
        <v>581</v>
      </c>
      <c r="O1241" s="59"/>
      <c r="P1241" s="59"/>
      <c r="Q1241" s="59"/>
      <c r="R1241" s="59"/>
      <c r="S1241" s="59"/>
      <c r="T1241" s="59"/>
      <c r="U1241" s="59"/>
      <c r="V1241" s="59"/>
      <c r="W1241" s="59"/>
      <c r="X1241" s="59"/>
      <c r="Y1241" s="59"/>
      <c r="Z1241" s="59"/>
    </row>
    <row r="1242" ht="30.0" customHeight="1">
      <c r="A1242" s="68"/>
      <c r="B1242" s="68">
        <v>1256.0</v>
      </c>
      <c r="C1242" s="68"/>
      <c r="D1242" s="69" t="str">
        <f>CONCATENATE(PROPER('BIÑAN INFO'!$G1242),", ",PROPER('BIÑAN INFO'!$E1242)," ",PROPER('BIÑAN INFO'!$F1242),"."," (",UPPER('BIÑAN INFO'!$H1242),")")</f>
        <v>,  . ()</v>
      </c>
      <c r="E1242" s="70"/>
      <c r="F1242" s="69"/>
      <c r="G1242" s="70"/>
      <c r="H1242" s="69"/>
      <c r="I1242" s="71">
        <v>0.05</v>
      </c>
      <c r="J1242" s="72">
        <v>1000.0</v>
      </c>
      <c r="K1242" s="73"/>
      <c r="L1242" s="73"/>
      <c r="M1242" s="73"/>
      <c r="N1242" s="74"/>
      <c r="O1242" s="59"/>
      <c r="P1242" s="59"/>
      <c r="Q1242" s="59"/>
      <c r="R1242" s="59"/>
      <c r="S1242" s="59"/>
      <c r="T1242" s="59"/>
      <c r="U1242" s="59"/>
      <c r="V1242" s="59"/>
      <c r="W1242" s="59"/>
      <c r="X1242" s="59"/>
      <c r="Y1242" s="59"/>
      <c r="Z1242" s="59"/>
    </row>
    <row r="1243" ht="30.0" customHeight="1">
      <c r="A1243" s="68"/>
      <c r="B1243" s="68">
        <v>1257.0</v>
      </c>
      <c r="C1243" s="68"/>
      <c r="D1243" s="69" t="str">
        <f>CONCATENATE(PROPER('BIÑAN INFO'!$G1243),", ",PROPER('BIÑAN INFO'!$E1243)," ",PROPER('BIÑAN INFO'!$F1243),"."," (",UPPER('BIÑAN INFO'!$H1243),")")</f>
        <v>Mariscotes, Jeffry . ()</v>
      </c>
      <c r="E1243" s="70" t="s">
        <v>650</v>
      </c>
      <c r="F1243" s="69"/>
      <c r="G1243" s="70" t="s">
        <v>651</v>
      </c>
      <c r="H1243" s="69"/>
      <c r="I1243" s="71">
        <v>0.12</v>
      </c>
      <c r="J1243" s="72">
        <v>1000.0</v>
      </c>
      <c r="K1243" s="73"/>
      <c r="L1243" s="73"/>
      <c r="M1243" s="73"/>
      <c r="N1243" s="74"/>
      <c r="O1243" s="59"/>
      <c r="P1243" s="59"/>
      <c r="Q1243" s="59"/>
      <c r="R1243" s="59"/>
      <c r="S1243" s="59"/>
      <c r="T1243" s="59"/>
      <c r="U1243" s="59"/>
      <c r="V1243" s="59"/>
      <c r="W1243" s="59"/>
      <c r="X1243" s="59"/>
      <c r="Y1243" s="59"/>
      <c r="Z1243" s="59"/>
    </row>
    <row r="1244" ht="30.0" customHeight="1">
      <c r="A1244" s="68"/>
      <c r="B1244" s="68">
        <v>1258.0</v>
      </c>
      <c r="C1244" s="68"/>
      <c r="D1244" s="69" t="str">
        <f>CONCATENATE(PROPER('BIÑAN INFO'!$G1244),", ",PROPER('BIÑAN INFO'!$E1244)," ",PROPER('BIÑAN INFO'!$F1244),"."," (",UPPER('BIÑAN INFO'!$H1244),")")</f>
        <v>,  . ()</v>
      </c>
      <c r="E1244" s="70"/>
      <c r="F1244" s="69"/>
      <c r="G1244" s="70"/>
      <c r="H1244" s="69"/>
      <c r="I1244" s="71">
        <v>0.12</v>
      </c>
      <c r="J1244" s="72">
        <v>1000.0</v>
      </c>
      <c r="K1244" s="73"/>
      <c r="L1244" s="73"/>
      <c r="M1244" s="73"/>
      <c r="N1244" s="74"/>
      <c r="O1244" s="59"/>
      <c r="P1244" s="59"/>
      <c r="Q1244" s="59"/>
      <c r="R1244" s="59"/>
      <c r="S1244" s="59"/>
      <c r="T1244" s="59"/>
      <c r="U1244" s="59"/>
      <c r="V1244" s="59"/>
      <c r="W1244" s="59"/>
      <c r="X1244" s="59"/>
      <c r="Y1244" s="59"/>
      <c r="Z1244" s="59"/>
    </row>
    <row r="1245" ht="30.0" customHeight="1">
      <c r="A1245" s="68"/>
      <c r="B1245" s="68">
        <v>1259.0</v>
      </c>
      <c r="C1245" s="68"/>
      <c r="D1245" s="69" t="str">
        <f>CONCATENATE(PROPER('BIÑAN INFO'!$G1245),", ",PROPER('BIÑAN INFO'!$E1245)," ",PROPER('BIÑAN INFO'!$F1245),"."," (",UPPER('BIÑAN INFO'!$H1245),")")</f>
        <v>,  . ()</v>
      </c>
      <c r="E1245" s="70"/>
      <c r="F1245" s="70"/>
      <c r="G1245" s="70"/>
      <c r="H1245" s="69"/>
      <c r="I1245" s="71">
        <v>0.12</v>
      </c>
      <c r="J1245" s="72">
        <v>1000.0</v>
      </c>
      <c r="K1245" s="73"/>
      <c r="L1245" s="73"/>
      <c r="M1245" s="73"/>
      <c r="N1245" s="74"/>
      <c r="O1245" s="59"/>
      <c r="P1245" s="59"/>
      <c r="Q1245" s="59"/>
      <c r="R1245" s="59"/>
      <c r="S1245" s="59"/>
      <c r="T1245" s="59"/>
      <c r="U1245" s="59"/>
      <c r="V1245" s="59"/>
      <c r="W1245" s="59"/>
      <c r="X1245" s="59"/>
      <c r="Y1245" s="59"/>
      <c r="Z1245" s="59"/>
    </row>
    <row r="1246" ht="30.0" customHeight="1">
      <c r="A1246" s="68"/>
      <c r="B1246" s="68">
        <v>1260.0</v>
      </c>
      <c r="C1246" s="68"/>
      <c r="D1246" s="69" t="str">
        <f>CONCATENATE(PROPER('BIÑAN INFO'!$G1246),", ",PROPER('BIÑAN INFO'!$E1246)," ",PROPER('BIÑAN INFO'!$F1246),"."," (",UPPER('BIÑAN INFO'!$H1246),")")</f>
        <v>,  . ()</v>
      </c>
      <c r="E1246" s="70"/>
      <c r="F1246" s="70"/>
      <c r="G1246" s="70"/>
      <c r="H1246" s="69"/>
      <c r="I1246" s="71">
        <v>0.12</v>
      </c>
      <c r="J1246" s="72">
        <v>1000.0</v>
      </c>
      <c r="K1246" s="73"/>
      <c r="L1246" s="73"/>
      <c r="M1246" s="73"/>
      <c r="N1246" s="74"/>
      <c r="O1246" s="59"/>
      <c r="P1246" s="59"/>
      <c r="Q1246" s="59"/>
      <c r="R1246" s="59"/>
      <c r="S1246" s="59"/>
      <c r="T1246" s="59"/>
      <c r="U1246" s="59"/>
      <c r="V1246" s="59"/>
      <c r="W1246" s="59"/>
      <c r="X1246" s="59"/>
      <c r="Y1246" s="59"/>
      <c r="Z1246" s="59"/>
    </row>
    <row r="1247" ht="30.0" customHeight="1">
      <c r="A1247" s="68"/>
      <c r="B1247" s="68">
        <v>1261.0</v>
      </c>
      <c r="C1247" s="68"/>
      <c r="D1247" s="69" t="str">
        <f>CONCATENATE(PROPER('BIÑAN INFO'!$G1247),", ",PROPER('BIÑAN INFO'!$E1247)," ",PROPER('BIÑAN INFO'!$F1247),"."," (",UPPER('BIÑAN INFO'!$H1247),")")</f>
        <v>,  . ()</v>
      </c>
      <c r="E1247" s="70"/>
      <c r="F1247" s="69"/>
      <c r="G1247" s="70"/>
      <c r="H1247" s="69"/>
      <c r="I1247" s="71">
        <v>0.12</v>
      </c>
      <c r="J1247" s="72">
        <v>1000.0</v>
      </c>
      <c r="K1247" s="73"/>
      <c r="L1247" s="73"/>
      <c r="M1247" s="73"/>
      <c r="N1247" s="74"/>
      <c r="O1247" s="59"/>
      <c r="P1247" s="59"/>
      <c r="Q1247" s="59"/>
      <c r="R1247" s="59"/>
      <c r="S1247" s="59"/>
      <c r="T1247" s="59"/>
      <c r="U1247" s="59"/>
      <c r="V1247" s="59"/>
      <c r="W1247" s="59"/>
      <c r="X1247" s="59"/>
      <c r="Y1247" s="59"/>
      <c r="Z1247" s="59"/>
    </row>
    <row r="1248" ht="30.0" customHeight="1">
      <c r="A1248" s="68"/>
      <c r="B1248" s="68">
        <v>1262.0</v>
      </c>
      <c r="C1248" s="68"/>
      <c r="D1248" s="69" t="str">
        <f>CONCATENATE(PROPER('BIÑAN INFO'!$G1248),", ",PROPER('BIÑAN INFO'!$E1248)," ",PROPER('BIÑAN INFO'!$F1248),"."," (",UPPER('BIÑAN INFO'!$H1248),")")</f>
        <v>,  . ()</v>
      </c>
      <c r="E1248" s="70"/>
      <c r="F1248" s="69"/>
      <c r="G1248" s="70"/>
      <c r="H1248" s="69"/>
      <c r="I1248" s="71">
        <v>0.12</v>
      </c>
      <c r="J1248" s="72">
        <v>1000.0</v>
      </c>
      <c r="K1248" s="73"/>
      <c r="L1248" s="73"/>
      <c r="M1248" s="73"/>
      <c r="N1248" s="74"/>
      <c r="O1248" s="59"/>
      <c r="P1248" s="59"/>
      <c r="Q1248" s="59"/>
      <c r="R1248" s="59"/>
      <c r="S1248" s="59"/>
      <c r="T1248" s="59"/>
      <c r="U1248" s="59"/>
      <c r="V1248" s="59"/>
      <c r="W1248" s="59"/>
      <c r="X1248" s="59"/>
      <c r="Y1248" s="59"/>
      <c r="Z1248" s="59"/>
    </row>
    <row r="1249" ht="30.0" customHeight="1">
      <c r="A1249" s="68"/>
      <c r="B1249" s="68">
        <v>1263.0</v>
      </c>
      <c r="C1249" s="68"/>
      <c r="D1249" s="69" t="str">
        <f>CONCATENATE(PROPER('BIÑAN INFO'!$G1249),", ",PROPER('BIÑAN INFO'!$E1249)," ",PROPER('BIÑAN INFO'!$F1249),"."," (",UPPER('BIÑAN INFO'!$H1249),")")</f>
        <v>Diaz, Homer J. ()</v>
      </c>
      <c r="E1249" s="70" t="s">
        <v>652</v>
      </c>
      <c r="F1249" s="69" t="s">
        <v>613</v>
      </c>
      <c r="G1249" s="70" t="s">
        <v>653</v>
      </c>
      <c r="H1249" s="69"/>
      <c r="I1249" s="71">
        <v>0.05</v>
      </c>
      <c r="J1249" s="72">
        <v>1000.0</v>
      </c>
      <c r="K1249" s="73" t="s">
        <v>571</v>
      </c>
      <c r="L1249" s="73" t="s">
        <v>654</v>
      </c>
      <c r="M1249" s="73">
        <v>2021.0</v>
      </c>
      <c r="N1249" s="74"/>
      <c r="O1249" s="59"/>
      <c r="P1249" s="59"/>
      <c r="Q1249" s="59"/>
      <c r="R1249" s="59"/>
      <c r="S1249" s="59"/>
      <c r="T1249" s="59"/>
      <c r="U1249" s="59"/>
      <c r="V1249" s="59"/>
      <c r="W1249" s="59"/>
      <c r="X1249" s="59"/>
      <c r="Y1249" s="59"/>
      <c r="Z1249" s="59"/>
    </row>
    <row r="1250" ht="30.0" customHeight="1">
      <c r="A1250" s="68"/>
      <c r="B1250" s="68">
        <v>1264.0</v>
      </c>
      <c r="C1250" s="68"/>
      <c r="D1250" s="69" t="str">
        <f>CONCATENATE(PROPER('BIÑAN INFO'!$G1250),", ",PROPER('BIÑAN INFO'!$E1250)," ",PROPER('BIÑAN INFO'!$F1250),"."," (",UPPER('BIÑAN INFO'!$H1250),")")</f>
        <v>Lopez, Virginia Fe. ()</v>
      </c>
      <c r="E1250" s="70" t="s">
        <v>655</v>
      </c>
      <c r="F1250" s="69" t="s">
        <v>641</v>
      </c>
      <c r="G1250" s="70" t="s">
        <v>316</v>
      </c>
      <c r="H1250" s="69"/>
      <c r="I1250" s="71">
        <v>0.05</v>
      </c>
      <c r="J1250" s="72">
        <v>1000.0</v>
      </c>
      <c r="K1250" s="73" t="s">
        <v>656</v>
      </c>
      <c r="L1250" s="73" t="s">
        <v>654</v>
      </c>
      <c r="M1250" s="73">
        <v>2021.0</v>
      </c>
      <c r="N1250" s="74" t="s">
        <v>657</v>
      </c>
      <c r="O1250" s="59"/>
      <c r="P1250" s="59"/>
      <c r="Q1250" s="59"/>
      <c r="R1250" s="59"/>
      <c r="S1250" s="59"/>
      <c r="T1250" s="59"/>
      <c r="U1250" s="59"/>
      <c r="V1250" s="59"/>
      <c r="W1250" s="59"/>
      <c r="X1250" s="59"/>
      <c r="Y1250" s="59"/>
      <c r="Z1250" s="59"/>
    </row>
    <row r="1251" ht="30.0" customHeight="1">
      <c r="A1251" s="68"/>
      <c r="B1251" s="68">
        <v>1265.0</v>
      </c>
      <c r="C1251" s="68"/>
      <c r="D1251" s="69" t="str">
        <f>CONCATENATE(PROPER('BIÑAN INFO'!$G1251),", ",PROPER('BIÑAN INFO'!$E1251)," ",PROPER('BIÑAN INFO'!$F1251),"."," (",UPPER('BIÑAN INFO'!$H1251),")")</f>
        <v>Lopez, Jose B. (JR)</v>
      </c>
      <c r="E1251" s="70" t="s">
        <v>303</v>
      </c>
      <c r="F1251" s="69" t="s">
        <v>627</v>
      </c>
      <c r="G1251" s="70" t="s">
        <v>316</v>
      </c>
      <c r="H1251" s="69" t="s">
        <v>629</v>
      </c>
      <c r="I1251" s="71">
        <v>0.05</v>
      </c>
      <c r="J1251" s="72">
        <v>1000.0</v>
      </c>
      <c r="K1251" s="73" t="s">
        <v>571</v>
      </c>
      <c r="L1251" s="73" t="s">
        <v>654</v>
      </c>
      <c r="M1251" s="73">
        <v>2021.0</v>
      </c>
      <c r="N1251" s="74"/>
      <c r="O1251" s="59"/>
      <c r="P1251" s="59"/>
      <c r="Q1251" s="59"/>
      <c r="R1251" s="59"/>
      <c r="S1251" s="59"/>
      <c r="T1251" s="59"/>
      <c r="U1251" s="59"/>
      <c r="V1251" s="59"/>
      <c r="W1251" s="59"/>
      <c r="X1251" s="59"/>
      <c r="Y1251" s="59"/>
      <c r="Z1251" s="59"/>
    </row>
    <row r="1252" ht="30.0" customHeight="1">
      <c r="A1252" s="68"/>
      <c r="B1252" s="68">
        <v>1266.0</v>
      </c>
      <c r="C1252" s="68"/>
      <c r="D1252" s="69" t="str">
        <f>CONCATENATE(PROPER('BIÑAN INFO'!$G1252),", ",PROPER('BIÑAN INFO'!$E1252)," ",PROPER('BIÑAN INFO'!$F1252),"."," (",UPPER('BIÑAN INFO'!$H1252),")")</f>
        <v>,  . ()</v>
      </c>
      <c r="E1252" s="70"/>
      <c r="F1252" s="69"/>
      <c r="G1252" s="70"/>
      <c r="H1252" s="69"/>
      <c r="I1252" s="71">
        <v>0.12</v>
      </c>
      <c r="J1252" s="72">
        <v>1000.0</v>
      </c>
      <c r="K1252" s="73"/>
      <c r="L1252" s="73"/>
      <c r="M1252" s="73"/>
      <c r="N1252" s="74"/>
      <c r="O1252" s="59"/>
      <c r="P1252" s="59"/>
      <c r="Q1252" s="59"/>
      <c r="R1252" s="59"/>
      <c r="S1252" s="59"/>
      <c r="T1252" s="59"/>
      <c r="U1252" s="59"/>
      <c r="V1252" s="59"/>
      <c r="W1252" s="59"/>
      <c r="X1252" s="59"/>
      <c r="Y1252" s="59"/>
      <c r="Z1252" s="59"/>
    </row>
    <row r="1253" ht="30.0" customHeight="1">
      <c r="A1253" s="68"/>
      <c r="B1253" s="68">
        <v>1267.0</v>
      </c>
      <c r="C1253" s="68"/>
      <c r="D1253" s="69" t="str">
        <f>CONCATENATE(PROPER('BIÑAN INFO'!$G1253),", ",PROPER('BIÑAN INFO'!$E1253)," ",PROPER('BIÑAN INFO'!$F1253),"."," (",UPPER('BIÑAN INFO'!$H1253),")")</f>
        <v>,  . ()</v>
      </c>
      <c r="E1253" s="70"/>
      <c r="F1253" s="69"/>
      <c r="G1253" s="70"/>
      <c r="H1253" s="69"/>
      <c r="I1253" s="71">
        <v>0.05</v>
      </c>
      <c r="J1253" s="72">
        <v>1000.0</v>
      </c>
      <c r="K1253" s="73" t="s">
        <v>50</v>
      </c>
      <c r="L1253" s="73"/>
      <c r="M1253" s="73"/>
      <c r="N1253" s="74"/>
      <c r="O1253" s="59"/>
      <c r="P1253" s="59"/>
      <c r="Q1253" s="59"/>
      <c r="R1253" s="59"/>
      <c r="S1253" s="59"/>
      <c r="T1253" s="59"/>
      <c r="U1253" s="59"/>
      <c r="V1253" s="59"/>
      <c r="W1253" s="59"/>
      <c r="X1253" s="59"/>
      <c r="Y1253" s="59"/>
      <c r="Z1253" s="59"/>
    </row>
    <row r="1254" ht="30.0" customHeight="1">
      <c r="A1254" s="68"/>
      <c r="B1254" s="68">
        <v>1268.0</v>
      </c>
      <c r="C1254" s="68"/>
      <c r="D1254" s="69" t="str">
        <f>CONCATENATE(PROPER('BIÑAN INFO'!$G1254),", ",PROPER('BIÑAN INFO'!$E1254)," ",PROPER('BIÑAN INFO'!$F1254),"."," (",UPPER('BIÑAN INFO'!$H1254),")")</f>
        <v>,  . ()</v>
      </c>
      <c r="E1254" s="70"/>
      <c r="F1254" s="69"/>
      <c r="G1254" s="70"/>
      <c r="H1254" s="69"/>
      <c r="I1254" s="71">
        <v>0.12</v>
      </c>
      <c r="J1254" s="72">
        <v>1000.0</v>
      </c>
      <c r="K1254" s="73"/>
      <c r="L1254" s="73"/>
      <c r="M1254" s="73"/>
      <c r="N1254" s="74"/>
      <c r="O1254" s="59"/>
      <c r="P1254" s="59"/>
      <c r="Q1254" s="59"/>
      <c r="R1254" s="59"/>
      <c r="S1254" s="59"/>
      <c r="T1254" s="59"/>
      <c r="U1254" s="59"/>
      <c r="V1254" s="59"/>
      <c r="W1254" s="59"/>
      <c r="X1254" s="59"/>
      <c r="Y1254" s="59"/>
      <c r="Z1254" s="59"/>
    </row>
    <row r="1255" ht="30.0" customHeight="1">
      <c r="A1255" s="68"/>
      <c r="B1255" s="68">
        <v>1269.0</v>
      </c>
      <c r="C1255" s="68"/>
      <c r="D1255" s="69" t="str">
        <f>CONCATENATE(PROPER('BIÑAN INFO'!$G1255),", ",PROPER('BIÑAN INFO'!$E1255)," ",PROPER('BIÑAN INFO'!$F1255),"."," (",UPPER('BIÑAN INFO'!$H1255),")")</f>
        <v>Caoile, Chris . ()</v>
      </c>
      <c r="E1255" s="70" t="s">
        <v>658</v>
      </c>
      <c r="F1255" s="69"/>
      <c r="G1255" s="70" t="s">
        <v>307</v>
      </c>
      <c r="H1255" s="69"/>
      <c r="I1255" s="71">
        <v>0.12</v>
      </c>
      <c r="J1255" s="72">
        <v>1000.0</v>
      </c>
      <c r="K1255" s="73"/>
      <c r="L1255" s="73"/>
      <c r="M1255" s="73"/>
      <c r="N1255" s="74"/>
      <c r="O1255" s="59"/>
      <c r="P1255" s="59"/>
      <c r="Q1255" s="59"/>
      <c r="R1255" s="59"/>
      <c r="S1255" s="59"/>
      <c r="T1255" s="59"/>
      <c r="U1255" s="59"/>
      <c r="V1255" s="59"/>
      <c r="W1255" s="59"/>
      <c r="X1255" s="59"/>
      <c r="Y1255" s="59"/>
      <c r="Z1255" s="59"/>
    </row>
    <row r="1256" ht="30.0" customHeight="1">
      <c r="A1256" s="68"/>
      <c r="B1256" s="68">
        <v>1270.0</v>
      </c>
      <c r="C1256" s="68"/>
      <c r="D1256" s="69" t="str">
        <f>CONCATENATE(PROPER('BIÑAN INFO'!$G1256),", ",PROPER('BIÑAN INFO'!$E1256)," ",PROPER('BIÑAN INFO'!$F1256),"."," (",UPPER('BIÑAN INFO'!$H1256),")")</f>
        <v>,  . ()</v>
      </c>
      <c r="E1256" s="70"/>
      <c r="F1256" s="69"/>
      <c r="G1256" s="70"/>
      <c r="H1256" s="69"/>
      <c r="I1256" s="71">
        <v>0.12</v>
      </c>
      <c r="J1256" s="72">
        <v>1000.0</v>
      </c>
      <c r="K1256" s="73"/>
      <c r="L1256" s="73"/>
      <c r="M1256" s="73"/>
      <c r="N1256" s="74"/>
      <c r="O1256" s="59"/>
      <c r="P1256" s="59"/>
      <c r="Q1256" s="59"/>
      <c r="R1256" s="59"/>
      <c r="S1256" s="59"/>
      <c r="T1256" s="59"/>
      <c r="U1256" s="59"/>
      <c r="V1256" s="59"/>
      <c r="W1256" s="59"/>
      <c r="X1256" s="59"/>
      <c r="Y1256" s="59"/>
      <c r="Z1256" s="59"/>
    </row>
    <row r="1257" ht="30.0" customHeight="1">
      <c r="A1257" s="68"/>
      <c r="B1257" s="68">
        <v>1271.0</v>
      </c>
      <c r="C1257" s="68"/>
      <c r="D1257" s="69" t="str">
        <f>CONCATENATE(PROPER('BIÑAN INFO'!$G1257),", ",PROPER('BIÑAN INFO'!$E1257)," ",PROPER('BIÑAN INFO'!$F1257),"."," (",UPPER('BIÑAN INFO'!$H1257),")")</f>
        <v>,  . ()</v>
      </c>
      <c r="E1257" s="70"/>
      <c r="F1257" s="69"/>
      <c r="G1257" s="70"/>
      <c r="H1257" s="69"/>
      <c r="I1257" s="71">
        <v>0.12</v>
      </c>
      <c r="J1257" s="72">
        <v>1000.0</v>
      </c>
      <c r="K1257" s="73"/>
      <c r="L1257" s="73"/>
      <c r="M1257" s="73"/>
      <c r="N1257" s="74"/>
      <c r="O1257" s="59"/>
      <c r="P1257" s="59"/>
      <c r="Q1257" s="59"/>
      <c r="R1257" s="59"/>
      <c r="S1257" s="59"/>
      <c r="T1257" s="59"/>
      <c r="U1257" s="59"/>
      <c r="V1257" s="59"/>
      <c r="W1257" s="59"/>
      <c r="X1257" s="59"/>
      <c r="Y1257" s="59"/>
      <c r="Z1257" s="59"/>
    </row>
    <row r="1258" ht="30.0" customHeight="1">
      <c r="A1258" s="68"/>
      <c r="B1258" s="68">
        <v>1272.0</v>
      </c>
      <c r="C1258" s="68"/>
      <c r="D1258" s="69" t="str">
        <f>CONCATENATE(PROPER('BIÑAN INFO'!$G1258),", ",PROPER('BIÑAN INFO'!$E1258)," ",PROPER('BIÑAN INFO'!$F1258),"."," (",UPPER('BIÑAN INFO'!$H1258),")")</f>
        <v>,  . ()</v>
      </c>
      <c r="E1258" s="70"/>
      <c r="F1258" s="69"/>
      <c r="G1258" s="70"/>
      <c r="H1258" s="69"/>
      <c r="I1258" s="71">
        <v>0.05</v>
      </c>
      <c r="J1258" s="72">
        <v>1000.0</v>
      </c>
      <c r="K1258" s="73"/>
      <c r="L1258" s="73"/>
      <c r="M1258" s="73"/>
      <c r="N1258" s="74"/>
      <c r="O1258" s="59"/>
      <c r="P1258" s="59"/>
      <c r="Q1258" s="59"/>
      <c r="R1258" s="59"/>
      <c r="S1258" s="59"/>
      <c r="T1258" s="59"/>
      <c r="U1258" s="59"/>
      <c r="V1258" s="59"/>
      <c r="W1258" s="59"/>
      <c r="X1258" s="59"/>
      <c r="Y1258" s="59"/>
      <c r="Z1258" s="59"/>
    </row>
    <row r="1259" ht="30.0" customHeight="1">
      <c r="A1259" s="68"/>
      <c r="B1259" s="68">
        <v>1273.0</v>
      </c>
      <c r="C1259" s="68"/>
      <c r="D1259" s="69" t="str">
        <f>CONCATENATE(PROPER('BIÑAN INFO'!$G1259),", ",PROPER('BIÑAN INFO'!$E1259)," ",PROPER('BIÑAN INFO'!$F1259),"."," (",UPPER('BIÑAN INFO'!$H1259),")")</f>
        <v>,  . ()</v>
      </c>
      <c r="E1259" s="70"/>
      <c r="F1259" s="69"/>
      <c r="G1259" s="70"/>
      <c r="H1259" s="69"/>
      <c r="I1259" s="71">
        <v>0.12</v>
      </c>
      <c r="J1259" s="72">
        <v>1000.0</v>
      </c>
      <c r="K1259" s="73"/>
      <c r="L1259" s="73"/>
      <c r="M1259" s="73"/>
      <c r="N1259" s="74"/>
      <c r="O1259" s="59"/>
      <c r="P1259" s="59"/>
      <c r="Q1259" s="59"/>
      <c r="R1259" s="59"/>
      <c r="S1259" s="59"/>
      <c r="T1259" s="59"/>
      <c r="U1259" s="59"/>
      <c r="V1259" s="59"/>
      <c r="W1259" s="59"/>
      <c r="X1259" s="59"/>
      <c r="Y1259" s="59"/>
      <c r="Z1259" s="59"/>
    </row>
    <row r="1260" ht="30.0" customHeight="1">
      <c r="A1260" s="68"/>
      <c r="B1260" s="68">
        <v>1274.0</v>
      </c>
      <c r="C1260" s="68"/>
      <c r="D1260" s="69" t="str">
        <f>CONCATENATE(PROPER('BIÑAN INFO'!$G1260),", ",PROPER('BIÑAN INFO'!$E1260)," ",PROPER('BIÑAN INFO'!$F1260),"."," (",UPPER('BIÑAN INFO'!$H1260),")")</f>
        <v>Brucal, Lilia B. ()</v>
      </c>
      <c r="E1260" s="70" t="s">
        <v>659</v>
      </c>
      <c r="F1260" s="69" t="s">
        <v>627</v>
      </c>
      <c r="G1260" s="70" t="s">
        <v>263</v>
      </c>
      <c r="H1260" s="69"/>
      <c r="I1260" s="71">
        <v>0.12</v>
      </c>
      <c r="J1260" s="72">
        <v>1000.0</v>
      </c>
      <c r="K1260" s="73"/>
      <c r="L1260" s="73"/>
      <c r="M1260" s="73"/>
      <c r="N1260" s="74"/>
      <c r="O1260" s="59"/>
      <c r="P1260" s="59"/>
      <c r="Q1260" s="59"/>
      <c r="R1260" s="59"/>
      <c r="S1260" s="59"/>
      <c r="T1260" s="59"/>
      <c r="U1260" s="59"/>
      <c r="V1260" s="59"/>
      <c r="W1260" s="59"/>
      <c r="X1260" s="59"/>
      <c r="Y1260" s="59"/>
      <c r="Z1260" s="59"/>
    </row>
    <row r="1261" ht="30.0" customHeight="1">
      <c r="A1261" s="68"/>
      <c r="B1261" s="68">
        <v>1275.0</v>
      </c>
      <c r="C1261" s="68"/>
      <c r="D1261" s="69" t="str">
        <f>CONCATENATE(PROPER('BIÑAN INFO'!$G1261),", ",PROPER('BIÑAN INFO'!$E1261)," ",PROPER('BIÑAN INFO'!$F1261),"."," (",UPPER('BIÑAN INFO'!$H1261),")")</f>
        <v>,  . ()</v>
      </c>
      <c r="E1261" s="70"/>
      <c r="F1261" s="69"/>
      <c r="G1261" s="70"/>
      <c r="H1261" s="69"/>
      <c r="I1261" s="71">
        <v>0.12</v>
      </c>
      <c r="J1261" s="72">
        <v>1000.0</v>
      </c>
      <c r="K1261" s="73"/>
      <c r="L1261" s="73"/>
      <c r="M1261" s="73"/>
      <c r="N1261" s="74" t="s">
        <v>581</v>
      </c>
      <c r="O1261" s="59"/>
      <c r="P1261" s="59"/>
      <c r="Q1261" s="59"/>
      <c r="R1261" s="59"/>
      <c r="S1261" s="59"/>
      <c r="T1261" s="59"/>
      <c r="U1261" s="59"/>
      <c r="V1261" s="59"/>
      <c r="W1261" s="59"/>
      <c r="X1261" s="59"/>
      <c r="Y1261" s="59"/>
      <c r="Z1261" s="59"/>
    </row>
    <row r="1262" ht="30.0" customHeight="1">
      <c r="A1262" s="68"/>
      <c r="B1262" s="68">
        <v>1276.0</v>
      </c>
      <c r="C1262" s="68"/>
      <c r="D1262" s="69" t="str">
        <f>CONCATENATE(PROPER('BIÑAN INFO'!$G1262),", ",PROPER('BIÑAN INFO'!$E1262)," ",PROPER('BIÑAN INFO'!$F1262),"."," (",UPPER('BIÑAN INFO'!$H1262),")")</f>
        <v>,  . ()</v>
      </c>
      <c r="E1262" s="70"/>
      <c r="F1262" s="69"/>
      <c r="G1262" s="70"/>
      <c r="H1262" s="69"/>
      <c r="I1262" s="71">
        <v>0.12</v>
      </c>
      <c r="J1262" s="72">
        <v>1000.0</v>
      </c>
      <c r="K1262" s="73"/>
      <c r="L1262" s="73"/>
      <c r="M1262" s="73"/>
      <c r="N1262" s="74"/>
      <c r="O1262" s="59"/>
      <c r="P1262" s="59"/>
      <c r="Q1262" s="59"/>
      <c r="R1262" s="59"/>
      <c r="S1262" s="59"/>
      <c r="T1262" s="59"/>
      <c r="U1262" s="59"/>
      <c r="V1262" s="59"/>
      <c r="W1262" s="59"/>
      <c r="X1262" s="59"/>
      <c r="Y1262" s="59"/>
      <c r="Z1262" s="59"/>
    </row>
    <row r="1263" ht="30.0" customHeight="1">
      <c r="A1263" s="68"/>
      <c r="B1263" s="68">
        <v>1277.0</v>
      </c>
      <c r="C1263" s="68"/>
      <c r="D1263" s="69" t="str">
        <f>CONCATENATE(PROPER('BIÑAN INFO'!$G1263),", ",PROPER('BIÑAN INFO'!$E1263)," ",PROPER('BIÑAN INFO'!$F1263),"."," (",UPPER('BIÑAN INFO'!$H1263),")")</f>
        <v>,  . ()</v>
      </c>
      <c r="E1263" s="70"/>
      <c r="F1263" s="69"/>
      <c r="G1263" s="70"/>
      <c r="H1263" s="69"/>
      <c r="I1263" s="71">
        <v>0.12</v>
      </c>
      <c r="J1263" s="72">
        <v>1000.0</v>
      </c>
      <c r="K1263" s="73"/>
      <c r="L1263" s="73"/>
      <c r="M1263" s="73"/>
      <c r="N1263" s="74"/>
      <c r="O1263" s="59"/>
      <c r="P1263" s="59"/>
      <c r="Q1263" s="59"/>
      <c r="R1263" s="59"/>
      <c r="S1263" s="59"/>
      <c r="T1263" s="59"/>
      <c r="U1263" s="59"/>
      <c r="V1263" s="59"/>
      <c r="W1263" s="59"/>
      <c r="X1263" s="59"/>
      <c r="Y1263" s="59"/>
      <c r="Z1263" s="59"/>
    </row>
    <row r="1264" ht="30.0" customHeight="1">
      <c r="A1264" s="68"/>
      <c r="B1264" s="68">
        <v>1278.0</v>
      </c>
      <c r="C1264" s="68"/>
      <c r="D1264" s="69" t="str">
        <f>CONCATENATE(PROPER('BIÑAN INFO'!$G1264),", ",PROPER('BIÑAN INFO'!$E1264)," ",PROPER('BIÑAN INFO'!$F1264),"."," (",UPPER('BIÑAN INFO'!$H1264),")")</f>
        <v>Rosellon, Diana Amor. ()</v>
      </c>
      <c r="E1264" s="70" t="s">
        <v>467</v>
      </c>
      <c r="F1264" s="69" t="s">
        <v>660</v>
      </c>
      <c r="G1264" s="70" t="s">
        <v>661</v>
      </c>
      <c r="H1264" s="69"/>
      <c r="I1264" s="71">
        <v>0.05</v>
      </c>
      <c r="J1264" s="72">
        <v>1000.0</v>
      </c>
      <c r="K1264" s="73" t="s">
        <v>50</v>
      </c>
      <c r="L1264" s="73"/>
      <c r="M1264" s="73"/>
      <c r="N1264" s="74" t="s">
        <v>623</v>
      </c>
      <c r="O1264" s="59"/>
      <c r="P1264" s="59"/>
      <c r="Q1264" s="59"/>
      <c r="R1264" s="59"/>
      <c r="S1264" s="59"/>
      <c r="T1264" s="59"/>
      <c r="U1264" s="59"/>
      <c r="V1264" s="59"/>
      <c r="W1264" s="59"/>
      <c r="X1264" s="59"/>
      <c r="Y1264" s="59"/>
      <c r="Z1264" s="59"/>
    </row>
    <row r="1265" ht="30.0" customHeight="1">
      <c r="A1265" s="68"/>
      <c r="B1265" s="68">
        <v>1279.0</v>
      </c>
      <c r="C1265" s="68"/>
      <c r="D1265" s="69" t="str">
        <f>CONCATENATE(PROPER('BIÑAN INFO'!$G1265),", ",PROPER('BIÑAN INFO'!$E1265)," ",PROPER('BIÑAN INFO'!$F1265),"."," (",UPPER('BIÑAN INFO'!$H1265),")")</f>
        <v>,  . ()</v>
      </c>
      <c r="E1265" s="70"/>
      <c r="F1265" s="69"/>
      <c r="G1265" s="70"/>
      <c r="H1265" s="69"/>
      <c r="I1265" s="71">
        <v>0.12</v>
      </c>
      <c r="J1265" s="72">
        <v>1000.0</v>
      </c>
      <c r="K1265" s="73"/>
      <c r="L1265" s="73"/>
      <c r="M1265" s="73"/>
      <c r="N1265" s="74"/>
      <c r="O1265" s="59"/>
      <c r="P1265" s="59"/>
      <c r="Q1265" s="59"/>
      <c r="R1265" s="59"/>
      <c r="S1265" s="59"/>
      <c r="T1265" s="59"/>
      <c r="U1265" s="59"/>
      <c r="V1265" s="59"/>
      <c r="W1265" s="59"/>
      <c r="X1265" s="59"/>
      <c r="Y1265" s="59"/>
      <c r="Z1265" s="59"/>
    </row>
    <row r="1266" ht="30.0" customHeight="1">
      <c r="A1266" s="68"/>
      <c r="B1266" s="68">
        <v>1280.0</v>
      </c>
      <c r="C1266" s="68"/>
      <c r="D1266" s="69" t="str">
        <f>CONCATENATE(PROPER('BIÑAN INFO'!$G1266),", ",PROPER('BIÑAN INFO'!$E1266)," ",PROPER('BIÑAN INFO'!$F1266),"."," (",UPPER('BIÑAN INFO'!$H1266),")")</f>
        <v>Alpaño, Salve . ()</v>
      </c>
      <c r="E1266" s="70" t="s">
        <v>662</v>
      </c>
      <c r="F1266" s="69"/>
      <c r="G1266" s="70" t="s">
        <v>663</v>
      </c>
      <c r="H1266" s="69"/>
      <c r="I1266" s="71">
        <v>0.12</v>
      </c>
      <c r="J1266" s="72">
        <v>1000.0</v>
      </c>
      <c r="K1266" s="73"/>
      <c r="L1266" s="73"/>
      <c r="M1266" s="73"/>
      <c r="N1266" s="74"/>
      <c r="O1266" s="59"/>
      <c r="P1266" s="59"/>
      <c r="Q1266" s="59"/>
      <c r="R1266" s="59"/>
      <c r="S1266" s="59"/>
      <c r="T1266" s="59"/>
      <c r="U1266" s="59"/>
      <c r="V1266" s="59"/>
      <c r="W1266" s="59"/>
      <c r="X1266" s="59"/>
      <c r="Y1266" s="59"/>
      <c r="Z1266" s="59"/>
    </row>
    <row r="1267" ht="30.0" customHeight="1">
      <c r="A1267" s="68"/>
      <c r="B1267" s="68">
        <v>1281.0</v>
      </c>
      <c r="C1267" s="68"/>
      <c r="D1267" s="69" t="str">
        <f>CONCATENATE(PROPER('BIÑAN INFO'!$G1267),", ",PROPER('BIÑAN INFO'!$E1267)," ",PROPER('BIÑAN INFO'!$F1267),"."," (",UPPER('BIÑAN INFO'!$H1267),")")</f>
        <v>,  . ()</v>
      </c>
      <c r="E1267" s="70"/>
      <c r="F1267" s="69"/>
      <c r="G1267" s="70"/>
      <c r="H1267" s="69"/>
      <c r="I1267" s="71">
        <v>0.12</v>
      </c>
      <c r="J1267" s="72">
        <v>1000.0</v>
      </c>
      <c r="K1267" s="73"/>
      <c r="L1267" s="73"/>
      <c r="M1267" s="73"/>
      <c r="N1267" s="74"/>
      <c r="O1267" s="59"/>
      <c r="P1267" s="59"/>
      <c r="Q1267" s="59"/>
      <c r="R1267" s="59"/>
      <c r="S1267" s="59"/>
      <c r="T1267" s="59"/>
      <c r="U1267" s="59"/>
      <c r="V1267" s="59"/>
      <c r="W1267" s="59"/>
      <c r="X1267" s="59"/>
      <c r="Y1267" s="59"/>
      <c r="Z1267" s="59"/>
    </row>
    <row r="1268" ht="30.0" customHeight="1">
      <c r="A1268" s="68"/>
      <c r="B1268" s="68">
        <v>1282.0</v>
      </c>
      <c r="C1268" s="68"/>
      <c r="D1268" s="69" t="str">
        <f>CONCATENATE(PROPER('BIÑAN INFO'!$G1268),", ",PROPER('BIÑAN INFO'!$E1268)," ",PROPER('BIÑAN INFO'!$F1268),"."," (",UPPER('BIÑAN INFO'!$H1268),")")</f>
        <v>,  . ()</v>
      </c>
      <c r="E1268" s="70"/>
      <c r="F1268" s="69"/>
      <c r="G1268" s="70"/>
      <c r="H1268" s="69"/>
      <c r="I1268" s="71">
        <v>0.12</v>
      </c>
      <c r="J1268" s="72">
        <v>1000.0</v>
      </c>
      <c r="K1268" s="73"/>
      <c r="L1268" s="73"/>
      <c r="M1268" s="73"/>
      <c r="N1268" s="74"/>
      <c r="O1268" s="59"/>
      <c r="P1268" s="59"/>
      <c r="Q1268" s="59"/>
      <c r="R1268" s="59"/>
      <c r="S1268" s="59"/>
      <c r="T1268" s="59"/>
      <c r="U1268" s="59"/>
      <c r="V1268" s="59"/>
      <c r="W1268" s="59"/>
      <c r="X1268" s="59"/>
      <c r="Y1268" s="59"/>
      <c r="Z1268" s="59"/>
    </row>
    <row r="1269" ht="30.0" customHeight="1">
      <c r="A1269" s="68"/>
      <c r="B1269" s="68">
        <v>1283.0</v>
      </c>
      <c r="C1269" s="68"/>
      <c r="D1269" s="69" t="str">
        <f>CONCATENATE(PROPER('BIÑAN INFO'!$G1269),", ",PROPER('BIÑAN INFO'!$E1269)," ",PROPER('BIÑAN INFO'!$F1269),"."," (",UPPER('BIÑAN INFO'!$H1269),")")</f>
        <v>,  . ()</v>
      </c>
      <c r="E1269" s="70"/>
      <c r="F1269" s="69"/>
      <c r="G1269" s="70"/>
      <c r="H1269" s="69"/>
      <c r="I1269" s="71">
        <v>0.12</v>
      </c>
      <c r="J1269" s="72">
        <v>1000.0</v>
      </c>
      <c r="K1269" s="73"/>
      <c r="L1269" s="73"/>
      <c r="M1269" s="73"/>
      <c r="N1269" s="74"/>
      <c r="O1269" s="59"/>
      <c r="P1269" s="59"/>
      <c r="Q1269" s="59"/>
      <c r="R1269" s="59"/>
      <c r="S1269" s="59"/>
      <c r="T1269" s="59"/>
      <c r="U1269" s="59"/>
      <c r="V1269" s="59"/>
      <c r="W1269" s="59"/>
      <c r="X1269" s="59"/>
      <c r="Y1269" s="59"/>
      <c r="Z1269" s="59"/>
    </row>
    <row r="1270" ht="30.0" customHeight="1">
      <c r="A1270" s="68"/>
      <c r="B1270" s="68">
        <v>1284.0</v>
      </c>
      <c r="C1270" s="68"/>
      <c r="D1270" s="69" t="str">
        <f>CONCATENATE(PROPER('BIÑAN INFO'!$G1270),", ",PROPER('BIÑAN INFO'!$E1270)," ",PROPER('BIÑAN INFO'!$F1270),"."," (",UPPER('BIÑAN INFO'!$H1270),")")</f>
        <v>,  . ()</v>
      </c>
      <c r="E1270" s="70"/>
      <c r="F1270" s="69"/>
      <c r="G1270" s="70"/>
      <c r="H1270" s="69"/>
      <c r="I1270" s="71">
        <v>0.12</v>
      </c>
      <c r="J1270" s="72">
        <v>1000.0</v>
      </c>
      <c r="K1270" s="73"/>
      <c r="L1270" s="73"/>
      <c r="M1270" s="73"/>
      <c r="N1270" s="74"/>
      <c r="O1270" s="59"/>
      <c r="P1270" s="59"/>
      <c r="Q1270" s="59"/>
      <c r="R1270" s="59"/>
      <c r="S1270" s="59"/>
      <c r="T1270" s="59"/>
      <c r="U1270" s="59"/>
      <c r="V1270" s="59"/>
      <c r="W1270" s="59"/>
      <c r="X1270" s="59"/>
      <c r="Y1270" s="59"/>
      <c r="Z1270" s="59"/>
    </row>
    <row r="1271" ht="30.0" customHeight="1">
      <c r="A1271" s="68"/>
      <c r="B1271" s="68">
        <v>1285.0</v>
      </c>
      <c r="C1271" s="68"/>
      <c r="D1271" s="69" t="str">
        <f>CONCATENATE(PROPER('BIÑAN INFO'!$G1271),", ",PROPER('BIÑAN INFO'!$E1271)," ",PROPER('BIÑAN INFO'!$F1271),"."," (",UPPER('BIÑAN INFO'!$H1271),")")</f>
        <v>,  . ()</v>
      </c>
      <c r="E1271" s="70"/>
      <c r="F1271" s="69"/>
      <c r="G1271" s="70"/>
      <c r="H1271" s="69"/>
      <c r="I1271" s="71">
        <v>0.12</v>
      </c>
      <c r="J1271" s="72">
        <v>1000.0</v>
      </c>
      <c r="K1271" s="73"/>
      <c r="L1271" s="73"/>
      <c r="M1271" s="73"/>
      <c r="N1271" s="74"/>
      <c r="O1271" s="59"/>
      <c r="P1271" s="59"/>
      <c r="Q1271" s="59"/>
      <c r="R1271" s="59"/>
      <c r="S1271" s="59"/>
      <c r="T1271" s="59"/>
      <c r="U1271" s="59"/>
      <c r="V1271" s="59"/>
      <c r="W1271" s="59"/>
      <c r="X1271" s="59"/>
      <c r="Y1271" s="59"/>
      <c r="Z1271" s="59"/>
    </row>
    <row r="1272" ht="30.0" customHeight="1">
      <c r="A1272" s="68"/>
      <c r="B1272" s="68">
        <v>1286.0</v>
      </c>
      <c r="C1272" s="68"/>
      <c r="D1272" s="69" t="str">
        <f>CONCATENATE(PROPER('BIÑAN INFO'!$G1272),", ",PROPER('BIÑAN INFO'!$E1272)," ",PROPER('BIÑAN INFO'!$F1272),"."," (",UPPER('BIÑAN INFO'!$H1272),")")</f>
        <v>,  . ()</v>
      </c>
      <c r="E1272" s="70"/>
      <c r="F1272" s="69"/>
      <c r="G1272" s="70"/>
      <c r="H1272" s="69"/>
      <c r="I1272" s="71">
        <v>0.12</v>
      </c>
      <c r="J1272" s="72">
        <v>1000.0</v>
      </c>
      <c r="K1272" s="73"/>
      <c r="L1272" s="73"/>
      <c r="M1272" s="73"/>
      <c r="N1272" s="74"/>
      <c r="O1272" s="59"/>
      <c r="P1272" s="59"/>
      <c r="Q1272" s="59"/>
      <c r="R1272" s="59"/>
      <c r="S1272" s="59"/>
      <c r="T1272" s="59"/>
      <c r="U1272" s="59"/>
      <c r="V1272" s="59"/>
      <c r="W1272" s="59"/>
      <c r="X1272" s="59"/>
      <c r="Y1272" s="59"/>
      <c r="Z1272" s="59"/>
    </row>
    <row r="1273" ht="30.0" customHeight="1">
      <c r="A1273" s="68"/>
      <c r="B1273" s="68">
        <v>1287.0</v>
      </c>
      <c r="C1273" s="68"/>
      <c r="D1273" s="69" t="str">
        <f>CONCATENATE(PROPER('BIÑAN INFO'!$G1273),", ",PROPER('BIÑAN INFO'!$E1273)," ",PROPER('BIÑAN INFO'!$F1273),"."," (",UPPER('BIÑAN INFO'!$H1273),")")</f>
        <v>,  . ()</v>
      </c>
      <c r="E1273" s="70"/>
      <c r="F1273" s="69"/>
      <c r="G1273" s="70"/>
      <c r="H1273" s="69"/>
      <c r="I1273" s="71">
        <v>0.12</v>
      </c>
      <c r="J1273" s="72">
        <v>1000.0</v>
      </c>
      <c r="K1273" s="73"/>
      <c r="L1273" s="73"/>
      <c r="M1273" s="73"/>
      <c r="N1273" s="74"/>
      <c r="O1273" s="59"/>
      <c r="P1273" s="59"/>
      <c r="Q1273" s="59"/>
      <c r="R1273" s="59"/>
      <c r="S1273" s="59"/>
      <c r="T1273" s="59"/>
      <c r="U1273" s="59"/>
      <c r="V1273" s="59"/>
      <c r="W1273" s="59"/>
      <c r="X1273" s="59"/>
      <c r="Y1273" s="59"/>
      <c r="Z1273" s="59"/>
    </row>
    <row r="1274" ht="30.0" customHeight="1">
      <c r="A1274" s="68"/>
      <c r="B1274" s="68">
        <v>1288.0</v>
      </c>
      <c r="C1274" s="68"/>
      <c r="D1274" s="69" t="str">
        <f>CONCATENATE(PROPER('BIÑAN INFO'!$G1274),", ",PROPER('BIÑAN INFO'!$E1274)," ",PROPER('BIÑAN INFO'!$F1274),"."," (",UPPER('BIÑAN INFO'!$H1274),")")</f>
        <v>,  . ()</v>
      </c>
      <c r="E1274" s="70"/>
      <c r="F1274" s="69"/>
      <c r="G1274" s="70"/>
      <c r="H1274" s="69"/>
      <c r="I1274" s="71">
        <v>0.12</v>
      </c>
      <c r="J1274" s="72">
        <v>1000.0</v>
      </c>
      <c r="K1274" s="73"/>
      <c r="L1274" s="73"/>
      <c r="M1274" s="73"/>
      <c r="N1274" s="74"/>
      <c r="O1274" s="59"/>
      <c r="P1274" s="59"/>
      <c r="Q1274" s="59"/>
      <c r="R1274" s="59"/>
      <c r="S1274" s="59"/>
      <c r="T1274" s="59"/>
      <c r="U1274" s="59"/>
      <c r="V1274" s="59"/>
      <c r="W1274" s="59"/>
      <c r="X1274" s="59"/>
      <c r="Y1274" s="59"/>
      <c r="Z1274" s="59"/>
    </row>
    <row r="1275" ht="30.0" customHeight="1">
      <c r="A1275" s="68"/>
      <c r="B1275" s="68">
        <v>1289.0</v>
      </c>
      <c r="C1275" s="68"/>
      <c r="D1275" s="69" t="str">
        <f>CONCATENATE(PROPER('BIÑAN INFO'!$G1275),", ",PROPER('BIÑAN INFO'!$E1275)," ",PROPER('BIÑAN INFO'!$F1275),"."," (",UPPER('BIÑAN INFO'!$H1275),")")</f>
        <v>,  . ()</v>
      </c>
      <c r="E1275" s="70"/>
      <c r="F1275" s="69"/>
      <c r="G1275" s="70"/>
      <c r="H1275" s="69"/>
      <c r="I1275" s="71">
        <v>0.12</v>
      </c>
      <c r="J1275" s="72">
        <v>1000.0</v>
      </c>
      <c r="K1275" s="73"/>
      <c r="L1275" s="73"/>
      <c r="M1275" s="73"/>
      <c r="N1275" s="74"/>
      <c r="O1275" s="59"/>
      <c r="P1275" s="59"/>
      <c r="Q1275" s="59"/>
      <c r="R1275" s="59"/>
      <c r="S1275" s="59"/>
      <c r="T1275" s="59"/>
      <c r="U1275" s="59"/>
      <c r="V1275" s="59"/>
      <c r="W1275" s="59"/>
      <c r="X1275" s="59"/>
      <c r="Y1275" s="59"/>
      <c r="Z1275" s="59"/>
    </row>
    <row r="1276" ht="30.0" customHeight="1">
      <c r="A1276" s="68"/>
      <c r="B1276" s="68">
        <v>1290.0</v>
      </c>
      <c r="C1276" s="68"/>
      <c r="D1276" s="69" t="str">
        <f>CONCATENATE(PROPER('BIÑAN INFO'!$G1276),", ",PROPER('BIÑAN INFO'!$E1276)," ",PROPER('BIÑAN INFO'!$F1276),"."," (",UPPER('BIÑAN INFO'!$H1276),")")</f>
        <v>Lidwelyn, Olba . ()</v>
      </c>
      <c r="E1276" s="70" t="s">
        <v>664</v>
      </c>
      <c r="F1276" s="69"/>
      <c r="G1276" s="70" t="s">
        <v>665</v>
      </c>
      <c r="H1276" s="69"/>
      <c r="I1276" s="71">
        <v>0.12</v>
      </c>
      <c r="J1276" s="72">
        <v>1000.0</v>
      </c>
      <c r="K1276" s="73"/>
      <c r="L1276" s="73"/>
      <c r="M1276" s="73"/>
      <c r="N1276" s="74"/>
      <c r="O1276" s="59"/>
      <c r="P1276" s="59"/>
      <c r="Q1276" s="59"/>
      <c r="R1276" s="59"/>
      <c r="S1276" s="59"/>
      <c r="T1276" s="59"/>
      <c r="U1276" s="59"/>
      <c r="V1276" s="59"/>
      <c r="W1276" s="59"/>
      <c r="X1276" s="59"/>
      <c r="Y1276" s="59"/>
      <c r="Z1276" s="59"/>
    </row>
    <row r="1277" ht="30.0" customHeight="1">
      <c r="A1277" s="68"/>
      <c r="B1277" s="68">
        <v>1291.0</v>
      </c>
      <c r="C1277" s="68"/>
      <c r="D1277" s="69" t="str">
        <f>CONCATENATE(PROPER('BIÑAN INFO'!$G1277),", ",PROPER('BIÑAN INFO'!$E1277)," ",PROPER('BIÑAN INFO'!$F1277),"."," (",UPPER('BIÑAN INFO'!$H1277),")")</f>
        <v>Baudin, Lea Brabante. ()</v>
      </c>
      <c r="E1277" s="70" t="s">
        <v>666</v>
      </c>
      <c r="F1277" s="69" t="s">
        <v>667</v>
      </c>
      <c r="G1277" s="70" t="s">
        <v>668</v>
      </c>
      <c r="H1277" s="69"/>
      <c r="I1277" s="71">
        <v>0.05</v>
      </c>
      <c r="J1277" s="72">
        <v>1000.0</v>
      </c>
      <c r="K1277" s="73" t="s">
        <v>50</v>
      </c>
      <c r="L1277" s="73"/>
      <c r="M1277" s="73"/>
      <c r="N1277" s="74"/>
      <c r="O1277" s="59"/>
      <c r="P1277" s="59"/>
      <c r="Q1277" s="59"/>
      <c r="R1277" s="59"/>
      <c r="S1277" s="59"/>
      <c r="T1277" s="59"/>
      <c r="U1277" s="59"/>
      <c r="V1277" s="59"/>
      <c r="W1277" s="59"/>
      <c r="X1277" s="59"/>
      <c r="Y1277" s="59"/>
      <c r="Z1277" s="59"/>
    </row>
    <row r="1278" ht="30.0" customHeight="1">
      <c r="A1278" s="68"/>
      <c r="B1278" s="68">
        <v>1292.0</v>
      </c>
      <c r="C1278" s="68"/>
      <c r="D1278" s="69" t="str">
        <f>CONCATENATE(PROPER('BIÑAN INFO'!$G1278),", ",PROPER('BIÑAN INFO'!$E1278)," ",PROPER('BIÑAN INFO'!$F1278),"."," (",UPPER('BIÑAN INFO'!$H1278),")")</f>
        <v>,  . ()</v>
      </c>
      <c r="E1278" s="70"/>
      <c r="F1278" s="69"/>
      <c r="G1278" s="70"/>
      <c r="H1278" s="69"/>
      <c r="I1278" s="71">
        <v>0.12</v>
      </c>
      <c r="J1278" s="72">
        <v>1000.0</v>
      </c>
      <c r="K1278" s="73"/>
      <c r="L1278" s="73"/>
      <c r="M1278" s="73"/>
      <c r="N1278" s="74"/>
      <c r="O1278" s="59"/>
      <c r="P1278" s="59"/>
      <c r="Q1278" s="59"/>
      <c r="R1278" s="59"/>
      <c r="S1278" s="59"/>
      <c r="T1278" s="59"/>
      <c r="U1278" s="59"/>
      <c r="V1278" s="59"/>
      <c r="W1278" s="59"/>
      <c r="X1278" s="59"/>
      <c r="Y1278" s="59"/>
      <c r="Z1278" s="59"/>
    </row>
    <row r="1279" ht="30.0" customHeight="1">
      <c r="A1279" s="68"/>
      <c r="B1279" s="68">
        <v>1293.0</v>
      </c>
      <c r="C1279" s="68"/>
      <c r="D1279" s="69" t="str">
        <f>CONCATENATE(PROPER('BIÑAN INFO'!$G1279),", ",PROPER('BIÑAN INFO'!$E1279)," ",PROPER('BIÑAN INFO'!$F1279),"."," (",UPPER('BIÑAN INFO'!$H1279),")")</f>
        <v>,  . ()</v>
      </c>
      <c r="E1279" s="70"/>
      <c r="F1279" s="69"/>
      <c r="G1279" s="70"/>
      <c r="H1279" s="69"/>
      <c r="I1279" s="71">
        <v>0.12</v>
      </c>
      <c r="J1279" s="72">
        <v>1000.0</v>
      </c>
      <c r="K1279" s="73"/>
      <c r="L1279" s="73"/>
      <c r="M1279" s="73"/>
      <c r="N1279" s="74"/>
      <c r="O1279" s="59"/>
      <c r="P1279" s="59"/>
      <c r="Q1279" s="59"/>
      <c r="R1279" s="59"/>
      <c r="S1279" s="59"/>
      <c r="T1279" s="59"/>
      <c r="U1279" s="59"/>
      <c r="V1279" s="59"/>
      <c r="W1279" s="59"/>
      <c r="X1279" s="59"/>
      <c r="Y1279" s="59"/>
      <c r="Z1279" s="59"/>
    </row>
    <row r="1280" ht="30.0" customHeight="1">
      <c r="A1280" s="68"/>
      <c r="B1280" s="68">
        <v>1294.0</v>
      </c>
      <c r="C1280" s="68"/>
      <c r="D1280" s="69" t="str">
        <f>CONCATENATE(PROPER('BIÑAN INFO'!$G1280),", ",PROPER('BIÑAN INFO'!$E1280)," ",PROPER('BIÑAN INFO'!$F1280),"."," (",UPPER('BIÑAN INFO'!$H1280),")")</f>
        <v>Medina, Ramil . ()</v>
      </c>
      <c r="E1280" s="70" t="s">
        <v>514</v>
      </c>
      <c r="F1280" s="69"/>
      <c r="G1280" s="70" t="s">
        <v>515</v>
      </c>
      <c r="H1280" s="69"/>
      <c r="I1280" s="71">
        <v>0.12</v>
      </c>
      <c r="J1280" s="72">
        <v>1000.0</v>
      </c>
      <c r="K1280" s="73"/>
      <c r="L1280" s="73"/>
      <c r="M1280" s="73"/>
      <c r="N1280" s="74"/>
      <c r="O1280" s="59"/>
      <c r="P1280" s="59"/>
      <c r="Q1280" s="59"/>
      <c r="R1280" s="59"/>
      <c r="S1280" s="59"/>
      <c r="T1280" s="59"/>
      <c r="U1280" s="59"/>
      <c r="V1280" s="59"/>
      <c r="W1280" s="59"/>
      <c r="X1280" s="59"/>
      <c r="Y1280" s="59"/>
      <c r="Z1280" s="59"/>
    </row>
    <row r="1281" ht="30.0" customHeight="1">
      <c r="A1281" s="68"/>
      <c r="B1281" s="68">
        <v>1295.0</v>
      </c>
      <c r="C1281" s="68"/>
      <c r="D1281" s="69" t="str">
        <f>CONCATENATE(PROPER('BIÑAN INFO'!$G1281),", ",PROPER('BIÑAN INFO'!$E1281)," ",PROPER('BIÑAN INFO'!$F1281),"."," (",UPPER('BIÑAN INFO'!$H1281),")")</f>
        <v>Sabanal, Susana . ()</v>
      </c>
      <c r="E1281" s="70" t="s">
        <v>669</v>
      </c>
      <c r="F1281" s="69"/>
      <c r="G1281" s="70" t="s">
        <v>670</v>
      </c>
      <c r="H1281" s="69"/>
      <c r="I1281" s="71">
        <v>0.12</v>
      </c>
      <c r="J1281" s="72">
        <v>1000.0</v>
      </c>
      <c r="K1281" s="73"/>
      <c r="L1281" s="73"/>
      <c r="M1281" s="73"/>
      <c r="N1281" s="74"/>
      <c r="O1281" s="59"/>
      <c r="P1281" s="59"/>
      <c r="Q1281" s="59"/>
      <c r="R1281" s="59"/>
      <c r="S1281" s="59"/>
      <c r="T1281" s="59"/>
      <c r="U1281" s="59"/>
      <c r="V1281" s="59"/>
      <c r="W1281" s="59"/>
      <c r="X1281" s="59"/>
      <c r="Y1281" s="59"/>
      <c r="Z1281" s="59"/>
    </row>
    <row r="1282" ht="30.0" customHeight="1">
      <c r="A1282" s="68"/>
      <c r="B1282" s="68">
        <v>1296.0</v>
      </c>
      <c r="C1282" s="68"/>
      <c r="D1282" s="69" t="str">
        <f>CONCATENATE(PROPER('BIÑAN INFO'!$G1282),", ",PROPER('BIÑAN INFO'!$E1282)," ",PROPER('BIÑAN INFO'!$F1282),"."," (",UPPER('BIÑAN INFO'!$H1282),")")</f>
        <v>,  . ()</v>
      </c>
      <c r="E1282" s="70"/>
      <c r="F1282" s="69"/>
      <c r="G1282" s="70"/>
      <c r="H1282" s="69"/>
      <c r="I1282" s="71">
        <v>0.05</v>
      </c>
      <c r="J1282" s="72">
        <v>1000.0</v>
      </c>
      <c r="K1282" s="73"/>
      <c r="L1282" s="73"/>
      <c r="M1282" s="73"/>
      <c r="N1282" s="74" t="s">
        <v>671</v>
      </c>
      <c r="O1282" s="59"/>
      <c r="P1282" s="59"/>
      <c r="Q1282" s="59"/>
      <c r="R1282" s="59"/>
      <c r="S1282" s="59"/>
      <c r="T1282" s="59"/>
      <c r="U1282" s="59"/>
      <c r="V1282" s="59"/>
      <c r="W1282" s="59"/>
      <c r="X1282" s="59"/>
      <c r="Y1282" s="59"/>
      <c r="Z1282" s="59"/>
    </row>
    <row r="1283" ht="30.0" customHeight="1">
      <c r="A1283" s="68"/>
      <c r="B1283" s="68">
        <v>1297.0</v>
      </c>
      <c r="C1283" s="68"/>
      <c r="D1283" s="69" t="str">
        <f>CONCATENATE(PROPER('BIÑAN INFO'!$G1283),", ",PROPER('BIÑAN INFO'!$E1283)," ",PROPER('BIÑAN INFO'!$F1283),"."," (",UPPER('BIÑAN INFO'!$H1283),")")</f>
        <v>,  . ()</v>
      </c>
      <c r="E1283" s="70"/>
      <c r="F1283" s="69"/>
      <c r="G1283" s="70"/>
      <c r="H1283" s="69"/>
      <c r="I1283" s="71">
        <v>0.12</v>
      </c>
      <c r="J1283" s="72">
        <v>1000.0</v>
      </c>
      <c r="K1283" s="73"/>
      <c r="L1283" s="73"/>
      <c r="M1283" s="73"/>
      <c r="N1283" s="74"/>
      <c r="O1283" s="59"/>
      <c r="P1283" s="59"/>
      <c r="Q1283" s="59"/>
      <c r="R1283" s="59"/>
      <c r="S1283" s="59"/>
      <c r="T1283" s="59"/>
      <c r="U1283" s="59"/>
      <c r="V1283" s="59"/>
      <c r="W1283" s="59"/>
      <c r="X1283" s="59"/>
      <c r="Y1283" s="59"/>
      <c r="Z1283" s="59"/>
    </row>
    <row r="1284" ht="30.0" customHeight="1">
      <c r="A1284" s="68"/>
      <c r="B1284" s="68">
        <v>1298.0</v>
      </c>
      <c r="C1284" s="68"/>
      <c r="D1284" s="69" t="str">
        <f>CONCATENATE(PROPER('BIÑAN INFO'!$G1284),", ",PROPER('BIÑAN INFO'!$E1284)," ",PROPER('BIÑAN INFO'!$F1284),"."," (",UPPER('BIÑAN INFO'!$H1284),")")</f>
        <v>,  . ()</v>
      </c>
      <c r="E1284" s="70"/>
      <c r="F1284" s="69"/>
      <c r="G1284" s="70"/>
      <c r="H1284" s="69"/>
      <c r="I1284" s="71">
        <v>0.12</v>
      </c>
      <c r="J1284" s="72">
        <v>1000.0</v>
      </c>
      <c r="K1284" s="73"/>
      <c r="L1284" s="73"/>
      <c r="M1284" s="73"/>
      <c r="N1284" s="74"/>
      <c r="O1284" s="59"/>
      <c r="P1284" s="59"/>
      <c r="Q1284" s="59"/>
      <c r="R1284" s="59"/>
      <c r="S1284" s="59"/>
      <c r="T1284" s="59"/>
      <c r="U1284" s="59"/>
      <c r="V1284" s="59"/>
      <c r="W1284" s="59"/>
      <c r="X1284" s="59"/>
      <c r="Y1284" s="59"/>
      <c r="Z1284" s="59"/>
    </row>
    <row r="1285" ht="30.0" customHeight="1">
      <c r="A1285" s="68"/>
      <c r="B1285" s="68">
        <v>1299.0</v>
      </c>
      <c r="C1285" s="68"/>
      <c r="D1285" s="69" t="str">
        <f>CONCATENATE(PROPER('BIÑAN INFO'!$G1285),", ",PROPER('BIÑAN INFO'!$E1285)," ",PROPER('BIÑAN INFO'!$F1285),"."," (",UPPER('BIÑAN INFO'!$H1285),")")</f>
        <v>Villanueva, Gerardo . ()</v>
      </c>
      <c r="E1285" s="70" t="s">
        <v>672</v>
      </c>
      <c r="F1285" s="69"/>
      <c r="G1285" s="70" t="s">
        <v>454</v>
      </c>
      <c r="H1285" s="69"/>
      <c r="I1285" s="71">
        <v>0.05</v>
      </c>
      <c r="J1285" s="72">
        <v>1000.0</v>
      </c>
      <c r="K1285" s="73" t="s">
        <v>93</v>
      </c>
      <c r="L1285" s="73"/>
      <c r="M1285" s="73"/>
      <c r="N1285" s="74"/>
      <c r="O1285" s="59"/>
      <c r="P1285" s="59"/>
      <c r="Q1285" s="59"/>
      <c r="R1285" s="59"/>
      <c r="S1285" s="59"/>
      <c r="T1285" s="59"/>
      <c r="U1285" s="59"/>
      <c r="V1285" s="59"/>
      <c r="W1285" s="59"/>
      <c r="X1285" s="59"/>
      <c r="Y1285" s="59"/>
      <c r="Z1285" s="59"/>
    </row>
    <row r="1286" ht="30.0" customHeight="1">
      <c r="A1286" s="68"/>
      <c r="B1286" s="68">
        <v>1300.0</v>
      </c>
      <c r="C1286" s="68"/>
      <c r="D1286" s="69" t="str">
        <f>CONCATENATE(PROPER('BIÑAN INFO'!$G1286),", ",PROPER('BIÑAN INFO'!$E1286)," ",PROPER('BIÑAN INFO'!$F1286),"."," (",UPPER('BIÑAN INFO'!$H1286),")")</f>
        <v>Cartagenia, Roger Perlas . ()</v>
      </c>
      <c r="E1286" s="70" t="s">
        <v>673</v>
      </c>
      <c r="F1286" s="69"/>
      <c r="G1286" s="70" t="s">
        <v>674</v>
      </c>
      <c r="H1286" s="69"/>
      <c r="I1286" s="71">
        <v>0.12</v>
      </c>
      <c r="J1286" s="72">
        <v>1000.0</v>
      </c>
      <c r="K1286" s="73"/>
      <c r="L1286" s="73"/>
      <c r="M1286" s="73"/>
      <c r="N1286" s="74"/>
      <c r="O1286" s="59"/>
      <c r="P1286" s="59"/>
      <c r="Q1286" s="59"/>
      <c r="R1286" s="59"/>
      <c r="S1286" s="59"/>
      <c r="T1286" s="59"/>
      <c r="U1286" s="59"/>
      <c r="V1286" s="59"/>
      <c r="W1286" s="59"/>
      <c r="X1286" s="59"/>
      <c r="Y1286" s="59"/>
      <c r="Z1286" s="59"/>
    </row>
    <row r="1287" ht="30.0" customHeight="1">
      <c r="A1287" s="86"/>
      <c r="B1287" s="86">
        <v>1301.0</v>
      </c>
      <c r="C1287" s="86"/>
      <c r="D1287" s="87" t="str">
        <f>CONCATENATE(PROPER('BIÑAN INFO'!$G1287),", ",PROPER('BIÑAN INFO'!$E1287)," ",PROPER('BIÑAN INFO'!$F1287),"."," (",UPPER('BIÑAN INFO'!$H1287),")")</f>
        <v>Cruz, Willy . ()</v>
      </c>
      <c r="E1287" s="88" t="s">
        <v>675</v>
      </c>
      <c r="F1287" s="87"/>
      <c r="G1287" s="88" t="s">
        <v>676</v>
      </c>
      <c r="H1287" s="87"/>
      <c r="I1287" s="71">
        <v>0.05</v>
      </c>
      <c r="J1287" s="72">
        <v>1000.0</v>
      </c>
      <c r="K1287" s="89" t="s">
        <v>50</v>
      </c>
      <c r="L1287" s="89"/>
      <c r="M1287" s="89"/>
      <c r="N1287" s="90"/>
      <c r="O1287" s="59"/>
      <c r="P1287" s="59"/>
      <c r="Q1287" s="59"/>
      <c r="R1287" s="59"/>
      <c r="S1287" s="59"/>
      <c r="T1287" s="59"/>
      <c r="U1287" s="59"/>
      <c r="V1287" s="59"/>
      <c r="W1287" s="59"/>
      <c r="X1287" s="59"/>
      <c r="Y1287" s="59"/>
      <c r="Z1287" s="59"/>
    </row>
    <row r="1288" ht="30.0" customHeight="1">
      <c r="A1288" s="86"/>
      <c r="B1288" s="86">
        <v>1302.0</v>
      </c>
      <c r="C1288" s="86"/>
      <c r="D1288" s="87" t="str">
        <f>CONCATENATE(PROPER('BIÑAN INFO'!$G1288),", ",PROPER('BIÑAN INFO'!$E1288)," ",PROPER('BIÑAN INFO'!$F1288),"."," (",UPPER('BIÑAN INFO'!$H1288),")")</f>
        <v>,  . ()</v>
      </c>
      <c r="E1288" s="88"/>
      <c r="F1288" s="87"/>
      <c r="G1288" s="88"/>
      <c r="H1288" s="87"/>
      <c r="I1288" s="71">
        <v>0.12</v>
      </c>
      <c r="J1288" s="72">
        <v>1000.0</v>
      </c>
      <c r="K1288" s="89"/>
      <c r="L1288" s="89"/>
      <c r="M1288" s="89"/>
      <c r="N1288" s="90"/>
      <c r="O1288" s="59"/>
      <c r="P1288" s="59"/>
      <c r="Q1288" s="59"/>
      <c r="R1288" s="59"/>
      <c r="S1288" s="59"/>
      <c r="T1288" s="59"/>
      <c r="U1288" s="59"/>
      <c r="V1288" s="59"/>
      <c r="W1288" s="59"/>
      <c r="X1288" s="59"/>
      <c r="Y1288" s="59"/>
      <c r="Z1288" s="59"/>
    </row>
    <row r="1289" ht="30.0" customHeight="1">
      <c r="A1289" s="86"/>
      <c r="B1289" s="86">
        <v>1303.0</v>
      </c>
      <c r="C1289" s="86"/>
      <c r="D1289" s="87" t="str">
        <f>CONCATENATE(PROPER('BIÑAN INFO'!$G1289),", ",PROPER('BIÑAN INFO'!$E1289)," ",PROPER('BIÑAN INFO'!$F1289),"."," (",UPPER('BIÑAN INFO'!$H1289),")")</f>
        <v>Cabrera, Eva . ()</v>
      </c>
      <c r="E1289" s="88" t="s">
        <v>677</v>
      </c>
      <c r="F1289" s="87"/>
      <c r="G1289" s="88" t="s">
        <v>678</v>
      </c>
      <c r="H1289" s="87"/>
      <c r="I1289" s="71">
        <v>0.05</v>
      </c>
      <c r="J1289" s="72">
        <v>1000.0</v>
      </c>
      <c r="K1289" s="89"/>
      <c r="L1289" s="89"/>
      <c r="M1289" s="89"/>
      <c r="N1289" s="90"/>
      <c r="O1289" s="59"/>
      <c r="P1289" s="59"/>
      <c r="Q1289" s="59"/>
      <c r="R1289" s="59"/>
      <c r="S1289" s="59"/>
      <c r="T1289" s="59"/>
      <c r="U1289" s="59"/>
      <c r="V1289" s="59"/>
      <c r="W1289" s="59"/>
      <c r="X1289" s="59"/>
      <c r="Y1289" s="59"/>
      <c r="Z1289" s="59"/>
    </row>
    <row r="1290" ht="30.0" customHeight="1">
      <c r="A1290" s="86"/>
      <c r="B1290" s="86">
        <v>1304.0</v>
      </c>
      <c r="C1290" s="86"/>
      <c r="D1290" s="87" t="str">
        <f>CONCATENATE(PROPER('BIÑAN INFO'!$G1290),", ",PROPER('BIÑAN INFO'!$E1290)," ",PROPER('BIÑAN INFO'!$F1290),"."," (",UPPER('BIÑAN INFO'!$H1290),")")</f>
        <v>Galsanao, Mark Paul . ()</v>
      </c>
      <c r="E1290" s="88" t="s">
        <v>679</v>
      </c>
      <c r="F1290" s="87"/>
      <c r="G1290" s="88" t="s">
        <v>680</v>
      </c>
      <c r="H1290" s="87"/>
      <c r="I1290" s="71">
        <v>0.12</v>
      </c>
      <c r="J1290" s="72">
        <v>1000.0</v>
      </c>
      <c r="K1290" s="89"/>
      <c r="L1290" s="89"/>
      <c r="M1290" s="89"/>
      <c r="N1290" s="90"/>
      <c r="O1290" s="59"/>
      <c r="P1290" s="59"/>
      <c r="Q1290" s="59"/>
      <c r="R1290" s="59"/>
      <c r="S1290" s="59"/>
      <c r="T1290" s="59"/>
      <c r="U1290" s="59"/>
      <c r="V1290" s="59"/>
      <c r="W1290" s="59"/>
      <c r="X1290" s="59"/>
      <c r="Y1290" s="59"/>
      <c r="Z1290" s="59"/>
    </row>
    <row r="1291" ht="30.0" customHeight="1">
      <c r="A1291" s="86"/>
      <c r="B1291" s="86">
        <v>1305.0</v>
      </c>
      <c r="C1291" s="86"/>
      <c r="D1291" s="87" t="str">
        <f>CONCATENATE(PROPER('BIÑAN INFO'!$G1291),", ",PROPER('BIÑAN INFO'!$E1291)," ",PROPER('BIÑAN INFO'!$F1291),"."," (",UPPER('BIÑAN INFO'!$H1291),")")</f>
        <v>Indemne, Manuel . ()</v>
      </c>
      <c r="E1291" s="87" t="s">
        <v>507</v>
      </c>
      <c r="F1291" s="87"/>
      <c r="G1291" s="87" t="s">
        <v>548</v>
      </c>
      <c r="H1291" s="87"/>
      <c r="I1291" s="71">
        <v>0.12</v>
      </c>
      <c r="J1291" s="72">
        <v>1000.0</v>
      </c>
      <c r="K1291" s="89"/>
      <c r="L1291" s="89"/>
      <c r="M1291" s="89"/>
      <c r="N1291" s="90"/>
      <c r="O1291" s="59"/>
      <c r="P1291" s="59"/>
      <c r="Q1291" s="59"/>
      <c r="R1291" s="59"/>
      <c r="S1291" s="59"/>
      <c r="T1291" s="59"/>
      <c r="U1291" s="59"/>
      <c r="V1291" s="59"/>
      <c r="W1291" s="59"/>
      <c r="X1291" s="59"/>
      <c r="Y1291" s="59"/>
      <c r="Z1291" s="59"/>
    </row>
    <row r="1292" ht="30.0" customHeight="1">
      <c r="A1292" s="86"/>
      <c r="B1292" s="86">
        <v>1306.0</v>
      </c>
      <c r="C1292" s="86"/>
      <c r="D1292" s="87" t="str">
        <f>CONCATENATE(PROPER('BIÑAN INFO'!$G1292),", ",PROPER('BIÑAN INFO'!$E1292)," ",PROPER('BIÑAN INFO'!$F1292),"."," (",UPPER('BIÑAN INFO'!$H1292),")")</f>
        <v>Danus, Jocelyn . ()</v>
      </c>
      <c r="E1292" s="87" t="s">
        <v>290</v>
      </c>
      <c r="F1292" s="87"/>
      <c r="G1292" s="87" t="s">
        <v>681</v>
      </c>
      <c r="H1292" s="87"/>
      <c r="I1292" s="71">
        <v>0.12</v>
      </c>
      <c r="J1292" s="72">
        <v>1000.0</v>
      </c>
      <c r="K1292" s="89"/>
      <c r="L1292" s="89"/>
      <c r="M1292" s="89"/>
      <c r="N1292" s="90"/>
      <c r="O1292" s="59"/>
      <c r="P1292" s="59"/>
      <c r="Q1292" s="59"/>
      <c r="R1292" s="59"/>
      <c r="S1292" s="59"/>
      <c r="T1292" s="59"/>
      <c r="U1292" s="59"/>
      <c r="V1292" s="59"/>
      <c r="W1292" s="59"/>
      <c r="X1292" s="59"/>
      <c r="Y1292" s="59"/>
      <c r="Z1292" s="59"/>
    </row>
    <row r="1293" ht="30.0" customHeight="1">
      <c r="A1293" s="86"/>
      <c r="B1293" s="86">
        <v>1307.0</v>
      </c>
      <c r="C1293" s="86"/>
      <c r="D1293" s="87" t="str">
        <f>CONCATENATE(PROPER('BIÑAN INFO'!$G1293),", ",PROPER('BIÑAN INFO'!$E1293)," ",PROPER('BIÑAN INFO'!$F1293),"."," (",UPPER('BIÑAN INFO'!$H1293),")")</f>
        <v>De Lima, Nilo . ()</v>
      </c>
      <c r="E1293" s="87" t="s">
        <v>682</v>
      </c>
      <c r="F1293" s="87"/>
      <c r="G1293" s="87" t="s">
        <v>683</v>
      </c>
      <c r="H1293" s="87"/>
      <c r="I1293" s="71">
        <v>0.12</v>
      </c>
      <c r="J1293" s="72">
        <v>1000.0</v>
      </c>
      <c r="K1293" s="89"/>
      <c r="L1293" s="89"/>
      <c r="M1293" s="89"/>
      <c r="N1293" s="90"/>
      <c r="O1293" s="59"/>
      <c r="P1293" s="59"/>
      <c r="Q1293" s="59"/>
      <c r="R1293" s="59"/>
      <c r="S1293" s="59"/>
      <c r="T1293" s="59"/>
      <c r="U1293" s="59"/>
      <c r="V1293" s="59"/>
      <c r="W1293" s="59"/>
      <c r="X1293" s="59"/>
      <c r="Y1293" s="59"/>
      <c r="Z1293" s="59"/>
    </row>
    <row r="1294" ht="30.0" customHeight="1">
      <c r="A1294" s="86"/>
      <c r="B1294" s="86">
        <v>1308.0</v>
      </c>
      <c r="C1294" s="86"/>
      <c r="D1294" s="87" t="str">
        <f>CONCATENATE(PROPER('BIÑAN INFO'!$G1294),", ",PROPER('BIÑAN INFO'!$E1294)," ",PROPER('BIÑAN INFO'!$F1294),"."," (",UPPER('BIÑAN INFO'!$H1294),")")</f>
        <v>Baes, Paul . ()</v>
      </c>
      <c r="E1294" s="87" t="s">
        <v>207</v>
      </c>
      <c r="F1294" s="87"/>
      <c r="G1294" s="87" t="s">
        <v>208</v>
      </c>
      <c r="H1294" s="87"/>
      <c r="I1294" s="71">
        <v>0.05</v>
      </c>
      <c r="J1294" s="72">
        <v>1000.0</v>
      </c>
      <c r="K1294" s="89" t="s">
        <v>684</v>
      </c>
      <c r="L1294" s="89"/>
      <c r="M1294" s="89"/>
      <c r="N1294" s="90"/>
      <c r="O1294" s="59"/>
      <c r="P1294" s="59"/>
      <c r="Q1294" s="59"/>
      <c r="R1294" s="59"/>
      <c r="S1294" s="59"/>
      <c r="T1294" s="59"/>
      <c r="U1294" s="59"/>
      <c r="V1294" s="59"/>
      <c r="W1294" s="59"/>
      <c r="X1294" s="59"/>
      <c r="Y1294" s="59"/>
      <c r="Z1294" s="59"/>
    </row>
    <row r="1295" ht="30.0" customHeight="1">
      <c r="A1295" s="86"/>
      <c r="B1295" s="86">
        <v>1309.0</v>
      </c>
      <c r="C1295" s="86"/>
      <c r="D1295" s="87" t="str">
        <f>CONCATENATE(PROPER('BIÑAN INFO'!$G1295),", ",PROPER('BIÑAN INFO'!$E1295)," ",PROPER('BIÑAN INFO'!$F1295),"."," (",UPPER('BIÑAN INFO'!$H1295),")")</f>
        <v>Rosales, Marlon . ()</v>
      </c>
      <c r="E1295" s="87" t="s">
        <v>685</v>
      </c>
      <c r="F1295" s="87"/>
      <c r="G1295" s="87" t="s">
        <v>686</v>
      </c>
      <c r="H1295" s="87"/>
      <c r="I1295" s="71">
        <v>0.05</v>
      </c>
      <c r="J1295" s="72">
        <v>1000.0</v>
      </c>
      <c r="K1295" s="89" t="s">
        <v>50</v>
      </c>
      <c r="L1295" s="89" t="s">
        <v>480</v>
      </c>
      <c r="M1295" s="89">
        <v>2022.0</v>
      </c>
      <c r="N1295" s="90"/>
      <c r="O1295" s="59"/>
      <c r="P1295" s="59"/>
      <c r="Q1295" s="59"/>
      <c r="R1295" s="59"/>
      <c r="S1295" s="59"/>
      <c r="T1295" s="59"/>
      <c r="U1295" s="59"/>
      <c r="V1295" s="59"/>
      <c r="W1295" s="59"/>
      <c r="X1295" s="59"/>
      <c r="Y1295" s="59"/>
      <c r="Z1295" s="59"/>
    </row>
    <row r="1296" ht="30.0" customHeight="1">
      <c r="A1296" s="86"/>
      <c r="B1296" s="86">
        <v>1310.0</v>
      </c>
      <c r="C1296" s="86"/>
      <c r="D1296" s="87" t="str">
        <f>CONCATENATE(PROPER('BIÑAN INFO'!$G1296),", ",PROPER('BIÑAN INFO'!$E1296)," ",PROPER('BIÑAN INFO'!$F1296),"."," (",UPPER('BIÑAN INFO'!$H1296),")")</f>
        <v>Ecalme, Ariel . ()</v>
      </c>
      <c r="E1296" s="87" t="s">
        <v>237</v>
      </c>
      <c r="F1296" s="87"/>
      <c r="G1296" s="87" t="s">
        <v>687</v>
      </c>
      <c r="H1296" s="87"/>
      <c r="I1296" s="71">
        <v>0.12</v>
      </c>
      <c r="J1296" s="72">
        <v>1000.0</v>
      </c>
      <c r="K1296" s="89"/>
      <c r="L1296" s="89"/>
      <c r="M1296" s="89"/>
      <c r="N1296" s="90"/>
      <c r="O1296" s="59"/>
      <c r="P1296" s="59"/>
      <c r="Q1296" s="59"/>
      <c r="R1296" s="59"/>
      <c r="S1296" s="59"/>
      <c r="T1296" s="59"/>
      <c r="U1296" s="59"/>
      <c r="V1296" s="59"/>
      <c r="W1296" s="59"/>
      <c r="X1296" s="59"/>
      <c r="Y1296" s="59"/>
      <c r="Z1296" s="59"/>
    </row>
    <row r="1297" ht="30.0" customHeight="1">
      <c r="A1297" s="86"/>
      <c r="B1297" s="86">
        <v>1311.0</v>
      </c>
      <c r="C1297" s="86"/>
      <c r="D1297" s="87" t="str">
        <f>CONCATENATE(PROPER('BIÑAN INFO'!$G1297),", ",PROPER('BIÑAN INFO'!$E1297)," ",PROPER('BIÑAN INFO'!$F1297),"."," (",UPPER('BIÑAN INFO'!$H1297),")")</f>
        <v>,  . ()</v>
      </c>
      <c r="E1297" s="87"/>
      <c r="F1297" s="87"/>
      <c r="G1297" s="87"/>
      <c r="H1297" s="87"/>
      <c r="I1297" s="71">
        <v>0.05</v>
      </c>
      <c r="J1297" s="72">
        <v>1000.0</v>
      </c>
      <c r="K1297" s="89" t="s">
        <v>688</v>
      </c>
      <c r="L1297" s="89"/>
      <c r="M1297" s="89"/>
      <c r="N1297" s="90"/>
      <c r="O1297" s="59"/>
      <c r="P1297" s="59"/>
      <c r="Q1297" s="59"/>
      <c r="R1297" s="59"/>
      <c r="S1297" s="59"/>
      <c r="T1297" s="59"/>
      <c r="U1297" s="59"/>
      <c r="V1297" s="59"/>
      <c r="W1297" s="59"/>
      <c r="X1297" s="59"/>
      <c r="Y1297" s="59"/>
      <c r="Z1297" s="59"/>
    </row>
    <row r="1298" ht="30.0" customHeight="1">
      <c r="A1298" s="86"/>
      <c r="B1298" s="86">
        <v>1312.0</v>
      </c>
      <c r="C1298" s="86"/>
      <c r="D1298" s="87" t="str">
        <f>CONCATENATE(PROPER('BIÑAN INFO'!$G1298),", ",PROPER('BIÑAN INFO'!$E1298)," ",PROPER('BIÑAN INFO'!$F1298),"."," (",UPPER('BIÑAN INFO'!$H1298),")")</f>
        <v>Dologan, Dimple E. ()</v>
      </c>
      <c r="E1298" s="87" t="s">
        <v>689</v>
      </c>
      <c r="F1298" s="87" t="s">
        <v>299</v>
      </c>
      <c r="G1298" s="87" t="s">
        <v>690</v>
      </c>
      <c r="H1298" s="87"/>
      <c r="I1298" s="71">
        <v>0.05</v>
      </c>
      <c r="J1298" s="72">
        <v>1000.0</v>
      </c>
      <c r="K1298" s="89" t="s">
        <v>50</v>
      </c>
      <c r="L1298" s="89" t="s">
        <v>106</v>
      </c>
      <c r="M1298" s="89"/>
      <c r="N1298" s="90"/>
      <c r="O1298" s="59"/>
      <c r="P1298" s="59"/>
      <c r="Q1298" s="59"/>
      <c r="R1298" s="59"/>
      <c r="S1298" s="59"/>
      <c r="T1298" s="59"/>
      <c r="U1298" s="59"/>
      <c r="V1298" s="59"/>
      <c r="W1298" s="59"/>
      <c r="X1298" s="59"/>
      <c r="Y1298" s="59"/>
      <c r="Z1298" s="59"/>
    </row>
    <row r="1299" ht="30.0" customHeight="1">
      <c r="A1299" s="86"/>
      <c r="B1299" s="86">
        <v>1313.0</v>
      </c>
      <c r="C1299" s="86"/>
      <c r="D1299" s="87" t="str">
        <f>CONCATENATE(PROPER('BIÑAN INFO'!$G1299),", ",PROPER('BIÑAN INFO'!$E1299)," ",PROPER('BIÑAN INFO'!$F1299),"."," (",UPPER('BIÑAN INFO'!$H1299),")")</f>
        <v>,  . ()</v>
      </c>
      <c r="E1299" s="87"/>
      <c r="F1299" s="87"/>
      <c r="G1299" s="87"/>
      <c r="H1299" s="87"/>
      <c r="I1299" s="71">
        <v>0.12</v>
      </c>
      <c r="J1299" s="72">
        <v>1000.0</v>
      </c>
      <c r="K1299" s="89"/>
      <c r="L1299" s="89"/>
      <c r="M1299" s="89"/>
      <c r="N1299" s="90"/>
      <c r="O1299" s="59"/>
      <c r="P1299" s="59"/>
      <c r="Q1299" s="59"/>
      <c r="R1299" s="59"/>
      <c r="S1299" s="59"/>
      <c r="T1299" s="59"/>
      <c r="U1299" s="59"/>
      <c r="V1299" s="59"/>
      <c r="W1299" s="59"/>
      <c r="X1299" s="59"/>
      <c r="Y1299" s="59"/>
      <c r="Z1299" s="59"/>
    </row>
    <row r="1300" ht="30.0" customHeight="1">
      <c r="A1300" s="86"/>
      <c r="B1300" s="86">
        <v>1314.0</v>
      </c>
      <c r="C1300" s="86"/>
      <c r="D1300" s="87" t="str">
        <f>CONCATENATE(PROPER('BIÑAN INFO'!$G1300),", ",PROPER('BIÑAN INFO'!$E1300)," ",PROPER('BIÑAN INFO'!$F1300),"."," (",UPPER('BIÑAN INFO'!$H1300),")")</f>
        <v>,  . ()</v>
      </c>
      <c r="E1300" s="87"/>
      <c r="F1300" s="87"/>
      <c r="G1300" s="87"/>
      <c r="H1300" s="87"/>
      <c r="I1300" s="71">
        <v>0.12</v>
      </c>
      <c r="J1300" s="72">
        <v>1000.0</v>
      </c>
      <c r="K1300" s="89"/>
      <c r="L1300" s="89"/>
      <c r="M1300" s="89"/>
      <c r="N1300" s="90"/>
      <c r="O1300" s="59"/>
      <c r="P1300" s="59"/>
      <c r="Q1300" s="59"/>
      <c r="R1300" s="59"/>
      <c r="S1300" s="59"/>
      <c r="T1300" s="59"/>
      <c r="U1300" s="59"/>
      <c r="V1300" s="59"/>
      <c r="W1300" s="59"/>
      <c r="X1300" s="59"/>
      <c r="Y1300" s="59"/>
      <c r="Z1300" s="59"/>
    </row>
    <row r="1301" ht="30.0" customHeight="1">
      <c r="A1301" s="86"/>
      <c r="B1301" s="86">
        <v>1315.0</v>
      </c>
      <c r="C1301" s="86"/>
      <c r="D1301" s="87" t="str">
        <f>CONCATENATE(PROPER('BIÑAN INFO'!$G1301),", ",PROPER('BIÑAN INFO'!$E1301)," ",PROPER('BIÑAN INFO'!$F1301),"."," (",UPPER('BIÑAN INFO'!$H1301),")")</f>
        <v>,  . ()</v>
      </c>
      <c r="E1301" s="87"/>
      <c r="F1301" s="87"/>
      <c r="G1301" s="87"/>
      <c r="H1301" s="87"/>
      <c r="I1301" s="71">
        <v>0.05</v>
      </c>
      <c r="J1301" s="72">
        <v>1000.0</v>
      </c>
      <c r="K1301" s="89"/>
      <c r="L1301" s="89" t="s">
        <v>106</v>
      </c>
      <c r="M1301" s="89"/>
      <c r="N1301" s="90" t="s">
        <v>691</v>
      </c>
      <c r="O1301" s="59"/>
      <c r="P1301" s="59"/>
      <c r="Q1301" s="59"/>
      <c r="R1301" s="59"/>
      <c r="S1301" s="59"/>
      <c r="T1301" s="59"/>
      <c r="U1301" s="59"/>
      <c r="V1301" s="59"/>
      <c r="W1301" s="59"/>
      <c r="X1301" s="59"/>
      <c r="Y1301" s="59"/>
      <c r="Z1301" s="59"/>
    </row>
    <row r="1302" ht="30.0" customHeight="1">
      <c r="A1302" s="86"/>
      <c r="B1302" s="86">
        <v>1316.0</v>
      </c>
      <c r="C1302" s="86"/>
      <c r="D1302" s="87" t="str">
        <f>CONCATENATE(PROPER('BIÑAN INFO'!$G1302),", ",PROPER('BIÑAN INFO'!$E1302)," ",PROPER('BIÑAN INFO'!$F1302),"."," (",UPPER('BIÑAN INFO'!$H1302),")")</f>
        <v>Rosal Jr., Cesar . ()</v>
      </c>
      <c r="E1302" s="87" t="s">
        <v>692</v>
      </c>
      <c r="F1302" s="87"/>
      <c r="G1302" s="87" t="s">
        <v>693</v>
      </c>
      <c r="H1302" s="87"/>
      <c r="I1302" s="71">
        <v>0.12</v>
      </c>
      <c r="J1302" s="72">
        <v>1000.0</v>
      </c>
      <c r="K1302" s="89"/>
      <c r="L1302" s="89"/>
      <c r="M1302" s="89"/>
      <c r="N1302" s="90"/>
      <c r="O1302" s="59"/>
      <c r="P1302" s="59"/>
      <c r="Q1302" s="59"/>
      <c r="R1302" s="59"/>
      <c r="S1302" s="59"/>
      <c r="T1302" s="59"/>
      <c r="U1302" s="59"/>
      <c r="V1302" s="59"/>
      <c r="W1302" s="59"/>
      <c r="X1302" s="59"/>
      <c r="Y1302" s="59"/>
      <c r="Z1302" s="59"/>
    </row>
    <row r="1303" ht="30.0" customHeight="1">
      <c r="A1303" s="86"/>
      <c r="B1303" s="86">
        <v>1317.0</v>
      </c>
      <c r="C1303" s="86"/>
      <c r="D1303" s="87" t="str">
        <f>CONCATENATE(PROPER('BIÑAN INFO'!$G1303),", ",PROPER('BIÑAN INFO'!$E1303)," ",PROPER('BIÑAN INFO'!$F1303),"."," (",UPPER('BIÑAN INFO'!$H1303),")")</f>
        <v>Estoesta, Edward . ()</v>
      </c>
      <c r="E1303" s="87" t="s">
        <v>36</v>
      </c>
      <c r="F1303" s="87"/>
      <c r="G1303" s="87" t="s">
        <v>694</v>
      </c>
      <c r="H1303" s="87"/>
      <c r="I1303" s="71">
        <v>0.05</v>
      </c>
      <c r="J1303" s="72">
        <v>1000.0</v>
      </c>
      <c r="K1303" s="89" t="s">
        <v>50</v>
      </c>
      <c r="L1303" s="89" t="s">
        <v>695</v>
      </c>
      <c r="M1303" s="89"/>
      <c r="N1303" s="90"/>
      <c r="O1303" s="59"/>
      <c r="P1303" s="59"/>
      <c r="Q1303" s="59"/>
      <c r="R1303" s="59"/>
      <c r="S1303" s="59"/>
      <c r="T1303" s="59"/>
      <c r="U1303" s="59"/>
      <c r="V1303" s="59"/>
      <c r="W1303" s="59"/>
      <c r="X1303" s="59"/>
      <c r="Y1303" s="59"/>
      <c r="Z1303" s="59"/>
    </row>
    <row r="1304" ht="30.0" customHeight="1">
      <c r="A1304" s="86"/>
      <c r="B1304" s="86">
        <v>1318.0</v>
      </c>
      <c r="C1304" s="86"/>
      <c r="D1304" s="87" t="str">
        <f>CONCATENATE(PROPER('BIÑAN INFO'!$G1304),", ",PROPER('BIÑAN INFO'!$E1304)," ",PROPER('BIÑAN INFO'!$F1304),"."," (",UPPER('BIÑAN INFO'!$H1304),")")</f>
        <v>,  . ()</v>
      </c>
      <c r="E1304" s="87"/>
      <c r="F1304" s="87"/>
      <c r="G1304" s="87"/>
      <c r="H1304" s="87"/>
      <c r="I1304" s="71">
        <v>0.12</v>
      </c>
      <c r="J1304" s="72">
        <v>1000.0</v>
      </c>
      <c r="K1304" s="89"/>
      <c r="L1304" s="89"/>
      <c r="M1304" s="89"/>
      <c r="N1304" s="90"/>
      <c r="O1304" s="59"/>
      <c r="P1304" s="59"/>
      <c r="Q1304" s="59"/>
      <c r="R1304" s="59"/>
      <c r="S1304" s="59"/>
      <c r="T1304" s="59"/>
      <c r="U1304" s="59"/>
      <c r="V1304" s="59"/>
      <c r="W1304" s="59"/>
      <c r="X1304" s="59"/>
      <c r="Y1304" s="59"/>
      <c r="Z1304" s="59"/>
    </row>
    <row r="1305" ht="30.0" customHeight="1">
      <c r="A1305" s="86"/>
      <c r="B1305" s="86">
        <v>1319.0</v>
      </c>
      <c r="C1305" s="86"/>
      <c r="D1305" s="87" t="str">
        <f>CONCATENATE(PROPER('BIÑAN INFO'!$G1305),", ",PROPER('BIÑAN INFO'!$E1305)," ",PROPER('BIÑAN INFO'!$F1305),"."," (",UPPER('BIÑAN INFO'!$H1305),")")</f>
        <v>Dimaano, Zarina . ()</v>
      </c>
      <c r="E1305" s="87" t="s">
        <v>696</v>
      </c>
      <c r="F1305" s="87"/>
      <c r="G1305" s="87" t="s">
        <v>697</v>
      </c>
      <c r="H1305" s="87"/>
      <c r="I1305" s="71">
        <v>0.12</v>
      </c>
      <c r="J1305" s="72">
        <v>5000.0</v>
      </c>
      <c r="K1305" s="89"/>
      <c r="L1305" s="89"/>
      <c r="M1305" s="89"/>
      <c r="N1305" s="90"/>
      <c r="O1305" s="59"/>
      <c r="P1305" s="59"/>
      <c r="Q1305" s="59"/>
      <c r="R1305" s="59"/>
      <c r="S1305" s="59"/>
      <c r="T1305" s="59"/>
      <c r="U1305" s="59"/>
      <c r="V1305" s="59"/>
      <c r="W1305" s="59"/>
      <c r="X1305" s="59"/>
      <c r="Y1305" s="59"/>
      <c r="Z1305" s="59"/>
    </row>
    <row r="1306" ht="30.0" customHeight="1">
      <c r="A1306" s="86"/>
      <c r="B1306" s="86">
        <v>1320.0</v>
      </c>
      <c r="C1306" s="86"/>
      <c r="D1306" s="87" t="str">
        <f>CONCATENATE(PROPER('BIÑAN INFO'!$G1306),", ",PROPER('BIÑAN INFO'!$E1306)," ",PROPER('BIÑAN INFO'!$F1306),"."," (",UPPER('BIÑAN INFO'!$H1306),")")</f>
        <v>,  . ()</v>
      </c>
      <c r="E1306" s="87"/>
      <c r="F1306" s="87"/>
      <c r="G1306" s="87"/>
      <c r="H1306" s="87"/>
      <c r="I1306" s="71">
        <v>0.12</v>
      </c>
      <c r="J1306" s="72">
        <v>1000.0</v>
      </c>
      <c r="K1306" s="89"/>
      <c r="L1306" s="89"/>
      <c r="M1306" s="89"/>
      <c r="N1306" s="90"/>
      <c r="O1306" s="59"/>
      <c r="P1306" s="59"/>
      <c r="Q1306" s="59"/>
      <c r="R1306" s="59"/>
      <c r="S1306" s="59"/>
      <c r="T1306" s="59"/>
      <c r="U1306" s="59"/>
      <c r="V1306" s="59"/>
      <c r="W1306" s="59"/>
      <c r="X1306" s="59"/>
      <c r="Y1306" s="59"/>
      <c r="Z1306" s="59"/>
    </row>
    <row r="1307" ht="30.0" customHeight="1">
      <c r="A1307" s="86"/>
      <c r="B1307" s="86">
        <v>1321.0</v>
      </c>
      <c r="C1307" s="86"/>
      <c r="D1307" s="87" t="str">
        <f>CONCATENATE(PROPER('BIÑAN INFO'!$G1307),", ",PROPER('BIÑAN INFO'!$E1307)," ",PROPER('BIÑAN INFO'!$F1307),"."," (",UPPER('BIÑAN INFO'!$H1307),")")</f>
        <v>Indenne, Sharie Beth . ()</v>
      </c>
      <c r="E1307" s="87" t="s">
        <v>698</v>
      </c>
      <c r="F1307" s="87"/>
      <c r="G1307" s="87" t="s">
        <v>699</v>
      </c>
      <c r="H1307" s="87"/>
      <c r="I1307" s="71">
        <v>0.05</v>
      </c>
      <c r="J1307" s="72">
        <v>1000.0</v>
      </c>
      <c r="K1307" s="89" t="s">
        <v>50</v>
      </c>
      <c r="L1307" s="89" t="s">
        <v>700</v>
      </c>
      <c r="M1307" s="89"/>
      <c r="N1307" s="90"/>
      <c r="O1307" s="59"/>
      <c r="P1307" s="59"/>
      <c r="Q1307" s="59"/>
      <c r="R1307" s="59"/>
      <c r="S1307" s="59"/>
      <c r="T1307" s="59"/>
      <c r="U1307" s="59"/>
      <c r="V1307" s="59"/>
      <c r="W1307" s="59"/>
      <c r="X1307" s="59"/>
      <c r="Y1307" s="59"/>
      <c r="Z1307" s="59"/>
    </row>
    <row r="1308" ht="30.0" customHeight="1">
      <c r="A1308" s="86"/>
      <c r="B1308" s="86">
        <v>1322.0</v>
      </c>
      <c r="C1308" s="86"/>
      <c r="D1308" s="87" t="str">
        <f>CONCATENATE(PROPER('BIÑAN INFO'!$G1308),", ",PROPER('BIÑAN INFO'!$E1308)," ",PROPER('BIÑAN INFO'!$F1308),"."," (",UPPER('BIÑAN INFO'!$H1308),")")</f>
        <v>,  . ()</v>
      </c>
      <c r="E1308" s="87"/>
      <c r="F1308" s="87"/>
      <c r="G1308" s="87"/>
      <c r="H1308" s="87"/>
      <c r="I1308" s="71">
        <v>0.12</v>
      </c>
      <c r="J1308" s="72">
        <v>1000.0</v>
      </c>
      <c r="K1308" s="89"/>
      <c r="L1308" s="89"/>
      <c r="M1308" s="89"/>
      <c r="N1308" s="90"/>
      <c r="O1308" s="59"/>
      <c r="P1308" s="59"/>
      <c r="Q1308" s="59"/>
      <c r="R1308" s="59"/>
      <c r="S1308" s="59"/>
      <c r="T1308" s="59"/>
      <c r="U1308" s="59"/>
      <c r="V1308" s="59"/>
      <c r="W1308" s="59"/>
      <c r="X1308" s="59"/>
      <c r="Y1308" s="59"/>
      <c r="Z1308" s="59"/>
    </row>
    <row r="1309" ht="30.0" customHeight="1">
      <c r="A1309" s="86"/>
      <c r="B1309" s="86">
        <v>1323.0</v>
      </c>
      <c r="C1309" s="86"/>
      <c r="D1309" s="87" t="str">
        <f>CONCATENATE(PROPER('BIÑAN INFO'!$G1309),", ",PROPER('BIÑAN INFO'!$E1309)," ",PROPER('BIÑAN INFO'!$F1309),"."," (",UPPER('BIÑAN INFO'!$H1309),")")</f>
        <v>,  . ()</v>
      </c>
      <c r="E1309" s="87"/>
      <c r="F1309" s="87"/>
      <c r="G1309" s="87"/>
      <c r="H1309" s="87"/>
      <c r="I1309" s="71">
        <v>0.05</v>
      </c>
      <c r="J1309" s="72">
        <v>1000.0</v>
      </c>
      <c r="K1309" s="89" t="s">
        <v>50</v>
      </c>
      <c r="L1309" s="89" t="s">
        <v>106</v>
      </c>
      <c r="M1309" s="89"/>
      <c r="N1309" s="90"/>
      <c r="O1309" s="59"/>
      <c r="P1309" s="59"/>
      <c r="Q1309" s="59"/>
      <c r="R1309" s="59"/>
      <c r="S1309" s="59"/>
      <c r="T1309" s="59"/>
      <c r="U1309" s="59"/>
      <c r="V1309" s="59"/>
      <c r="W1309" s="59"/>
      <c r="X1309" s="59"/>
      <c r="Y1309" s="59"/>
      <c r="Z1309" s="59"/>
    </row>
    <row r="1310" ht="30.0" customHeight="1">
      <c r="A1310" s="86"/>
      <c r="B1310" s="86">
        <v>1324.0</v>
      </c>
      <c r="C1310" s="86"/>
      <c r="D1310" s="87" t="str">
        <f>CONCATENATE(PROPER('BIÑAN INFO'!$G1310),", ",PROPER('BIÑAN INFO'!$E1310)," ",PROPER('BIÑAN INFO'!$F1310),"."," (",UPPER('BIÑAN INFO'!$H1310),")")</f>
        <v>Daquilos, Arminda V. ()</v>
      </c>
      <c r="E1310" s="87" t="s">
        <v>701</v>
      </c>
      <c r="F1310" s="87" t="s">
        <v>620</v>
      </c>
      <c r="G1310" s="87" t="s">
        <v>702</v>
      </c>
      <c r="H1310" s="87"/>
      <c r="I1310" s="71">
        <v>0.12</v>
      </c>
      <c r="J1310" s="72">
        <v>1000.0</v>
      </c>
      <c r="K1310" s="89"/>
      <c r="L1310" s="89"/>
      <c r="M1310" s="89"/>
      <c r="N1310" s="90"/>
      <c r="O1310" s="59"/>
      <c r="P1310" s="59"/>
      <c r="Q1310" s="59"/>
      <c r="R1310" s="59"/>
      <c r="S1310" s="59"/>
      <c r="T1310" s="59"/>
      <c r="U1310" s="59"/>
      <c r="V1310" s="59"/>
      <c r="W1310" s="59"/>
      <c r="X1310" s="59"/>
      <c r="Y1310" s="59"/>
      <c r="Z1310" s="59"/>
    </row>
    <row r="1311" ht="30.0" customHeight="1">
      <c r="A1311" s="86"/>
      <c r="B1311" s="86">
        <v>1325.0</v>
      </c>
      <c r="C1311" s="86"/>
      <c r="D1311" s="87" t="str">
        <f>CONCATENATE(PROPER('BIÑAN INFO'!$G1311),", ",PROPER('BIÑAN INFO'!$E1311)," ",PROPER('BIÑAN INFO'!$F1311),"."," (",UPPER('BIÑAN INFO'!$H1311),")")</f>
        <v>Carpio, Ronnie R. ()</v>
      </c>
      <c r="E1311" s="87" t="s">
        <v>249</v>
      </c>
      <c r="F1311" s="87" t="s">
        <v>260</v>
      </c>
      <c r="G1311" s="87" t="s">
        <v>703</v>
      </c>
      <c r="H1311" s="87"/>
      <c r="I1311" s="71">
        <v>0.12</v>
      </c>
      <c r="J1311" s="72">
        <v>1000.0</v>
      </c>
      <c r="K1311" s="89"/>
      <c r="L1311" s="89"/>
      <c r="M1311" s="89"/>
      <c r="N1311" s="90"/>
      <c r="O1311" s="59"/>
      <c r="P1311" s="59"/>
      <c r="Q1311" s="59"/>
      <c r="R1311" s="59"/>
      <c r="S1311" s="59"/>
      <c r="T1311" s="59"/>
      <c r="U1311" s="59"/>
      <c r="V1311" s="59"/>
      <c r="W1311" s="59"/>
      <c r="X1311" s="59"/>
      <c r="Y1311" s="59"/>
      <c r="Z1311" s="59"/>
    </row>
    <row r="1312" ht="30.0" customHeight="1">
      <c r="A1312" s="86"/>
      <c r="B1312" s="86">
        <v>1326.0</v>
      </c>
      <c r="C1312" s="86"/>
      <c r="D1312" s="87" t="str">
        <f>CONCATENATE(PROPER('BIÑAN INFO'!$G1312),", ",PROPER('BIÑAN INFO'!$E1312)," ",PROPER('BIÑAN INFO'!$F1312),"."," (",UPPER('BIÑAN INFO'!$H1312),")")</f>
        <v>Obispo, Nino V. ()</v>
      </c>
      <c r="E1312" s="87" t="s">
        <v>704</v>
      </c>
      <c r="F1312" s="87" t="s">
        <v>620</v>
      </c>
      <c r="G1312" s="87" t="s">
        <v>705</v>
      </c>
      <c r="H1312" s="87"/>
      <c r="I1312" s="71">
        <v>0.05</v>
      </c>
      <c r="J1312" s="72">
        <v>1000.0</v>
      </c>
      <c r="K1312" s="89" t="s">
        <v>50</v>
      </c>
      <c r="L1312" s="89" t="s">
        <v>81</v>
      </c>
      <c r="M1312" s="89">
        <v>2022.0</v>
      </c>
      <c r="N1312" s="90"/>
      <c r="O1312" s="59"/>
      <c r="P1312" s="59"/>
      <c r="Q1312" s="59"/>
      <c r="R1312" s="59"/>
      <c r="S1312" s="59"/>
      <c r="T1312" s="59"/>
      <c r="U1312" s="59"/>
      <c r="V1312" s="59"/>
      <c r="W1312" s="59"/>
      <c r="X1312" s="59"/>
      <c r="Y1312" s="59"/>
      <c r="Z1312" s="59"/>
    </row>
    <row r="1313" ht="30.0" customHeight="1">
      <c r="A1313" s="86"/>
      <c r="B1313" s="86">
        <v>1327.0</v>
      </c>
      <c r="C1313" s="86"/>
      <c r="D1313" s="87" t="str">
        <f>CONCATENATE(PROPER('BIÑAN INFO'!$G1313),", ",PROPER('BIÑAN INFO'!$E1313)," ",PROPER('BIÑAN INFO'!$F1313),"."," (",UPPER('BIÑAN INFO'!$H1313),")")</f>
        <v>,  . ()</v>
      </c>
      <c r="E1313" s="87"/>
      <c r="F1313" s="87"/>
      <c r="G1313" s="87"/>
      <c r="H1313" s="87"/>
      <c r="I1313" s="71">
        <v>0.12</v>
      </c>
      <c r="J1313" s="72">
        <v>1000.0</v>
      </c>
      <c r="K1313" s="89"/>
      <c r="L1313" s="89"/>
      <c r="M1313" s="89"/>
      <c r="N1313" s="90"/>
      <c r="O1313" s="59"/>
      <c r="P1313" s="59"/>
      <c r="Q1313" s="59"/>
      <c r="R1313" s="59"/>
      <c r="S1313" s="59"/>
      <c r="T1313" s="59"/>
      <c r="U1313" s="59"/>
      <c r="V1313" s="59"/>
      <c r="W1313" s="59"/>
      <c r="X1313" s="59"/>
      <c r="Y1313" s="59"/>
      <c r="Z1313" s="59"/>
    </row>
    <row r="1314" ht="30.0" customHeight="1">
      <c r="A1314" s="86"/>
      <c r="B1314" s="86">
        <v>1328.0</v>
      </c>
      <c r="C1314" s="86"/>
      <c r="D1314" s="87" t="str">
        <f>CONCATENATE(PROPER('BIÑAN INFO'!$G1314),", ",PROPER('BIÑAN INFO'!$E1314)," ",PROPER('BIÑAN INFO'!$F1314),"."," (",UPPER('BIÑAN INFO'!$H1314),")")</f>
        <v>Dela Cruz, Aija . ()</v>
      </c>
      <c r="E1314" s="87" t="s">
        <v>706</v>
      </c>
      <c r="F1314" s="87"/>
      <c r="G1314" s="87" t="s">
        <v>636</v>
      </c>
      <c r="H1314" s="87"/>
      <c r="I1314" s="71">
        <v>0.12</v>
      </c>
      <c r="J1314" s="72">
        <v>1000.0</v>
      </c>
      <c r="K1314" s="89"/>
      <c r="L1314" s="89"/>
      <c r="M1314" s="89"/>
      <c r="N1314" s="90"/>
      <c r="O1314" s="59"/>
      <c r="P1314" s="59"/>
      <c r="Q1314" s="59"/>
      <c r="R1314" s="59"/>
      <c r="S1314" s="59"/>
      <c r="T1314" s="59"/>
      <c r="U1314" s="59"/>
      <c r="V1314" s="59"/>
      <c r="W1314" s="59"/>
      <c r="X1314" s="59"/>
      <c r="Y1314" s="59"/>
      <c r="Z1314" s="59"/>
    </row>
    <row r="1315" ht="30.0" customHeight="1">
      <c r="A1315" s="86"/>
      <c r="B1315" s="86">
        <v>1329.0</v>
      </c>
      <c r="C1315" s="86"/>
      <c r="D1315" s="87" t="str">
        <f>CONCATENATE(PROPER('BIÑAN INFO'!$G1315),", ",PROPER('BIÑAN INFO'!$E1315)," ",PROPER('BIÑAN INFO'!$F1315),"."," (",UPPER('BIÑAN INFO'!$H1315),")")</f>
        <v>Mandap, Relyn . ()</v>
      </c>
      <c r="E1315" s="87" t="s">
        <v>707</v>
      </c>
      <c r="F1315" s="87"/>
      <c r="G1315" s="87" t="s">
        <v>708</v>
      </c>
      <c r="H1315" s="87"/>
      <c r="I1315" s="71">
        <v>0.12</v>
      </c>
      <c r="J1315" s="72">
        <v>1000.0</v>
      </c>
      <c r="K1315" s="89"/>
      <c r="L1315" s="89"/>
      <c r="M1315" s="89"/>
      <c r="N1315" s="90"/>
      <c r="O1315" s="59"/>
      <c r="P1315" s="59"/>
      <c r="Q1315" s="59"/>
      <c r="R1315" s="59"/>
      <c r="S1315" s="59"/>
      <c r="T1315" s="59"/>
      <c r="U1315" s="59"/>
      <c r="V1315" s="59"/>
      <c r="W1315" s="59"/>
      <c r="X1315" s="59"/>
      <c r="Y1315" s="59"/>
      <c r="Z1315" s="59"/>
    </row>
    <row r="1316" ht="30.0" customHeight="1">
      <c r="A1316" s="86"/>
      <c r="B1316" s="86">
        <v>1330.0</v>
      </c>
      <c r="C1316" s="86"/>
      <c r="D1316" s="87" t="str">
        <f>CONCATENATE(PROPER('BIÑAN INFO'!$G1316),", ",PROPER('BIÑAN INFO'!$E1316)," ",PROPER('BIÑAN INFO'!$F1316),"."," (",UPPER('BIÑAN INFO'!$H1316),")")</f>
        <v>Obispo, Dindo . ()</v>
      </c>
      <c r="E1316" s="87" t="s">
        <v>709</v>
      </c>
      <c r="F1316" s="87"/>
      <c r="G1316" s="87" t="s">
        <v>705</v>
      </c>
      <c r="H1316" s="87"/>
      <c r="I1316" s="71">
        <v>0.05</v>
      </c>
      <c r="J1316" s="72">
        <v>1000.0</v>
      </c>
      <c r="K1316" s="89" t="s">
        <v>50</v>
      </c>
      <c r="L1316" s="89" t="s">
        <v>81</v>
      </c>
      <c r="M1316" s="89">
        <v>2022.0</v>
      </c>
      <c r="N1316" s="90"/>
      <c r="O1316" s="59"/>
      <c r="P1316" s="59"/>
      <c r="Q1316" s="59"/>
      <c r="R1316" s="59"/>
      <c r="S1316" s="59"/>
      <c r="T1316" s="59"/>
      <c r="U1316" s="59"/>
      <c r="V1316" s="59"/>
      <c r="W1316" s="59"/>
      <c r="X1316" s="59"/>
      <c r="Y1316" s="59"/>
      <c r="Z1316" s="59"/>
    </row>
    <row r="1317" ht="30.0" customHeight="1">
      <c r="A1317" s="86"/>
      <c r="B1317" s="86">
        <v>1331.0</v>
      </c>
      <c r="C1317" s="86"/>
      <c r="D1317" s="87" t="str">
        <f>CONCATENATE(PROPER('BIÑAN INFO'!$G1317),", ",PROPER('BIÑAN INFO'!$E1317)," ",PROPER('BIÑAN INFO'!$F1317),"."," (",UPPER('BIÑAN INFO'!$H1317),")")</f>
        <v>Fontanilla, Dan . ()</v>
      </c>
      <c r="E1317" s="87" t="s">
        <v>710</v>
      </c>
      <c r="F1317" s="87"/>
      <c r="G1317" s="87" t="s">
        <v>711</v>
      </c>
      <c r="H1317" s="87"/>
      <c r="I1317" s="71">
        <v>0.12</v>
      </c>
      <c r="J1317" s="72">
        <v>1000.0</v>
      </c>
      <c r="K1317" s="89"/>
      <c r="L1317" s="89"/>
      <c r="M1317" s="89"/>
      <c r="N1317" s="90"/>
      <c r="O1317" s="59"/>
      <c r="P1317" s="59"/>
      <c r="Q1317" s="59"/>
      <c r="R1317" s="59"/>
      <c r="S1317" s="59"/>
      <c r="T1317" s="59"/>
      <c r="U1317" s="59"/>
      <c r="V1317" s="59"/>
      <c r="W1317" s="59"/>
      <c r="X1317" s="59"/>
      <c r="Y1317" s="59"/>
      <c r="Z1317" s="59"/>
    </row>
    <row r="1318" ht="30.0" customHeight="1">
      <c r="A1318" s="86"/>
      <c r="B1318" s="86">
        <v>1332.0</v>
      </c>
      <c r="C1318" s="86"/>
      <c r="D1318" s="87" t="str">
        <f>CONCATENATE(PROPER('BIÑAN INFO'!$G1318),", ",PROPER('BIÑAN INFO'!$E1318)," ",PROPER('BIÑAN INFO'!$F1318),"."," (",UPPER('BIÑAN INFO'!$H1318),")")</f>
        <v>,  . ()</v>
      </c>
      <c r="E1318" s="87"/>
      <c r="F1318" s="87"/>
      <c r="G1318" s="87"/>
      <c r="H1318" s="87"/>
      <c r="I1318" s="71">
        <v>0.12</v>
      </c>
      <c r="J1318" s="72">
        <v>1000.0</v>
      </c>
      <c r="K1318" s="89"/>
      <c r="L1318" s="89"/>
      <c r="M1318" s="89"/>
      <c r="N1318" s="90"/>
      <c r="O1318" s="59"/>
      <c r="P1318" s="59"/>
      <c r="Q1318" s="59"/>
      <c r="R1318" s="59"/>
      <c r="S1318" s="59"/>
      <c r="T1318" s="59"/>
      <c r="U1318" s="59"/>
      <c r="V1318" s="59"/>
      <c r="W1318" s="59"/>
      <c r="X1318" s="59"/>
      <c r="Y1318" s="59"/>
      <c r="Z1318" s="59"/>
    </row>
    <row r="1319" ht="30.0" customHeight="1">
      <c r="A1319" s="86"/>
      <c r="B1319" s="86">
        <v>1333.0</v>
      </c>
      <c r="C1319" s="86"/>
      <c r="D1319" s="87" t="str">
        <f>CONCATENATE(PROPER('BIÑAN INFO'!$G1319),", ",PROPER('BIÑAN INFO'!$E1319)," ",PROPER('BIÑAN INFO'!$F1319),"."," (",UPPER('BIÑAN INFO'!$H1319),")")</f>
        <v>Care, Jocelyn . ()</v>
      </c>
      <c r="E1319" s="87" t="s">
        <v>290</v>
      </c>
      <c r="F1319" s="87"/>
      <c r="G1319" s="87" t="s">
        <v>712</v>
      </c>
      <c r="H1319" s="87"/>
      <c r="I1319" s="71">
        <v>0.05</v>
      </c>
      <c r="J1319" s="72">
        <v>1000.0</v>
      </c>
      <c r="K1319" s="89" t="s">
        <v>50</v>
      </c>
      <c r="L1319" s="89" t="s">
        <v>465</v>
      </c>
      <c r="M1319" s="89">
        <v>2021.0</v>
      </c>
      <c r="N1319" s="90"/>
      <c r="O1319" s="59"/>
      <c r="P1319" s="59"/>
      <c r="Q1319" s="59"/>
      <c r="R1319" s="59"/>
      <c r="S1319" s="59"/>
      <c r="T1319" s="59"/>
      <c r="U1319" s="59"/>
      <c r="V1319" s="59"/>
      <c r="W1319" s="59"/>
      <c r="X1319" s="59"/>
      <c r="Y1319" s="59"/>
      <c r="Z1319" s="59"/>
    </row>
    <row r="1320" ht="30.0" customHeight="1">
      <c r="A1320" s="86"/>
      <c r="B1320" s="86">
        <v>1334.0</v>
      </c>
      <c r="C1320" s="86"/>
      <c r="D1320" s="87" t="str">
        <f>CONCATENATE(PROPER('BIÑAN INFO'!$G1320),", ",PROPER('BIÑAN INFO'!$E1320)," ",PROPER('BIÑAN INFO'!$F1320),"."," (",UPPER('BIÑAN INFO'!$H1320),")")</f>
        <v>,  . ()</v>
      </c>
      <c r="E1320" s="87"/>
      <c r="F1320" s="87"/>
      <c r="G1320" s="87"/>
      <c r="H1320" s="87"/>
      <c r="I1320" s="71">
        <v>0.12</v>
      </c>
      <c r="J1320" s="72">
        <v>1000.0</v>
      </c>
      <c r="K1320" s="89"/>
      <c r="L1320" s="89"/>
      <c r="M1320" s="89"/>
      <c r="N1320" s="90"/>
      <c r="O1320" s="59"/>
      <c r="P1320" s="59"/>
      <c r="Q1320" s="59"/>
      <c r="R1320" s="59"/>
      <c r="S1320" s="59"/>
      <c r="T1320" s="59"/>
      <c r="U1320" s="59"/>
      <c r="V1320" s="59"/>
      <c r="W1320" s="59"/>
      <c r="X1320" s="59"/>
      <c r="Y1320" s="59"/>
      <c r="Z1320" s="59"/>
    </row>
    <row r="1321" ht="30.0" customHeight="1">
      <c r="A1321" s="86"/>
      <c r="B1321" s="86">
        <v>1335.0</v>
      </c>
      <c r="C1321" s="86"/>
      <c r="D1321" s="87" t="str">
        <f>CONCATENATE(PROPER('BIÑAN INFO'!$G1321),", ",PROPER('BIÑAN INFO'!$E1321)," ",PROPER('BIÑAN INFO'!$F1321),"."," (",UPPER('BIÑAN INFO'!$H1321),")")</f>
        <v>Matunog, Edwin . ()</v>
      </c>
      <c r="E1321" s="87" t="s">
        <v>424</v>
      </c>
      <c r="F1321" s="87"/>
      <c r="G1321" s="87" t="s">
        <v>490</v>
      </c>
      <c r="H1321" s="87"/>
      <c r="I1321" s="71">
        <v>0.12</v>
      </c>
      <c r="J1321" s="72">
        <v>1000.0</v>
      </c>
      <c r="K1321" s="89"/>
      <c r="L1321" s="89"/>
      <c r="M1321" s="89"/>
      <c r="N1321" s="90"/>
      <c r="O1321" s="59"/>
      <c r="P1321" s="59"/>
      <c r="Q1321" s="59"/>
      <c r="R1321" s="59"/>
      <c r="S1321" s="59"/>
      <c r="T1321" s="59"/>
      <c r="U1321" s="59"/>
      <c r="V1321" s="59"/>
      <c r="W1321" s="59"/>
      <c r="X1321" s="59"/>
      <c r="Y1321" s="59"/>
      <c r="Z1321" s="59"/>
    </row>
    <row r="1322" ht="30.0" customHeight="1">
      <c r="A1322" s="86"/>
      <c r="B1322" s="86">
        <v>1336.0</v>
      </c>
      <c r="C1322" s="86"/>
      <c r="D1322" s="87" t="str">
        <f>CONCATENATE(PROPER('BIÑAN INFO'!$G1322),", ",PROPER('BIÑAN INFO'!$E1322)," ",PROPER('BIÑAN INFO'!$F1322),"."," (",UPPER('BIÑAN INFO'!$H1322),")")</f>
        <v>Amador, Dl . ()</v>
      </c>
      <c r="E1322" s="87" t="s">
        <v>713</v>
      </c>
      <c r="F1322" s="87"/>
      <c r="G1322" s="87" t="s">
        <v>714</v>
      </c>
      <c r="H1322" s="87"/>
      <c r="I1322" s="71">
        <v>0.12</v>
      </c>
      <c r="J1322" s="72">
        <v>1000.0</v>
      </c>
      <c r="K1322" s="89"/>
      <c r="L1322" s="89"/>
      <c r="M1322" s="89"/>
      <c r="N1322" s="90"/>
      <c r="O1322" s="59"/>
      <c r="P1322" s="59"/>
      <c r="Q1322" s="59"/>
      <c r="R1322" s="59"/>
      <c r="S1322" s="59"/>
      <c r="T1322" s="59"/>
      <c r="U1322" s="59"/>
      <c r="V1322" s="59"/>
      <c r="W1322" s="59"/>
      <c r="X1322" s="59"/>
      <c r="Y1322" s="59"/>
      <c r="Z1322" s="59"/>
    </row>
    <row r="1323" ht="30.0" customHeight="1">
      <c r="A1323" s="86"/>
      <c r="B1323" s="86">
        <v>1337.0</v>
      </c>
      <c r="C1323" s="86"/>
      <c r="D1323" s="87" t="str">
        <f>CONCATENATE(PROPER('BIÑAN INFO'!$G1323),", ",PROPER('BIÑAN INFO'!$E1323)," ",PROPER('BIÑAN INFO'!$F1323),"."," (",UPPER('BIÑAN INFO'!$H1323),")")</f>
        <v>Ramirez, Ma. Theresa . ()</v>
      </c>
      <c r="E1323" s="87" t="s">
        <v>715</v>
      </c>
      <c r="F1323" s="87"/>
      <c r="G1323" s="87" t="s">
        <v>716</v>
      </c>
      <c r="H1323" s="87"/>
      <c r="I1323" s="71">
        <v>0.12</v>
      </c>
      <c r="J1323" s="72">
        <v>1000.0</v>
      </c>
      <c r="K1323" s="89"/>
      <c r="L1323" s="89"/>
      <c r="M1323" s="89"/>
      <c r="N1323" s="90"/>
      <c r="O1323" s="59"/>
      <c r="P1323" s="59"/>
      <c r="Q1323" s="59"/>
      <c r="R1323" s="59"/>
      <c r="S1323" s="59"/>
      <c r="T1323" s="59"/>
      <c r="U1323" s="59"/>
      <c r="V1323" s="59"/>
      <c r="W1323" s="59"/>
      <c r="X1323" s="59"/>
      <c r="Y1323" s="59"/>
      <c r="Z1323" s="59"/>
    </row>
    <row r="1324" ht="30.0" customHeight="1">
      <c r="A1324" s="86"/>
      <c r="B1324" s="86">
        <v>1338.0</v>
      </c>
      <c r="C1324" s="86"/>
      <c r="D1324" s="87" t="str">
        <f>CONCATENATE(PROPER('BIÑAN INFO'!$G1324),", ",PROPER('BIÑAN INFO'!$E1324)," ",PROPER('BIÑAN INFO'!$F1324),"."," (",UPPER('BIÑAN INFO'!$H1324),")")</f>
        <v>Ramido, Rosemarie . ()</v>
      </c>
      <c r="E1324" s="87" t="s">
        <v>42</v>
      </c>
      <c r="F1324" s="87"/>
      <c r="G1324" s="87" t="s">
        <v>717</v>
      </c>
      <c r="H1324" s="87"/>
      <c r="I1324" s="71">
        <v>0.12</v>
      </c>
      <c r="J1324" s="72">
        <v>1000.0</v>
      </c>
      <c r="K1324" s="89"/>
      <c r="L1324" s="89"/>
      <c r="M1324" s="89"/>
      <c r="N1324" s="90"/>
      <c r="O1324" s="59"/>
      <c r="P1324" s="59"/>
      <c r="Q1324" s="59"/>
      <c r="R1324" s="59"/>
      <c r="S1324" s="59"/>
      <c r="T1324" s="59"/>
      <c r="U1324" s="59"/>
      <c r="V1324" s="59"/>
      <c r="W1324" s="59"/>
      <c r="X1324" s="59"/>
      <c r="Y1324" s="59"/>
      <c r="Z1324" s="59"/>
    </row>
    <row r="1325" ht="30.0" customHeight="1">
      <c r="A1325" s="86"/>
      <c r="B1325" s="86">
        <v>1339.0</v>
      </c>
      <c r="C1325" s="86"/>
      <c r="D1325" s="87" t="str">
        <f>CONCATENATE(PROPER('BIÑAN INFO'!$G1325),", ",PROPER('BIÑAN INFO'!$E1325)," ",PROPER('BIÑAN INFO'!$F1325),"."," (",UPPER('BIÑAN INFO'!$H1325),")")</f>
        <v>Pagsugueron, Nonoy . ()</v>
      </c>
      <c r="E1325" s="87" t="s">
        <v>718</v>
      </c>
      <c r="F1325" s="87"/>
      <c r="G1325" s="87" t="s">
        <v>719</v>
      </c>
      <c r="H1325" s="87"/>
      <c r="I1325" s="71">
        <v>0.12</v>
      </c>
      <c r="J1325" s="72">
        <v>1000.0</v>
      </c>
      <c r="K1325" s="89"/>
      <c r="L1325" s="89"/>
      <c r="M1325" s="89"/>
      <c r="N1325" s="90"/>
      <c r="O1325" s="59"/>
      <c r="P1325" s="59"/>
      <c r="Q1325" s="59"/>
      <c r="R1325" s="59"/>
      <c r="S1325" s="59"/>
      <c r="T1325" s="59"/>
      <c r="U1325" s="59"/>
      <c r="V1325" s="59"/>
      <c r="W1325" s="59"/>
      <c r="X1325" s="59"/>
      <c r="Y1325" s="59"/>
      <c r="Z1325" s="59"/>
    </row>
    <row r="1326" ht="30.0" customHeight="1">
      <c r="A1326" s="86"/>
      <c r="B1326" s="86">
        <v>1340.0</v>
      </c>
      <c r="C1326" s="86"/>
      <c r="D1326" s="87" t="str">
        <f>CONCATENATE(PROPER('BIÑAN INFO'!$G1326),", ",PROPER('BIÑAN INFO'!$E1326)," ",PROPER('BIÑAN INFO'!$F1326),"."," (",UPPER('BIÑAN INFO'!$H1326),")")</f>
        <v>,  . ()</v>
      </c>
      <c r="E1326" s="87"/>
      <c r="F1326" s="87"/>
      <c r="G1326" s="87"/>
      <c r="H1326" s="87"/>
      <c r="I1326" s="71">
        <v>0.12</v>
      </c>
      <c r="J1326" s="72">
        <v>1000.0</v>
      </c>
      <c r="K1326" s="89"/>
      <c r="L1326" s="89"/>
      <c r="M1326" s="89"/>
      <c r="N1326" s="90"/>
      <c r="O1326" s="59"/>
      <c r="P1326" s="59"/>
      <c r="Q1326" s="59"/>
      <c r="R1326" s="59"/>
      <c r="S1326" s="59"/>
      <c r="T1326" s="59"/>
      <c r="U1326" s="59"/>
      <c r="V1326" s="59"/>
      <c r="W1326" s="59"/>
      <c r="X1326" s="59"/>
      <c r="Y1326" s="59"/>
      <c r="Z1326" s="59"/>
    </row>
    <row r="1327" ht="30.0" customHeight="1">
      <c r="A1327" s="68"/>
      <c r="B1327" s="86">
        <v>1341.0</v>
      </c>
      <c r="C1327" s="68"/>
      <c r="D1327" s="87" t="str">
        <f>CONCATENATE(PROPER('BIÑAN INFO'!$G1327),", ",PROPER('BIÑAN INFO'!$E1327)," ",PROPER('BIÑAN INFO'!$F1327),"."," (",UPPER('BIÑAN INFO'!$H1327),")")</f>
        <v>De Mata, Josephine . ()</v>
      </c>
      <c r="E1327" s="87" t="s">
        <v>137</v>
      </c>
      <c r="F1327" s="87"/>
      <c r="G1327" s="87" t="s">
        <v>720</v>
      </c>
      <c r="H1327" s="87"/>
      <c r="I1327" s="71">
        <v>0.12</v>
      </c>
      <c r="J1327" s="72">
        <v>1000.0</v>
      </c>
      <c r="K1327" s="89"/>
      <c r="L1327" s="89"/>
      <c r="M1327" s="89"/>
      <c r="N1327" s="90"/>
      <c r="O1327" s="59"/>
      <c r="P1327" s="59"/>
      <c r="Q1327" s="59"/>
      <c r="R1327" s="59"/>
      <c r="S1327" s="59"/>
      <c r="T1327" s="59"/>
      <c r="U1327" s="59"/>
      <c r="V1327" s="59"/>
      <c r="W1327" s="59"/>
      <c r="X1327" s="59"/>
      <c r="Y1327" s="59"/>
      <c r="Z1327" s="59"/>
    </row>
    <row r="1328" ht="30.0" customHeight="1">
      <c r="A1328" s="68"/>
      <c r="B1328" s="86">
        <v>1342.0</v>
      </c>
      <c r="C1328" s="68"/>
      <c r="D1328" s="87" t="str">
        <f>CONCATENATE(PROPER('BIÑAN INFO'!$G1328),", ",PROPER('BIÑAN INFO'!$E1328)," ",PROPER('BIÑAN INFO'!$F1328),"."," (",UPPER('BIÑAN INFO'!$H1328),")")</f>
        <v>Villanueva, Raphy . ()</v>
      </c>
      <c r="E1328" s="87" t="s">
        <v>721</v>
      </c>
      <c r="F1328" s="87"/>
      <c r="G1328" s="87" t="s">
        <v>454</v>
      </c>
      <c r="H1328" s="87"/>
      <c r="I1328" s="71">
        <v>0.12</v>
      </c>
      <c r="J1328" s="72">
        <v>1000.0</v>
      </c>
      <c r="K1328" s="89"/>
      <c r="L1328" s="89"/>
      <c r="M1328" s="89"/>
      <c r="N1328" s="90"/>
      <c r="O1328" s="59"/>
      <c r="P1328" s="59"/>
      <c r="Q1328" s="59"/>
      <c r="R1328" s="59"/>
      <c r="S1328" s="59"/>
      <c r="T1328" s="59"/>
      <c r="U1328" s="59"/>
      <c r="V1328" s="59"/>
      <c r="W1328" s="59"/>
      <c r="X1328" s="59"/>
      <c r="Y1328" s="59"/>
      <c r="Z1328" s="59"/>
    </row>
    <row r="1329" ht="30.0" customHeight="1">
      <c r="A1329" s="68"/>
      <c r="B1329" s="86">
        <v>1343.0</v>
      </c>
      <c r="C1329" s="68"/>
      <c r="D1329" s="87" t="str">
        <f>CONCATENATE(PROPER('BIÑAN INFO'!$G1329),", ",PROPER('BIÑAN INFO'!$E1329)," ",PROPER('BIÑAN INFO'!$F1329),"."," (",UPPER('BIÑAN INFO'!$H1329),")")</f>
        <v>Hemedes Jr., Isidro . ()</v>
      </c>
      <c r="E1329" s="87" t="s">
        <v>722</v>
      </c>
      <c r="F1329" s="87"/>
      <c r="G1329" s="87" t="s">
        <v>723</v>
      </c>
      <c r="H1329" s="87"/>
      <c r="I1329" s="71">
        <v>0.05</v>
      </c>
      <c r="J1329" s="72">
        <v>1000.0</v>
      </c>
      <c r="K1329" s="89" t="s">
        <v>50</v>
      </c>
      <c r="L1329" s="91">
        <v>42918.0</v>
      </c>
      <c r="M1329" s="89"/>
      <c r="N1329" s="90"/>
      <c r="O1329" s="59"/>
      <c r="P1329" s="59"/>
      <c r="Q1329" s="59"/>
      <c r="R1329" s="59"/>
      <c r="S1329" s="59"/>
      <c r="T1329" s="59"/>
      <c r="U1329" s="59"/>
      <c r="V1329" s="59"/>
      <c r="W1329" s="59"/>
      <c r="X1329" s="59"/>
      <c r="Y1329" s="59"/>
      <c r="Z1329" s="59"/>
    </row>
    <row r="1330" ht="30.0" customHeight="1">
      <c r="A1330" s="68"/>
      <c r="B1330" s="86">
        <v>1344.0</v>
      </c>
      <c r="C1330" s="68"/>
      <c r="D1330" s="87" t="str">
        <f>CONCATENATE(PROPER('BIÑAN INFO'!$G1330),", ",PROPER('BIÑAN INFO'!$E1330)," ",PROPER('BIÑAN INFO'!$F1330),"."," (",UPPER('BIÑAN INFO'!$H1330),")")</f>
        <v>Villanueva, Frances Nova. ()</v>
      </c>
      <c r="E1330" s="87" t="s">
        <v>724</v>
      </c>
      <c r="F1330" s="87" t="s">
        <v>725</v>
      </c>
      <c r="G1330" s="87" t="s">
        <v>454</v>
      </c>
      <c r="H1330" s="87"/>
      <c r="I1330" s="71">
        <v>0.12</v>
      </c>
      <c r="J1330" s="72">
        <v>1000.0</v>
      </c>
      <c r="K1330" s="89"/>
      <c r="L1330" s="89"/>
      <c r="M1330" s="89"/>
      <c r="N1330" s="90"/>
      <c r="O1330" s="59"/>
      <c r="P1330" s="59"/>
      <c r="Q1330" s="59"/>
      <c r="R1330" s="59"/>
      <c r="S1330" s="59"/>
      <c r="T1330" s="59"/>
      <c r="U1330" s="59"/>
      <c r="V1330" s="59"/>
      <c r="W1330" s="59"/>
      <c r="X1330" s="59"/>
      <c r="Y1330" s="59"/>
      <c r="Z1330" s="59"/>
    </row>
    <row r="1331" ht="30.0" customHeight="1">
      <c r="A1331" s="68"/>
      <c r="B1331" s="86">
        <v>1345.0</v>
      </c>
      <c r="C1331" s="68"/>
      <c r="D1331" s="87" t="str">
        <f>CONCATENATE(PROPER('BIÑAN INFO'!$G1331),", ",PROPER('BIÑAN INFO'!$E1331)," ",PROPER('BIÑAN INFO'!$F1331),"."," (",UPPER('BIÑAN INFO'!$H1331),")")</f>
        <v>,  . ()</v>
      </c>
      <c r="E1331" s="87"/>
      <c r="F1331" s="87"/>
      <c r="G1331" s="87"/>
      <c r="H1331" s="87"/>
      <c r="I1331" s="71">
        <v>0.12</v>
      </c>
      <c r="J1331" s="72">
        <v>1000.0</v>
      </c>
      <c r="K1331" s="89"/>
      <c r="L1331" s="89"/>
      <c r="M1331" s="89"/>
      <c r="N1331" s="90"/>
      <c r="O1331" s="59"/>
      <c r="P1331" s="59"/>
      <c r="Q1331" s="59"/>
      <c r="R1331" s="59"/>
      <c r="S1331" s="59"/>
      <c r="T1331" s="59"/>
      <c r="U1331" s="59"/>
      <c r="V1331" s="59"/>
      <c r="W1331" s="59"/>
      <c r="X1331" s="59"/>
      <c r="Y1331" s="59"/>
      <c r="Z1331" s="59"/>
    </row>
    <row r="1332" ht="30.0" customHeight="1">
      <c r="A1332" s="68"/>
      <c r="B1332" s="86">
        <v>1346.0</v>
      </c>
      <c r="C1332" s="68"/>
      <c r="D1332" s="87" t="str">
        <f>CONCATENATE(PROPER('BIÑAN INFO'!$G1332),", ",PROPER('BIÑAN INFO'!$E1332)," ",PROPER('BIÑAN INFO'!$F1332),"."," (",UPPER('BIÑAN INFO'!$H1332),")")</f>
        <v>Benitez, Fraulein Delos Reyes. ()</v>
      </c>
      <c r="E1332" s="87" t="s">
        <v>726</v>
      </c>
      <c r="F1332" s="87" t="s">
        <v>727</v>
      </c>
      <c r="G1332" s="87" t="s">
        <v>728</v>
      </c>
      <c r="H1332" s="87"/>
      <c r="I1332" s="71">
        <v>0.05</v>
      </c>
      <c r="J1332" s="72">
        <v>1000.0</v>
      </c>
      <c r="K1332" s="89" t="s">
        <v>50</v>
      </c>
      <c r="L1332" s="89" t="s">
        <v>695</v>
      </c>
      <c r="M1332" s="89"/>
      <c r="N1332" s="90"/>
      <c r="O1332" s="59"/>
      <c r="P1332" s="59"/>
      <c r="Q1332" s="59"/>
      <c r="R1332" s="59"/>
      <c r="S1332" s="59"/>
      <c r="T1332" s="59"/>
      <c r="U1332" s="59"/>
      <c r="V1332" s="59"/>
      <c r="W1332" s="59"/>
      <c r="X1332" s="59"/>
      <c r="Y1332" s="59"/>
      <c r="Z1332" s="59"/>
    </row>
    <row r="1333" ht="30.0" customHeight="1">
      <c r="A1333" s="68"/>
      <c r="B1333" s="86">
        <v>1347.0</v>
      </c>
      <c r="C1333" s="68"/>
      <c r="D1333" s="87" t="str">
        <f>CONCATENATE(PROPER('BIÑAN INFO'!$G1333),", ",PROPER('BIÑAN INFO'!$E1333)," ",PROPER('BIÑAN INFO'!$F1333),"."," (",UPPER('BIÑAN INFO'!$H1333),")")</f>
        <v>Resuriga, Joseph . ()</v>
      </c>
      <c r="E1333" s="87" t="s">
        <v>729</v>
      </c>
      <c r="F1333" s="87"/>
      <c r="G1333" s="87" t="s">
        <v>730</v>
      </c>
      <c r="H1333" s="87"/>
      <c r="I1333" s="71">
        <v>0.12</v>
      </c>
      <c r="J1333" s="72">
        <v>1000.0</v>
      </c>
      <c r="K1333" s="89"/>
      <c r="L1333" s="89"/>
      <c r="M1333" s="89"/>
      <c r="N1333" s="90"/>
      <c r="O1333" s="59"/>
      <c r="P1333" s="59"/>
      <c r="Q1333" s="59"/>
      <c r="R1333" s="59"/>
      <c r="S1333" s="59"/>
      <c r="T1333" s="59"/>
      <c r="U1333" s="59"/>
      <c r="V1333" s="59"/>
      <c r="W1333" s="59"/>
      <c r="X1333" s="59"/>
      <c r="Y1333" s="59"/>
      <c r="Z1333" s="59"/>
    </row>
    <row r="1334" ht="30.0" customHeight="1">
      <c r="A1334" s="68"/>
      <c r="B1334" s="86">
        <v>1348.0</v>
      </c>
      <c r="C1334" s="68"/>
      <c r="D1334" s="87" t="str">
        <f>CONCATENATE(PROPER('BIÑAN INFO'!$G1334),", ",PROPER('BIÑAN INFO'!$E1334)," ",PROPER('BIÑAN INFO'!$F1334),"."," (",UPPER('BIÑAN INFO'!$H1334),")")</f>
        <v>,  . ()</v>
      </c>
      <c r="E1334" s="87"/>
      <c r="F1334" s="87"/>
      <c r="G1334" s="87"/>
      <c r="H1334" s="87"/>
      <c r="I1334" s="71">
        <v>0.12</v>
      </c>
      <c r="J1334" s="72">
        <v>1000.0</v>
      </c>
      <c r="K1334" s="89"/>
      <c r="L1334" s="89"/>
      <c r="M1334" s="89"/>
      <c r="N1334" s="90"/>
      <c r="O1334" s="59"/>
      <c r="P1334" s="59"/>
      <c r="Q1334" s="59"/>
      <c r="R1334" s="59"/>
      <c r="S1334" s="59"/>
      <c r="T1334" s="59"/>
      <c r="U1334" s="59"/>
      <c r="V1334" s="59"/>
      <c r="W1334" s="59"/>
      <c r="X1334" s="59"/>
      <c r="Y1334" s="59"/>
      <c r="Z1334" s="59"/>
    </row>
    <row r="1335" ht="30.0" customHeight="1">
      <c r="A1335" s="68"/>
      <c r="B1335" s="86">
        <v>1349.0</v>
      </c>
      <c r="C1335" s="68"/>
      <c r="D1335" s="87" t="str">
        <f>CONCATENATE(PROPER('BIÑAN INFO'!$G1335),", ",PROPER('BIÑAN INFO'!$E1335)," ",PROPER('BIÑAN INFO'!$F1335),"."," (",UPPER('BIÑAN INFO'!$H1335),")")</f>
        <v>,  . ()</v>
      </c>
      <c r="E1335" s="87"/>
      <c r="F1335" s="87"/>
      <c r="G1335" s="87"/>
      <c r="H1335" s="87"/>
      <c r="I1335" s="71">
        <v>0.12</v>
      </c>
      <c r="J1335" s="72">
        <v>1000.0</v>
      </c>
      <c r="K1335" s="89"/>
      <c r="L1335" s="89"/>
      <c r="M1335" s="89"/>
      <c r="N1335" s="90"/>
      <c r="O1335" s="59"/>
      <c r="P1335" s="59"/>
      <c r="Q1335" s="59"/>
      <c r="R1335" s="59"/>
      <c r="S1335" s="59"/>
      <c r="T1335" s="59"/>
      <c r="U1335" s="59"/>
      <c r="V1335" s="59"/>
      <c r="W1335" s="59"/>
      <c r="X1335" s="59"/>
      <c r="Y1335" s="59"/>
      <c r="Z1335" s="59"/>
    </row>
    <row r="1336" ht="30.0" customHeight="1">
      <c r="A1336" s="68"/>
      <c r="B1336" s="86">
        <v>1350.0</v>
      </c>
      <c r="C1336" s="68"/>
      <c r="D1336" s="87" t="str">
        <f>CONCATENATE(PROPER('BIÑAN INFO'!$G1336),", ",PROPER('BIÑAN INFO'!$E1336)," ",PROPER('BIÑAN INFO'!$F1336),"."," (",UPPER('BIÑAN INFO'!$H1336),")")</f>
        <v>,  . ()</v>
      </c>
      <c r="E1336" s="87"/>
      <c r="F1336" s="87"/>
      <c r="G1336" s="87"/>
      <c r="H1336" s="87"/>
      <c r="I1336" s="71">
        <v>0.12</v>
      </c>
      <c r="J1336" s="72">
        <v>1000.0</v>
      </c>
      <c r="K1336" s="89"/>
      <c r="L1336" s="89"/>
      <c r="M1336" s="89"/>
      <c r="N1336" s="90"/>
      <c r="O1336" s="59"/>
      <c r="P1336" s="59"/>
      <c r="Q1336" s="59"/>
      <c r="R1336" s="59"/>
      <c r="S1336" s="59"/>
      <c r="T1336" s="59"/>
      <c r="U1336" s="59"/>
      <c r="V1336" s="59"/>
      <c r="W1336" s="59"/>
      <c r="X1336" s="59"/>
      <c r="Y1336" s="59"/>
      <c r="Z1336" s="59"/>
    </row>
    <row r="1337" ht="30.0" customHeight="1">
      <c r="A1337" s="68"/>
      <c r="B1337" s="86">
        <v>1351.0</v>
      </c>
      <c r="C1337" s="68"/>
      <c r="D1337" s="87" t="str">
        <f>CONCATENATE(PROPER('BIÑAN INFO'!$G1337),", ",PROPER('BIÑAN INFO'!$E1337)," ",PROPER('BIÑAN INFO'!$F1337),"."," (",UPPER('BIÑAN INFO'!$H1337),")")</f>
        <v>Melanis, Castaneda . ()</v>
      </c>
      <c r="E1337" s="87" t="s">
        <v>731</v>
      </c>
      <c r="F1337" s="87"/>
      <c r="G1337" s="87" t="s">
        <v>732</v>
      </c>
      <c r="H1337" s="87"/>
      <c r="I1337" s="71">
        <v>0.12</v>
      </c>
      <c r="J1337" s="72">
        <v>1000.0</v>
      </c>
      <c r="K1337" s="89"/>
      <c r="L1337" s="89"/>
      <c r="M1337" s="89"/>
      <c r="N1337" s="90"/>
      <c r="O1337" s="59"/>
      <c r="P1337" s="59"/>
      <c r="Q1337" s="59"/>
      <c r="R1337" s="59"/>
      <c r="S1337" s="59"/>
      <c r="T1337" s="59"/>
      <c r="U1337" s="59"/>
      <c r="V1337" s="59"/>
      <c r="W1337" s="59"/>
      <c r="X1337" s="59"/>
      <c r="Y1337" s="59"/>
      <c r="Z1337" s="59"/>
    </row>
    <row r="1338" ht="30.0" customHeight="1">
      <c r="A1338" s="68"/>
      <c r="B1338" s="86">
        <v>1352.0</v>
      </c>
      <c r="C1338" s="68"/>
      <c r="D1338" s="87" t="str">
        <f>CONCATENATE(PROPER('BIÑAN INFO'!$G1338),", ",PROPER('BIÑAN INFO'!$E1338)," ",PROPER('BIÑAN INFO'!$F1338),"."," (",UPPER('BIÑAN INFO'!$H1338),")")</f>
        <v>Ribbon, Liezl C. ()</v>
      </c>
      <c r="E1338" s="87" t="s">
        <v>733</v>
      </c>
      <c r="F1338" s="87" t="s">
        <v>318</v>
      </c>
      <c r="G1338" s="87" t="s">
        <v>734</v>
      </c>
      <c r="H1338" s="87"/>
      <c r="I1338" s="71">
        <v>0.05</v>
      </c>
      <c r="J1338" s="72">
        <v>1000.0</v>
      </c>
      <c r="K1338" s="89" t="s">
        <v>50</v>
      </c>
      <c r="L1338" s="89"/>
      <c r="M1338" s="89"/>
      <c r="N1338" s="90"/>
      <c r="O1338" s="59"/>
      <c r="P1338" s="59"/>
      <c r="Q1338" s="59"/>
      <c r="R1338" s="59"/>
      <c r="S1338" s="59"/>
      <c r="T1338" s="59"/>
      <c r="U1338" s="59"/>
      <c r="V1338" s="59"/>
      <c r="W1338" s="59"/>
      <c r="X1338" s="59"/>
      <c r="Y1338" s="59"/>
      <c r="Z1338" s="59"/>
    </row>
    <row r="1339" ht="30.0" customHeight="1">
      <c r="A1339" s="68"/>
      <c r="B1339" s="86">
        <v>1353.0</v>
      </c>
      <c r="C1339" s="68"/>
      <c r="D1339" s="87" t="str">
        <f>CONCATENATE(PROPER('BIÑAN INFO'!$G1339),", ",PROPER('BIÑAN INFO'!$E1339)," ",PROPER('BIÑAN INFO'!$F1339),"."," (",UPPER('BIÑAN INFO'!$H1339),")")</f>
        <v>Ronguillo, Evangeline A. ()</v>
      </c>
      <c r="E1339" s="87" t="s">
        <v>188</v>
      </c>
      <c r="F1339" s="87" t="s">
        <v>427</v>
      </c>
      <c r="G1339" s="87" t="s">
        <v>735</v>
      </c>
      <c r="H1339" s="87"/>
      <c r="I1339" s="71">
        <v>0.12</v>
      </c>
      <c r="J1339" s="72">
        <v>1000.0</v>
      </c>
      <c r="K1339" s="89"/>
      <c r="L1339" s="89"/>
      <c r="M1339" s="89"/>
      <c r="N1339" s="90"/>
      <c r="O1339" s="59"/>
      <c r="P1339" s="59"/>
      <c r="Q1339" s="59"/>
      <c r="R1339" s="59"/>
      <c r="S1339" s="59"/>
      <c r="T1339" s="59"/>
      <c r="U1339" s="59"/>
      <c r="V1339" s="59"/>
      <c r="W1339" s="59"/>
      <c r="X1339" s="59"/>
      <c r="Y1339" s="59"/>
      <c r="Z1339" s="59"/>
    </row>
    <row r="1340" ht="30.0" customHeight="1">
      <c r="A1340" s="68"/>
      <c r="B1340" s="86">
        <v>1354.0</v>
      </c>
      <c r="C1340" s="68"/>
      <c r="D1340" s="87" t="str">
        <f>CONCATENATE(PROPER('BIÑAN INFO'!$G1340),", ",PROPER('BIÑAN INFO'!$E1340)," ",PROPER('BIÑAN INFO'!$F1340),"."," (",UPPER('BIÑAN INFO'!$H1340),")")</f>
        <v>Santos, Ma Carmina C. ()</v>
      </c>
      <c r="E1340" s="87" t="s">
        <v>736</v>
      </c>
      <c r="F1340" s="87" t="s">
        <v>318</v>
      </c>
      <c r="G1340" s="87" t="s">
        <v>204</v>
      </c>
      <c r="H1340" s="87"/>
      <c r="I1340" s="71">
        <v>0.05</v>
      </c>
      <c r="J1340" s="72">
        <v>1000.0</v>
      </c>
      <c r="K1340" s="89" t="s">
        <v>50</v>
      </c>
      <c r="L1340" s="91">
        <v>42918.0</v>
      </c>
      <c r="M1340" s="89"/>
      <c r="N1340" s="90"/>
      <c r="O1340" s="59"/>
      <c r="P1340" s="59"/>
      <c r="Q1340" s="59"/>
      <c r="R1340" s="59"/>
      <c r="S1340" s="59"/>
      <c r="T1340" s="59"/>
      <c r="U1340" s="59"/>
      <c r="V1340" s="59"/>
      <c r="W1340" s="59"/>
      <c r="X1340" s="59"/>
      <c r="Y1340" s="59"/>
      <c r="Z1340" s="59"/>
    </row>
    <row r="1341" ht="30.0" customHeight="1">
      <c r="A1341" s="68"/>
      <c r="B1341" s="86">
        <v>1355.0</v>
      </c>
      <c r="C1341" s="68"/>
      <c r="D1341" s="87" t="str">
        <f>CONCATENATE(PROPER('BIÑAN INFO'!$G1341),", ",PROPER('BIÑAN INFO'!$E1341)," ",PROPER('BIÑAN INFO'!$F1341),"."," (",UPPER('BIÑAN INFO'!$H1341),")")</f>
        <v>Ilagan, Ma. Consuelo E. ()</v>
      </c>
      <c r="E1341" s="87" t="s">
        <v>737</v>
      </c>
      <c r="F1341" s="87" t="s">
        <v>299</v>
      </c>
      <c r="G1341" s="87" t="s">
        <v>738</v>
      </c>
      <c r="H1341" s="87"/>
      <c r="I1341" s="71">
        <v>0.05</v>
      </c>
      <c r="J1341" s="72">
        <v>1000.0</v>
      </c>
      <c r="K1341" s="89" t="s">
        <v>50</v>
      </c>
      <c r="L1341" s="91">
        <v>42918.0</v>
      </c>
      <c r="M1341" s="89"/>
      <c r="N1341" s="90"/>
      <c r="O1341" s="59"/>
      <c r="P1341" s="59"/>
      <c r="Q1341" s="59"/>
      <c r="R1341" s="59"/>
      <c r="S1341" s="59"/>
      <c r="T1341" s="59"/>
      <c r="U1341" s="59"/>
      <c r="V1341" s="59"/>
      <c r="W1341" s="59"/>
      <c r="X1341" s="59"/>
      <c r="Y1341" s="59"/>
      <c r="Z1341" s="59"/>
    </row>
    <row r="1342" ht="30.0" customHeight="1">
      <c r="A1342" s="68"/>
      <c r="B1342" s="86">
        <v>1356.0</v>
      </c>
      <c r="C1342" s="68"/>
      <c r="D1342" s="87" t="str">
        <f>CONCATENATE(PROPER('BIÑAN INFO'!$G1342),", ",PROPER('BIÑAN INFO'!$E1342)," ",PROPER('BIÑAN INFO'!$F1342),"."," (",UPPER('BIÑAN INFO'!$H1342),")")</f>
        <v>Bacsa, Wilson R. ()</v>
      </c>
      <c r="E1342" s="87" t="s">
        <v>739</v>
      </c>
      <c r="F1342" s="87" t="s">
        <v>260</v>
      </c>
      <c r="G1342" s="87" t="s">
        <v>740</v>
      </c>
      <c r="H1342" s="87"/>
      <c r="I1342" s="71">
        <v>0.12</v>
      </c>
      <c r="J1342" s="72">
        <v>1000.0</v>
      </c>
      <c r="K1342" s="89"/>
      <c r="L1342" s="89"/>
      <c r="M1342" s="89"/>
      <c r="N1342" s="90"/>
      <c r="O1342" s="59"/>
      <c r="P1342" s="59"/>
      <c r="Q1342" s="59"/>
      <c r="R1342" s="59"/>
      <c r="S1342" s="59"/>
      <c r="T1342" s="59"/>
      <c r="U1342" s="59"/>
      <c r="V1342" s="59"/>
      <c r="W1342" s="59"/>
      <c r="X1342" s="59"/>
      <c r="Y1342" s="59"/>
      <c r="Z1342" s="59"/>
    </row>
    <row r="1343" ht="30.0" customHeight="1">
      <c r="A1343" s="68"/>
      <c r="B1343" s="86">
        <v>1357.0</v>
      </c>
      <c r="C1343" s="68"/>
      <c r="D1343" s="87" t="str">
        <f>CONCATENATE(PROPER('BIÑAN INFO'!$G1343),", ",PROPER('BIÑAN INFO'!$E1343)," ",PROPER('BIÑAN INFO'!$F1343),"."," (",UPPER('BIÑAN INFO'!$H1343),")")</f>
        <v>,  . ()</v>
      </c>
      <c r="E1343" s="87"/>
      <c r="F1343" s="87"/>
      <c r="G1343" s="87"/>
      <c r="H1343" s="87"/>
      <c r="I1343" s="71">
        <v>0.05</v>
      </c>
      <c r="J1343" s="72">
        <v>1000.0</v>
      </c>
      <c r="K1343" s="89" t="s">
        <v>50</v>
      </c>
      <c r="L1343" s="91">
        <v>42918.0</v>
      </c>
      <c r="M1343" s="89"/>
      <c r="N1343" s="90"/>
      <c r="O1343" s="59"/>
      <c r="P1343" s="59"/>
      <c r="Q1343" s="59"/>
      <c r="R1343" s="59"/>
      <c r="S1343" s="59"/>
      <c r="T1343" s="59"/>
      <c r="U1343" s="59"/>
      <c r="V1343" s="59"/>
      <c r="W1343" s="59"/>
      <c r="X1343" s="59"/>
      <c r="Y1343" s="59"/>
      <c r="Z1343" s="59"/>
    </row>
    <row r="1344" ht="30.0" customHeight="1">
      <c r="A1344" s="68"/>
      <c r="B1344" s="86">
        <v>1358.0</v>
      </c>
      <c r="C1344" s="68"/>
      <c r="D1344" s="87" t="str">
        <f>CONCATENATE(PROPER('BIÑAN INFO'!$G1344),", ",PROPER('BIÑAN INFO'!$E1344)," ",PROPER('BIÑAN INFO'!$F1344),"."," (",UPPER('BIÑAN INFO'!$H1344),")")</f>
        <v>De Guzman, Juanito . ()</v>
      </c>
      <c r="E1344" s="87" t="s">
        <v>637</v>
      </c>
      <c r="F1344" s="87"/>
      <c r="G1344" s="87" t="s">
        <v>741</v>
      </c>
      <c r="H1344" s="87"/>
      <c r="I1344" s="71">
        <v>0.05</v>
      </c>
      <c r="J1344" s="72">
        <v>1000.0</v>
      </c>
      <c r="K1344" s="89" t="s">
        <v>50</v>
      </c>
      <c r="L1344" s="89" t="s">
        <v>480</v>
      </c>
      <c r="M1344" s="89">
        <v>2022.0</v>
      </c>
      <c r="N1344" s="90"/>
      <c r="O1344" s="59"/>
      <c r="P1344" s="59"/>
      <c r="Q1344" s="59"/>
      <c r="R1344" s="59"/>
      <c r="S1344" s="59"/>
      <c r="T1344" s="59"/>
      <c r="U1344" s="59"/>
      <c r="V1344" s="59"/>
      <c r="W1344" s="59"/>
      <c r="X1344" s="59"/>
      <c r="Y1344" s="59"/>
      <c r="Z1344" s="59"/>
    </row>
    <row r="1345" ht="30.0" customHeight="1">
      <c r="A1345" s="68"/>
      <c r="B1345" s="86">
        <v>1359.0</v>
      </c>
      <c r="C1345" s="68"/>
      <c r="D1345" s="87" t="str">
        <f>CONCATENATE(PROPER('BIÑAN INFO'!$G1345),", ",PROPER('BIÑAN INFO'!$E1345)," ",PROPER('BIÑAN INFO'!$F1345),"."," (",UPPER('BIÑAN INFO'!$H1345),")")</f>
        <v>Ponce, Ma Theresa . ()</v>
      </c>
      <c r="E1345" s="87" t="s">
        <v>742</v>
      </c>
      <c r="F1345" s="87"/>
      <c r="G1345" s="87" t="s">
        <v>743</v>
      </c>
      <c r="H1345" s="87"/>
      <c r="I1345" s="71">
        <v>0.05</v>
      </c>
      <c r="J1345" s="72">
        <v>1000.0</v>
      </c>
      <c r="K1345" s="89" t="s">
        <v>50</v>
      </c>
      <c r="L1345" s="91" t="s">
        <v>465</v>
      </c>
      <c r="M1345" s="89">
        <v>2021.0</v>
      </c>
      <c r="N1345" s="90"/>
      <c r="O1345" s="59"/>
      <c r="P1345" s="59"/>
      <c r="Q1345" s="59"/>
      <c r="R1345" s="59"/>
      <c r="S1345" s="59"/>
      <c r="T1345" s="59"/>
      <c r="U1345" s="59"/>
      <c r="V1345" s="59"/>
      <c r="W1345" s="59"/>
      <c r="X1345" s="59"/>
      <c r="Y1345" s="59"/>
      <c r="Z1345" s="59"/>
    </row>
    <row r="1346" ht="30.0" customHeight="1">
      <c r="A1346" s="68"/>
      <c r="B1346" s="86">
        <v>1360.0</v>
      </c>
      <c r="C1346" s="68"/>
      <c r="D1346" s="87" t="str">
        <f>CONCATENATE(PROPER('BIÑAN INFO'!$G1346),", ",PROPER('BIÑAN INFO'!$E1346)," ",PROPER('BIÑAN INFO'!$F1346),"."," (",UPPER('BIÑAN INFO'!$H1346),")")</f>
        <v>Anatacio, Cardino Cantuba. ()</v>
      </c>
      <c r="E1346" s="87" t="s">
        <v>744</v>
      </c>
      <c r="F1346" s="87" t="s">
        <v>745</v>
      </c>
      <c r="G1346" s="87" t="s">
        <v>746</v>
      </c>
      <c r="H1346" s="87"/>
      <c r="I1346" s="71">
        <v>0.05</v>
      </c>
      <c r="J1346" s="72">
        <v>1000.0</v>
      </c>
      <c r="K1346" s="89" t="s">
        <v>50</v>
      </c>
      <c r="L1346" s="91">
        <v>42918.0</v>
      </c>
      <c r="M1346" s="89"/>
      <c r="N1346" s="90"/>
      <c r="O1346" s="59"/>
      <c r="P1346" s="59"/>
      <c r="Q1346" s="59"/>
      <c r="R1346" s="59"/>
      <c r="S1346" s="59"/>
      <c r="T1346" s="59"/>
      <c r="U1346" s="59"/>
      <c r="V1346" s="59"/>
      <c r="W1346" s="59"/>
      <c r="X1346" s="59"/>
      <c r="Y1346" s="59"/>
      <c r="Z1346" s="59"/>
    </row>
    <row r="1347" ht="30.0" customHeight="1">
      <c r="A1347" s="68"/>
      <c r="B1347" s="86">
        <v>1361.0</v>
      </c>
      <c r="C1347" s="68"/>
      <c r="D1347" s="87" t="str">
        <f>CONCATENATE(PROPER('BIÑAN INFO'!$G1347),", ",PROPER('BIÑAN INFO'!$E1347)," ",PROPER('BIÑAN INFO'!$F1347),"."," (",UPPER('BIÑAN INFO'!$H1347),")")</f>
        <v>Rechirei, Rogelio M. ()</v>
      </c>
      <c r="E1347" s="87" t="s">
        <v>747</v>
      </c>
      <c r="F1347" s="87" t="s">
        <v>587</v>
      </c>
      <c r="G1347" s="87" t="s">
        <v>748</v>
      </c>
      <c r="H1347" s="87"/>
      <c r="I1347" s="71">
        <v>0.12</v>
      </c>
      <c r="J1347" s="72">
        <v>1000.0</v>
      </c>
      <c r="K1347" s="89"/>
      <c r="L1347" s="89"/>
      <c r="M1347" s="89"/>
      <c r="N1347" s="90"/>
      <c r="O1347" s="59"/>
      <c r="P1347" s="59"/>
      <c r="Q1347" s="59"/>
      <c r="R1347" s="59"/>
      <c r="S1347" s="59"/>
      <c r="T1347" s="59"/>
      <c r="U1347" s="59"/>
      <c r="V1347" s="59"/>
      <c r="W1347" s="59"/>
      <c r="X1347" s="59"/>
      <c r="Y1347" s="59"/>
      <c r="Z1347" s="59"/>
    </row>
    <row r="1348" ht="30.0" customHeight="1">
      <c r="A1348" s="68"/>
      <c r="B1348" s="86">
        <v>1362.0</v>
      </c>
      <c r="C1348" s="68"/>
      <c r="D1348" s="87" t="str">
        <f>CONCATENATE(PROPER('BIÑAN INFO'!$G1348),", ",PROPER('BIÑAN INFO'!$E1348)," ",PROPER('BIÑAN INFO'!$F1348),"."," (",UPPER('BIÑAN INFO'!$H1348),")")</f>
        <v>Marquez, Lolito Roa. ()</v>
      </c>
      <c r="E1348" s="87" t="s">
        <v>749</v>
      </c>
      <c r="F1348" s="87" t="s">
        <v>750</v>
      </c>
      <c r="G1348" s="87" t="s">
        <v>751</v>
      </c>
      <c r="H1348" s="87"/>
      <c r="I1348" s="71">
        <v>0.12</v>
      </c>
      <c r="J1348" s="72">
        <v>1000.0</v>
      </c>
      <c r="K1348" s="89"/>
      <c r="L1348" s="89"/>
      <c r="M1348" s="89"/>
      <c r="N1348" s="90"/>
      <c r="O1348" s="59"/>
      <c r="P1348" s="59"/>
      <c r="Q1348" s="59"/>
      <c r="R1348" s="59"/>
      <c r="S1348" s="59"/>
      <c r="T1348" s="59"/>
      <c r="U1348" s="59"/>
      <c r="V1348" s="59"/>
      <c r="W1348" s="59"/>
      <c r="X1348" s="59"/>
      <c r="Y1348" s="59"/>
      <c r="Z1348" s="59"/>
    </row>
    <row r="1349" ht="30.0" customHeight="1">
      <c r="A1349" s="68"/>
      <c r="B1349" s="86">
        <v>1363.0</v>
      </c>
      <c r="C1349" s="68"/>
      <c r="D1349" s="87" t="str">
        <f>CONCATENATE(PROPER('BIÑAN INFO'!$G1349),", ",PROPER('BIÑAN INFO'!$E1349)," ",PROPER('BIÑAN INFO'!$F1349),"."," (",UPPER('BIÑAN INFO'!$H1349),")")</f>
        <v>Dionio, Raquel T. ()</v>
      </c>
      <c r="E1349" s="87" t="s">
        <v>191</v>
      </c>
      <c r="F1349" s="87" t="s">
        <v>752</v>
      </c>
      <c r="G1349" s="87" t="s">
        <v>753</v>
      </c>
      <c r="H1349" s="87"/>
      <c r="I1349" s="71">
        <v>0.12</v>
      </c>
      <c r="J1349" s="72">
        <v>1000.0</v>
      </c>
      <c r="K1349" s="89"/>
      <c r="L1349" s="89"/>
      <c r="M1349" s="89"/>
      <c r="N1349" s="90"/>
      <c r="O1349" s="59"/>
      <c r="P1349" s="59"/>
      <c r="Q1349" s="59"/>
      <c r="R1349" s="59"/>
      <c r="S1349" s="59"/>
      <c r="T1349" s="59"/>
      <c r="U1349" s="59"/>
      <c r="V1349" s="59"/>
      <c r="W1349" s="59"/>
      <c r="X1349" s="59"/>
      <c r="Y1349" s="59"/>
      <c r="Z1349" s="59"/>
    </row>
    <row r="1350" ht="30.0" customHeight="1">
      <c r="A1350" s="68"/>
      <c r="B1350" s="86">
        <v>1364.0</v>
      </c>
      <c r="C1350" s="68"/>
      <c r="D1350" s="87" t="str">
        <f>CONCATENATE(PROPER('BIÑAN INFO'!$G1350),", ",PROPER('BIÑAN INFO'!$E1350)," ",PROPER('BIÑAN INFO'!$F1350),"."," (",UPPER('BIÑAN INFO'!$H1350),")")</f>
        <v>Cruz, Sofia L. ()</v>
      </c>
      <c r="E1350" s="87" t="s">
        <v>754</v>
      </c>
      <c r="F1350" s="87" t="s">
        <v>648</v>
      </c>
      <c r="G1350" s="87" t="s">
        <v>676</v>
      </c>
      <c r="H1350" s="87"/>
      <c r="I1350" s="71">
        <v>0.05</v>
      </c>
      <c r="J1350" s="72">
        <v>1000.0</v>
      </c>
      <c r="K1350" s="89" t="s">
        <v>50</v>
      </c>
      <c r="L1350" s="89"/>
      <c r="M1350" s="89"/>
      <c r="N1350" s="90"/>
      <c r="O1350" s="59"/>
      <c r="P1350" s="59"/>
      <c r="Q1350" s="59"/>
      <c r="R1350" s="59"/>
      <c r="S1350" s="59"/>
      <c r="T1350" s="59"/>
      <c r="U1350" s="59"/>
      <c r="V1350" s="59"/>
      <c r="W1350" s="59"/>
      <c r="X1350" s="59"/>
      <c r="Y1350" s="59"/>
      <c r="Z1350" s="59"/>
    </row>
    <row r="1351" ht="30.0" customHeight="1">
      <c r="A1351" s="68"/>
      <c r="B1351" s="86">
        <v>1365.0</v>
      </c>
      <c r="C1351" s="68"/>
      <c r="D1351" s="87" t="str">
        <f>CONCATENATE(PROPER('BIÑAN INFO'!$G1351),", ",PROPER('BIÑAN INFO'!$E1351)," ",PROPER('BIÑAN INFO'!$F1351),"."," (",UPPER('BIÑAN INFO'!$H1351),")")</f>
        <v>,  . ()</v>
      </c>
      <c r="E1351" s="87"/>
      <c r="F1351" s="87"/>
      <c r="G1351" s="87"/>
      <c r="H1351" s="87"/>
      <c r="I1351" s="71">
        <v>0.12</v>
      </c>
      <c r="J1351" s="72">
        <v>1000.0</v>
      </c>
      <c r="K1351" s="89"/>
      <c r="L1351" s="89"/>
      <c r="M1351" s="89"/>
      <c r="N1351" s="90"/>
      <c r="O1351" s="59"/>
      <c r="P1351" s="59"/>
      <c r="Q1351" s="59"/>
      <c r="R1351" s="59"/>
      <c r="S1351" s="59"/>
      <c r="T1351" s="59"/>
      <c r="U1351" s="59"/>
      <c r="V1351" s="59"/>
      <c r="W1351" s="59"/>
      <c r="X1351" s="59"/>
      <c r="Y1351" s="59"/>
      <c r="Z1351" s="59"/>
    </row>
    <row r="1352" ht="30.0" customHeight="1">
      <c r="A1352" s="68"/>
      <c r="B1352" s="86">
        <v>1366.0</v>
      </c>
      <c r="C1352" s="68"/>
      <c r="D1352" s="87" t="str">
        <f>CONCATENATE(PROPER('BIÑAN INFO'!$G1352),", ",PROPER('BIÑAN INFO'!$E1352)," ",PROPER('BIÑAN INFO'!$F1352),"."," (",UPPER('BIÑAN INFO'!$H1352),")")</f>
        <v>,  . ()</v>
      </c>
      <c r="E1352" s="87"/>
      <c r="F1352" s="87"/>
      <c r="G1352" s="87"/>
      <c r="H1352" s="87"/>
      <c r="I1352" s="71">
        <v>0.12</v>
      </c>
      <c r="J1352" s="72">
        <v>1000.0</v>
      </c>
      <c r="K1352" s="89"/>
      <c r="L1352" s="89"/>
      <c r="M1352" s="89"/>
      <c r="N1352" s="90"/>
      <c r="O1352" s="59"/>
      <c r="P1352" s="59"/>
      <c r="Q1352" s="59"/>
      <c r="R1352" s="59"/>
      <c r="S1352" s="59"/>
      <c r="T1352" s="59"/>
      <c r="U1352" s="59"/>
      <c r="V1352" s="59"/>
      <c r="W1352" s="59"/>
      <c r="X1352" s="59"/>
      <c r="Y1352" s="59"/>
      <c r="Z1352" s="59"/>
    </row>
    <row r="1353" ht="30.0" customHeight="1">
      <c r="A1353" s="68"/>
      <c r="B1353" s="86">
        <v>1367.0</v>
      </c>
      <c r="C1353" s="68"/>
      <c r="D1353" s="87" t="str">
        <f>CONCATENATE(PROPER('BIÑAN INFO'!$G1353),", ",PROPER('BIÑAN INFO'!$E1353)," ",PROPER('BIÑAN INFO'!$F1353),"."," (",UPPER('BIÑAN INFO'!$H1353),")")</f>
        <v>Andallon, Cathlyn C. ()</v>
      </c>
      <c r="E1353" s="87" t="s">
        <v>755</v>
      </c>
      <c r="F1353" s="87" t="s">
        <v>318</v>
      </c>
      <c r="G1353" s="87" t="s">
        <v>756</v>
      </c>
      <c r="H1353" s="87"/>
      <c r="I1353" s="71">
        <v>0.12</v>
      </c>
      <c r="J1353" s="72">
        <v>1000.0</v>
      </c>
      <c r="K1353" s="89"/>
      <c r="L1353" s="89"/>
      <c r="M1353" s="89"/>
      <c r="N1353" s="90"/>
      <c r="O1353" s="59"/>
      <c r="P1353" s="59"/>
      <c r="Q1353" s="59"/>
      <c r="R1353" s="59"/>
      <c r="S1353" s="59"/>
      <c r="T1353" s="59"/>
      <c r="U1353" s="59"/>
      <c r="V1353" s="59"/>
      <c r="W1353" s="59"/>
      <c r="X1353" s="59"/>
      <c r="Y1353" s="59"/>
      <c r="Z1353" s="59"/>
    </row>
    <row r="1354" ht="30.0" customHeight="1">
      <c r="A1354" s="68"/>
      <c r="B1354" s="86">
        <v>1368.0</v>
      </c>
      <c r="C1354" s="68"/>
      <c r="D1354" s="87" t="str">
        <f>CONCATENATE(PROPER('BIÑAN INFO'!$G1354),", ",PROPER('BIÑAN INFO'!$E1354)," ",PROPER('BIÑAN INFO'!$F1354),"."," (",UPPER('BIÑAN INFO'!$H1354),")")</f>
        <v>,  . ()</v>
      </c>
      <c r="E1354" s="87"/>
      <c r="F1354" s="87"/>
      <c r="G1354" s="87"/>
      <c r="H1354" s="87"/>
      <c r="I1354" s="71">
        <v>0.05</v>
      </c>
      <c r="J1354" s="72">
        <v>1000.0</v>
      </c>
      <c r="K1354" s="89" t="s">
        <v>50</v>
      </c>
      <c r="L1354" s="89"/>
      <c r="M1354" s="89"/>
      <c r="N1354" s="90"/>
      <c r="O1354" s="59"/>
      <c r="P1354" s="59"/>
      <c r="Q1354" s="59"/>
      <c r="R1354" s="59"/>
      <c r="S1354" s="59"/>
      <c r="T1354" s="59"/>
      <c r="U1354" s="59"/>
      <c r="V1354" s="59"/>
      <c r="W1354" s="59"/>
      <c r="X1354" s="59"/>
      <c r="Y1354" s="59"/>
      <c r="Z1354" s="59"/>
    </row>
    <row r="1355" ht="30.0" customHeight="1">
      <c r="A1355" s="68"/>
      <c r="B1355" s="86">
        <v>1369.0</v>
      </c>
      <c r="C1355" s="68"/>
      <c r="D1355" s="87" t="str">
        <f>CONCATENATE(PROPER('BIÑAN INFO'!$G1355),", ",PROPER('BIÑAN INFO'!$E1355)," ",PROPER('BIÑAN INFO'!$F1355),"."," (",UPPER('BIÑAN INFO'!$H1355),")")</f>
        <v>Pilar, Venus . ()</v>
      </c>
      <c r="E1355" s="87" t="s">
        <v>203</v>
      </c>
      <c r="F1355" s="87"/>
      <c r="G1355" s="87" t="s">
        <v>757</v>
      </c>
      <c r="H1355" s="87"/>
      <c r="I1355" s="71">
        <v>0.05</v>
      </c>
      <c r="J1355" s="72">
        <v>1000.0</v>
      </c>
      <c r="K1355" s="89" t="s">
        <v>50</v>
      </c>
      <c r="L1355" s="89"/>
      <c r="M1355" s="89"/>
      <c r="N1355" s="90"/>
      <c r="O1355" s="59"/>
      <c r="P1355" s="59"/>
      <c r="Q1355" s="59"/>
      <c r="R1355" s="59"/>
      <c r="S1355" s="59"/>
      <c r="T1355" s="59"/>
      <c r="U1355" s="59"/>
      <c r="V1355" s="59"/>
      <c r="W1355" s="59"/>
      <c r="X1355" s="59"/>
      <c r="Y1355" s="59"/>
      <c r="Z1355" s="59"/>
    </row>
    <row r="1356" ht="30.0" customHeight="1">
      <c r="A1356" s="68"/>
      <c r="B1356" s="86">
        <v>1370.0</v>
      </c>
      <c r="C1356" s="68"/>
      <c r="D1356" s="87" t="str">
        <f>CONCATENATE(PROPER('BIÑAN INFO'!$G1356),", ",PROPER('BIÑAN INFO'!$E1356)," ",PROPER('BIÑAN INFO'!$F1356),"."," (",UPPER('BIÑAN INFO'!$H1356),")")</f>
        <v>Ignacio, Lito . ()</v>
      </c>
      <c r="E1356" s="87" t="s">
        <v>758</v>
      </c>
      <c r="F1356" s="87"/>
      <c r="G1356" s="87" t="s">
        <v>333</v>
      </c>
      <c r="H1356" s="87"/>
      <c r="I1356" s="71">
        <v>0.05</v>
      </c>
      <c r="J1356" s="72">
        <v>1000.0</v>
      </c>
      <c r="K1356" s="89" t="s">
        <v>50</v>
      </c>
      <c r="L1356" s="89" t="s">
        <v>480</v>
      </c>
      <c r="M1356" s="89">
        <v>2020.0</v>
      </c>
      <c r="N1356" s="90"/>
      <c r="O1356" s="59"/>
      <c r="P1356" s="59"/>
      <c r="Q1356" s="59"/>
      <c r="R1356" s="59"/>
      <c r="S1356" s="59"/>
      <c r="T1356" s="59"/>
      <c r="U1356" s="59"/>
      <c r="V1356" s="59"/>
      <c r="W1356" s="59"/>
      <c r="X1356" s="59"/>
      <c r="Y1356" s="59"/>
      <c r="Z1356" s="59"/>
    </row>
    <row r="1357" ht="30.0" customHeight="1">
      <c r="A1357" s="68"/>
      <c r="B1357" s="86">
        <v>1371.0</v>
      </c>
      <c r="C1357" s="68"/>
      <c r="D1357" s="87" t="str">
        <f>CONCATENATE(PROPER('BIÑAN INFO'!$G1357),", ",PROPER('BIÑAN INFO'!$E1357)," ",PROPER('BIÑAN INFO'!$F1357),"."," (",UPPER('BIÑAN INFO'!$H1357),")")</f>
        <v>Elynardo, Jeross . ()</v>
      </c>
      <c r="E1357" s="87" t="s">
        <v>759</v>
      </c>
      <c r="F1357" s="87"/>
      <c r="G1357" s="87" t="s">
        <v>760</v>
      </c>
      <c r="H1357" s="87"/>
      <c r="I1357" s="71">
        <v>0.05</v>
      </c>
      <c r="J1357" s="72">
        <v>1000.0</v>
      </c>
      <c r="K1357" s="89"/>
      <c r="L1357" s="89"/>
      <c r="M1357" s="89"/>
      <c r="N1357" s="90"/>
      <c r="O1357" s="59"/>
      <c r="P1357" s="59"/>
      <c r="Q1357" s="59"/>
      <c r="R1357" s="59"/>
      <c r="S1357" s="59"/>
      <c r="T1357" s="59"/>
      <c r="U1357" s="59"/>
      <c r="V1357" s="59"/>
      <c r="W1357" s="59"/>
      <c r="X1357" s="59"/>
      <c r="Y1357" s="59"/>
      <c r="Z1357" s="59"/>
    </row>
    <row r="1358" ht="30.0" customHeight="1">
      <c r="A1358" s="68"/>
      <c r="B1358" s="86">
        <v>1372.0</v>
      </c>
      <c r="C1358" s="68"/>
      <c r="D1358" s="87" t="str">
        <f>CONCATENATE(PROPER('BIÑAN INFO'!$G1358),", ",PROPER('BIÑAN INFO'!$E1358)," ",PROPER('BIÑAN INFO'!$F1358),"."," (",UPPER('BIÑAN INFO'!$H1358),")")</f>
        <v>Fernandez, Aquilino . ()</v>
      </c>
      <c r="E1358" s="87" t="s">
        <v>761</v>
      </c>
      <c r="F1358" s="87"/>
      <c r="G1358" s="87" t="s">
        <v>762</v>
      </c>
      <c r="H1358" s="87"/>
      <c r="I1358" s="71">
        <v>0.05</v>
      </c>
      <c r="J1358" s="72">
        <v>1000.0</v>
      </c>
      <c r="K1358" s="89" t="s">
        <v>50</v>
      </c>
      <c r="L1358" s="89" t="s">
        <v>465</v>
      </c>
      <c r="M1358" s="89">
        <v>2022.0</v>
      </c>
      <c r="N1358" s="90"/>
      <c r="O1358" s="59"/>
      <c r="P1358" s="59"/>
      <c r="Q1358" s="59"/>
      <c r="R1358" s="59"/>
      <c r="S1358" s="59"/>
      <c r="T1358" s="59"/>
      <c r="U1358" s="59"/>
      <c r="V1358" s="59"/>
      <c r="W1358" s="59"/>
      <c r="X1358" s="59"/>
      <c r="Y1358" s="59"/>
      <c r="Z1358" s="59"/>
    </row>
    <row r="1359" ht="30.0" customHeight="1">
      <c r="A1359" s="68"/>
      <c r="B1359" s="86">
        <v>1373.0</v>
      </c>
      <c r="C1359" s="68"/>
      <c r="D1359" s="87" t="str">
        <f>CONCATENATE(PROPER('BIÑAN INFO'!$G1359),", ",PROPER('BIÑAN INFO'!$E1359)," ",PROPER('BIÑAN INFO'!$F1359),"."," (",UPPER('BIÑAN INFO'!$H1359),")")</f>
        <v>,  . ()</v>
      </c>
      <c r="E1359" s="87"/>
      <c r="F1359" s="87"/>
      <c r="G1359" s="87"/>
      <c r="H1359" s="87"/>
      <c r="I1359" s="71">
        <v>0.05</v>
      </c>
      <c r="J1359" s="72">
        <v>1000.0</v>
      </c>
      <c r="K1359" s="89" t="s">
        <v>50</v>
      </c>
      <c r="L1359" s="89"/>
      <c r="M1359" s="89"/>
      <c r="N1359" s="90"/>
      <c r="O1359" s="59"/>
      <c r="P1359" s="59"/>
      <c r="Q1359" s="59"/>
      <c r="R1359" s="59"/>
      <c r="S1359" s="59"/>
      <c r="T1359" s="59"/>
      <c r="U1359" s="59"/>
      <c r="V1359" s="59"/>
      <c r="W1359" s="59"/>
      <c r="X1359" s="59"/>
      <c r="Y1359" s="59"/>
      <c r="Z1359" s="59"/>
    </row>
    <row r="1360" ht="30.0" customHeight="1">
      <c r="A1360" s="68"/>
      <c r="B1360" s="86">
        <v>1374.0</v>
      </c>
      <c r="C1360" s="68"/>
      <c r="D1360" s="87" t="str">
        <f>CONCATENATE(PROPER('BIÑAN INFO'!$G1360),", ",PROPER('BIÑAN INFO'!$E1360)," ",PROPER('BIÑAN INFO'!$F1360),"."," (",UPPER('BIÑAN INFO'!$H1360),")")</f>
        <v>,  . ()</v>
      </c>
      <c r="E1360" s="87"/>
      <c r="F1360" s="87"/>
      <c r="G1360" s="87"/>
      <c r="H1360" s="87"/>
      <c r="I1360" s="71">
        <v>0.12</v>
      </c>
      <c r="J1360" s="72">
        <v>1000.0</v>
      </c>
      <c r="K1360" s="89"/>
      <c r="L1360" s="89"/>
      <c r="M1360" s="89"/>
      <c r="N1360" s="90"/>
      <c r="O1360" s="59"/>
      <c r="P1360" s="59"/>
      <c r="Q1360" s="59"/>
      <c r="R1360" s="59"/>
      <c r="S1360" s="59"/>
      <c r="T1360" s="59"/>
      <c r="U1360" s="59"/>
      <c r="V1360" s="59"/>
      <c r="W1360" s="59"/>
      <c r="X1360" s="59"/>
      <c r="Y1360" s="59"/>
      <c r="Z1360" s="59"/>
    </row>
    <row r="1361" ht="30.0" customHeight="1">
      <c r="A1361" s="68"/>
      <c r="B1361" s="86">
        <v>1375.0</v>
      </c>
      <c r="C1361" s="68"/>
      <c r="D1361" s="87" t="str">
        <f>CONCATENATE(PROPER('BIÑAN INFO'!$G1361),", ",PROPER('BIÑAN INFO'!$E1361)," ",PROPER('BIÑAN INFO'!$F1361),"."," (",UPPER('BIÑAN INFO'!$H1361),")")</f>
        <v>,  . ()</v>
      </c>
      <c r="E1361" s="87"/>
      <c r="F1361" s="87"/>
      <c r="G1361" s="87"/>
      <c r="H1361" s="87"/>
      <c r="I1361" s="71">
        <v>0.05</v>
      </c>
      <c r="J1361" s="72">
        <v>1000.0</v>
      </c>
      <c r="K1361" s="89" t="s">
        <v>50</v>
      </c>
      <c r="L1361" s="89"/>
      <c r="M1361" s="89"/>
      <c r="N1361" s="90"/>
      <c r="O1361" s="59"/>
      <c r="P1361" s="59"/>
      <c r="Q1361" s="59"/>
      <c r="R1361" s="59"/>
      <c r="S1361" s="59"/>
      <c r="T1361" s="59"/>
      <c r="U1361" s="59"/>
      <c r="V1361" s="59"/>
      <c r="W1361" s="59"/>
      <c r="X1361" s="59"/>
      <c r="Y1361" s="59"/>
      <c r="Z1361" s="59"/>
    </row>
    <row r="1362" ht="30.0" customHeight="1">
      <c r="A1362" s="68"/>
      <c r="B1362" s="86">
        <v>1376.0</v>
      </c>
      <c r="C1362" s="68"/>
      <c r="D1362" s="87" t="str">
        <f>CONCATENATE(PROPER('BIÑAN INFO'!$G1362),", ",PROPER('BIÑAN INFO'!$E1362)," ",PROPER('BIÑAN INFO'!$F1362),"."," (",UPPER('BIÑAN INFO'!$H1362),")")</f>
        <v>Lara, Erlie . ()</v>
      </c>
      <c r="E1362" s="87" t="s">
        <v>763</v>
      </c>
      <c r="F1362" s="87"/>
      <c r="G1362" s="87" t="s">
        <v>764</v>
      </c>
      <c r="H1362" s="87"/>
      <c r="I1362" s="71">
        <v>0.12</v>
      </c>
      <c r="J1362" s="72">
        <v>1000.0</v>
      </c>
      <c r="K1362" s="89"/>
      <c r="L1362" s="89"/>
      <c r="M1362" s="89"/>
      <c r="N1362" s="90"/>
      <c r="O1362" s="59"/>
      <c r="P1362" s="59"/>
      <c r="Q1362" s="59"/>
      <c r="R1362" s="59"/>
      <c r="S1362" s="59"/>
      <c r="T1362" s="59"/>
      <c r="U1362" s="59"/>
      <c r="V1362" s="59"/>
      <c r="W1362" s="59"/>
      <c r="X1362" s="59"/>
      <c r="Y1362" s="59"/>
      <c r="Z1362" s="59"/>
    </row>
    <row r="1363" ht="30.0" customHeight="1">
      <c r="A1363" s="68"/>
      <c r="B1363" s="86">
        <v>1377.0</v>
      </c>
      <c r="C1363" s="68"/>
      <c r="D1363" s="87" t="str">
        <f>CONCATENATE(PROPER('BIÑAN INFO'!$G1363),", ",PROPER('BIÑAN INFO'!$E1363)," ",PROPER('BIÑAN INFO'!$F1363),"."," (",UPPER('BIÑAN INFO'!$H1363),")")</f>
        <v>,  . ()</v>
      </c>
      <c r="E1363" s="87"/>
      <c r="F1363" s="87"/>
      <c r="G1363" s="87"/>
      <c r="H1363" s="87"/>
      <c r="I1363" s="71">
        <v>0.12</v>
      </c>
      <c r="J1363" s="72">
        <v>1000.0</v>
      </c>
      <c r="K1363" s="89"/>
      <c r="L1363" s="89"/>
      <c r="M1363" s="89"/>
      <c r="N1363" s="90"/>
      <c r="O1363" s="59"/>
      <c r="P1363" s="59"/>
      <c r="Q1363" s="59"/>
      <c r="R1363" s="59"/>
      <c r="S1363" s="59"/>
      <c r="T1363" s="59"/>
      <c r="U1363" s="59"/>
      <c r="V1363" s="59"/>
      <c r="W1363" s="59"/>
      <c r="X1363" s="59"/>
      <c r="Y1363" s="59"/>
      <c r="Z1363" s="59"/>
    </row>
    <row r="1364" ht="30.0" customHeight="1">
      <c r="A1364" s="68"/>
      <c r="B1364" s="86">
        <v>1378.0</v>
      </c>
      <c r="C1364" s="68"/>
      <c r="D1364" s="87" t="str">
        <f>CONCATENATE(PROPER('BIÑAN INFO'!$G1364),", ",PROPER('BIÑAN INFO'!$E1364)," ",PROPER('BIÑAN INFO'!$F1364),"."," (",UPPER('BIÑAN INFO'!$H1364),")")</f>
        <v>Olanio, Ma Luzzette M. ()</v>
      </c>
      <c r="E1364" s="87" t="s">
        <v>765</v>
      </c>
      <c r="F1364" s="87" t="s">
        <v>587</v>
      </c>
      <c r="G1364" s="87" t="s">
        <v>766</v>
      </c>
      <c r="H1364" s="87"/>
      <c r="I1364" s="71">
        <v>0.05</v>
      </c>
      <c r="J1364" s="72">
        <v>1000.0</v>
      </c>
      <c r="K1364" s="89" t="s">
        <v>50</v>
      </c>
      <c r="L1364" s="89"/>
      <c r="M1364" s="89"/>
      <c r="N1364" s="90"/>
      <c r="O1364" s="59"/>
      <c r="P1364" s="59"/>
      <c r="Q1364" s="59"/>
      <c r="R1364" s="59"/>
      <c r="S1364" s="59"/>
      <c r="T1364" s="59"/>
      <c r="U1364" s="59"/>
      <c r="V1364" s="59"/>
      <c r="W1364" s="59"/>
      <c r="X1364" s="59"/>
      <c r="Y1364" s="59"/>
      <c r="Z1364" s="59"/>
    </row>
    <row r="1365" ht="30.0" customHeight="1">
      <c r="A1365" s="68"/>
      <c r="B1365" s="86">
        <v>1379.0</v>
      </c>
      <c r="C1365" s="68"/>
      <c r="D1365" s="87" t="str">
        <f>CONCATENATE(PROPER('BIÑAN INFO'!$G1365),", ",PROPER('BIÑAN INFO'!$E1365)," ",PROPER('BIÑAN INFO'!$F1365),"."," (",UPPER('BIÑAN INFO'!$H1365),")")</f>
        <v>Ignacio, Thelma I. ()</v>
      </c>
      <c r="E1365" s="87" t="s">
        <v>542</v>
      </c>
      <c r="F1365" s="87" t="s">
        <v>767</v>
      </c>
      <c r="G1365" s="87" t="s">
        <v>333</v>
      </c>
      <c r="H1365" s="87"/>
      <c r="I1365" s="71">
        <v>0.12</v>
      </c>
      <c r="J1365" s="72">
        <v>1000.0</v>
      </c>
      <c r="K1365" s="89"/>
      <c r="L1365" s="89"/>
      <c r="M1365" s="89"/>
      <c r="N1365" s="90"/>
      <c r="O1365" s="59"/>
      <c r="P1365" s="59"/>
      <c r="Q1365" s="59"/>
      <c r="R1365" s="59"/>
      <c r="S1365" s="59"/>
      <c r="T1365" s="59"/>
      <c r="U1365" s="59"/>
      <c r="V1365" s="59"/>
      <c r="W1365" s="59"/>
      <c r="X1365" s="59"/>
      <c r="Y1365" s="59"/>
      <c r="Z1365" s="59"/>
    </row>
    <row r="1366" ht="30.0" customHeight="1">
      <c r="A1366" s="68"/>
      <c r="B1366" s="86">
        <v>1380.0</v>
      </c>
      <c r="C1366" s="68"/>
      <c r="D1366" s="87" t="str">
        <f>CONCATENATE(PROPER('BIÑAN INFO'!$G1366),", ",PROPER('BIÑAN INFO'!$E1366)," ",PROPER('BIÑAN INFO'!$F1366),"."," (",UPPER('BIÑAN INFO'!$H1366),")")</f>
        <v>,  . ()</v>
      </c>
      <c r="E1366" s="87"/>
      <c r="F1366" s="87"/>
      <c r="G1366" s="87"/>
      <c r="H1366" s="87"/>
      <c r="I1366" s="71">
        <v>0.12</v>
      </c>
      <c r="J1366" s="72">
        <v>1000.0</v>
      </c>
      <c r="K1366" s="89"/>
      <c r="L1366" s="89"/>
      <c r="M1366" s="89"/>
      <c r="N1366" s="90"/>
      <c r="O1366" s="59"/>
      <c r="P1366" s="59"/>
      <c r="Q1366" s="59"/>
      <c r="R1366" s="59"/>
      <c r="S1366" s="59"/>
      <c r="T1366" s="59"/>
      <c r="U1366" s="59"/>
      <c r="V1366" s="59"/>
      <c r="W1366" s="59"/>
      <c r="X1366" s="59"/>
      <c r="Y1366" s="59"/>
      <c r="Z1366" s="59"/>
    </row>
    <row r="1367" ht="30.0" customHeight="1">
      <c r="A1367" s="68"/>
      <c r="B1367" s="86">
        <v>1381.0</v>
      </c>
      <c r="C1367" s="68"/>
      <c r="D1367" s="87" t="str">
        <f>CONCATENATE(PROPER('BIÑAN INFO'!$G1367),", ",PROPER('BIÑAN INFO'!$E1367)," ",PROPER('BIÑAN INFO'!$F1367),"."," (",UPPER('BIÑAN INFO'!$H1367),")")</f>
        <v>,  . ()</v>
      </c>
      <c r="E1367" s="87"/>
      <c r="F1367" s="87"/>
      <c r="G1367" s="87"/>
      <c r="H1367" s="87"/>
      <c r="I1367" s="71">
        <v>0.12</v>
      </c>
      <c r="J1367" s="72">
        <v>1000.0</v>
      </c>
      <c r="K1367" s="89"/>
      <c r="L1367" s="89"/>
      <c r="M1367" s="89"/>
      <c r="N1367" s="90"/>
      <c r="O1367" s="59"/>
      <c r="P1367" s="59"/>
      <c r="Q1367" s="59"/>
      <c r="R1367" s="59"/>
      <c r="S1367" s="59"/>
      <c r="T1367" s="59"/>
      <c r="U1367" s="59"/>
      <c r="V1367" s="59"/>
      <c r="W1367" s="59"/>
      <c r="X1367" s="59"/>
      <c r="Y1367" s="59"/>
      <c r="Z1367" s="59"/>
    </row>
    <row r="1368" ht="30.0" customHeight="1">
      <c r="A1368" s="68"/>
      <c r="B1368" s="86">
        <v>1382.0</v>
      </c>
      <c r="C1368" s="68"/>
      <c r="D1368" s="87" t="str">
        <f>CONCATENATE(PROPER('BIÑAN INFO'!$G1368),", ",PROPER('BIÑAN INFO'!$E1368)," ",PROPER('BIÑAN INFO'!$F1368),"."," (",UPPER('BIÑAN INFO'!$H1368),")")</f>
        <v>Seña, Romer . ()</v>
      </c>
      <c r="E1368" s="87" t="s">
        <v>768</v>
      </c>
      <c r="F1368" s="87"/>
      <c r="G1368" s="87" t="s">
        <v>769</v>
      </c>
      <c r="H1368" s="87"/>
      <c r="I1368" s="71">
        <v>0.12</v>
      </c>
      <c r="J1368" s="72">
        <v>1000.0</v>
      </c>
      <c r="K1368" s="89"/>
      <c r="L1368" s="89"/>
      <c r="M1368" s="89"/>
      <c r="N1368" s="90"/>
      <c r="O1368" s="59"/>
      <c r="P1368" s="59"/>
      <c r="Q1368" s="59"/>
      <c r="R1368" s="59"/>
      <c r="S1368" s="59"/>
      <c r="T1368" s="59"/>
      <c r="U1368" s="59"/>
      <c r="V1368" s="59"/>
      <c r="W1368" s="59"/>
      <c r="X1368" s="59"/>
      <c r="Y1368" s="59"/>
      <c r="Z1368" s="59"/>
    </row>
    <row r="1369" ht="30.0" customHeight="1">
      <c r="A1369" s="68"/>
      <c r="B1369" s="86">
        <v>1383.0</v>
      </c>
      <c r="C1369" s="68"/>
      <c r="D1369" s="87" t="str">
        <f>CONCATENATE(PROPER('BIÑAN INFO'!$G1369),", ",PROPER('BIÑAN INFO'!$E1369)," ",PROPER('BIÑAN INFO'!$F1369),"."," (",UPPER('BIÑAN INFO'!$H1369),")")</f>
        <v>Barias, Julieta R. ()</v>
      </c>
      <c r="E1369" s="87" t="s">
        <v>280</v>
      </c>
      <c r="F1369" s="87" t="s">
        <v>260</v>
      </c>
      <c r="G1369" s="87" t="s">
        <v>770</v>
      </c>
      <c r="H1369" s="87"/>
      <c r="I1369" s="71">
        <v>0.12</v>
      </c>
      <c r="J1369" s="72">
        <v>1000.0</v>
      </c>
      <c r="K1369" s="89"/>
      <c r="L1369" s="89"/>
      <c r="M1369" s="89"/>
      <c r="N1369" s="90"/>
      <c r="O1369" s="59"/>
      <c r="P1369" s="59"/>
      <c r="Q1369" s="59"/>
      <c r="R1369" s="59"/>
      <c r="S1369" s="59"/>
      <c r="T1369" s="59"/>
      <c r="U1369" s="59"/>
      <c r="V1369" s="59"/>
      <c r="W1369" s="59"/>
      <c r="X1369" s="59"/>
      <c r="Y1369" s="59"/>
      <c r="Z1369" s="59"/>
    </row>
    <row r="1370" ht="30.0" customHeight="1">
      <c r="A1370" s="68"/>
      <c r="B1370" s="86">
        <v>1384.0</v>
      </c>
      <c r="C1370" s="68"/>
      <c r="D1370" s="87" t="str">
        <f>CONCATENATE(PROPER('BIÑAN INFO'!$G1370),", ",PROPER('BIÑAN INFO'!$E1370)," ",PROPER('BIÑAN INFO'!$F1370),"."," (",UPPER('BIÑAN INFO'!$H1370),")")</f>
        <v>Isleti, Julius . ()</v>
      </c>
      <c r="E1370" s="87" t="s">
        <v>771</v>
      </c>
      <c r="F1370" s="87"/>
      <c r="G1370" s="87" t="s">
        <v>772</v>
      </c>
      <c r="H1370" s="87"/>
      <c r="I1370" s="71">
        <v>0.12</v>
      </c>
      <c r="J1370" s="72">
        <v>1000.0</v>
      </c>
      <c r="K1370" s="89"/>
      <c r="L1370" s="89"/>
      <c r="M1370" s="89"/>
      <c r="N1370" s="90"/>
      <c r="O1370" s="59"/>
      <c r="P1370" s="59"/>
      <c r="Q1370" s="59"/>
      <c r="R1370" s="59"/>
      <c r="S1370" s="59"/>
      <c r="T1370" s="59"/>
      <c r="U1370" s="59"/>
      <c r="V1370" s="59"/>
      <c r="W1370" s="59"/>
      <c r="X1370" s="59"/>
      <c r="Y1370" s="59"/>
      <c r="Z1370" s="59"/>
    </row>
    <row r="1371" ht="30.0" customHeight="1">
      <c r="A1371" s="68"/>
      <c r="B1371" s="86">
        <v>1385.0</v>
      </c>
      <c r="C1371" s="68"/>
      <c r="D1371" s="87" t="str">
        <f>CONCATENATE(PROPER('BIÑAN INFO'!$G1371),", ",PROPER('BIÑAN INFO'!$E1371)," ",PROPER('BIÑAN INFO'!$F1371),"."," (",UPPER('BIÑAN INFO'!$H1371),")")</f>
        <v>Nicolasa, Felipe . ()</v>
      </c>
      <c r="E1371" s="87" t="s">
        <v>184</v>
      </c>
      <c r="F1371" s="87"/>
      <c r="G1371" s="87" t="s">
        <v>773</v>
      </c>
      <c r="H1371" s="87"/>
      <c r="I1371" s="71">
        <v>0.12</v>
      </c>
      <c r="J1371" s="72">
        <v>1000.0</v>
      </c>
      <c r="K1371" s="89"/>
      <c r="L1371" s="89"/>
      <c r="M1371" s="89"/>
      <c r="N1371" s="90"/>
      <c r="O1371" s="59"/>
      <c r="P1371" s="59"/>
      <c r="Q1371" s="59"/>
      <c r="R1371" s="59"/>
      <c r="S1371" s="59"/>
      <c r="T1371" s="59"/>
      <c r="U1371" s="59"/>
      <c r="V1371" s="59"/>
      <c r="W1371" s="59"/>
      <c r="X1371" s="59"/>
      <c r="Y1371" s="59"/>
      <c r="Z1371" s="59"/>
    </row>
    <row r="1372" ht="30.0" customHeight="1">
      <c r="A1372" s="68"/>
      <c r="B1372" s="86">
        <v>1386.0</v>
      </c>
      <c r="C1372" s="68"/>
      <c r="D1372" s="87" t="str">
        <f>CONCATENATE(PROPER('BIÑAN INFO'!$G1372),", ",PROPER('BIÑAN INFO'!$E1372)," ",PROPER('BIÑAN INFO'!$F1372),"."," (",UPPER('BIÑAN INFO'!$H1372),")")</f>
        <v>Mendoza, Ronnel . ()</v>
      </c>
      <c r="E1372" s="87" t="s">
        <v>774</v>
      </c>
      <c r="F1372" s="87"/>
      <c r="G1372" s="87" t="s">
        <v>775</v>
      </c>
      <c r="H1372" s="87"/>
      <c r="I1372" s="71">
        <v>0.12</v>
      </c>
      <c r="J1372" s="72">
        <v>1000.0</v>
      </c>
      <c r="K1372" s="89"/>
      <c r="L1372" s="89"/>
      <c r="M1372" s="89"/>
      <c r="N1372" s="90"/>
      <c r="O1372" s="59"/>
      <c r="P1372" s="59"/>
      <c r="Q1372" s="59"/>
      <c r="R1372" s="59"/>
      <c r="S1372" s="59"/>
      <c r="T1372" s="59"/>
      <c r="U1372" s="59"/>
      <c r="V1372" s="59"/>
      <c r="W1372" s="59"/>
      <c r="X1372" s="59"/>
      <c r="Y1372" s="59"/>
      <c r="Z1372" s="59"/>
    </row>
    <row r="1373" ht="30.0" customHeight="1">
      <c r="A1373" s="68"/>
      <c r="B1373" s="86">
        <v>1387.0</v>
      </c>
      <c r="C1373" s="68"/>
      <c r="D1373" s="87" t="str">
        <f>CONCATENATE(PROPER('BIÑAN INFO'!$G1373),", ",PROPER('BIÑAN INFO'!$E1373)," ",PROPER('BIÑAN INFO'!$F1373),"."," (",UPPER('BIÑAN INFO'!$H1373),")")</f>
        <v>,  . ()</v>
      </c>
      <c r="E1373" s="87"/>
      <c r="F1373" s="87"/>
      <c r="G1373" s="87"/>
      <c r="H1373" s="87"/>
      <c r="I1373" s="71">
        <v>0.12</v>
      </c>
      <c r="J1373" s="72">
        <v>1000.0</v>
      </c>
      <c r="K1373" s="89"/>
      <c r="L1373" s="89"/>
      <c r="M1373" s="89"/>
      <c r="N1373" s="90"/>
      <c r="O1373" s="59"/>
      <c r="P1373" s="59"/>
      <c r="Q1373" s="59"/>
      <c r="R1373" s="59"/>
      <c r="S1373" s="59"/>
      <c r="T1373" s="59"/>
      <c r="U1373" s="59"/>
      <c r="V1373" s="59"/>
      <c r="W1373" s="59"/>
      <c r="X1373" s="59"/>
      <c r="Y1373" s="59"/>
      <c r="Z1373" s="59"/>
    </row>
    <row r="1374" ht="30.0" customHeight="1">
      <c r="A1374" s="68"/>
      <c r="B1374" s="86">
        <v>1388.0</v>
      </c>
      <c r="C1374" s="68"/>
      <c r="D1374" s="87" t="str">
        <f>CONCATENATE(PROPER('BIÑAN INFO'!$G1374),", ",PROPER('BIÑAN INFO'!$E1374)," ",PROPER('BIÑAN INFO'!$F1374),"."," (",UPPER('BIÑAN INFO'!$H1374),")")</f>
        <v>Cube, Avanelle B. ()</v>
      </c>
      <c r="E1374" s="87" t="s">
        <v>776</v>
      </c>
      <c r="F1374" s="87" t="s">
        <v>627</v>
      </c>
      <c r="G1374" s="87" t="s">
        <v>777</v>
      </c>
      <c r="H1374" s="87"/>
      <c r="I1374" s="71">
        <v>0.12</v>
      </c>
      <c r="J1374" s="72">
        <v>1000.0</v>
      </c>
      <c r="K1374" s="89"/>
      <c r="L1374" s="89"/>
      <c r="M1374" s="89"/>
      <c r="N1374" s="90"/>
      <c r="O1374" s="59"/>
      <c r="P1374" s="59"/>
      <c r="Q1374" s="59"/>
      <c r="R1374" s="59"/>
      <c r="S1374" s="59"/>
      <c r="T1374" s="59"/>
      <c r="U1374" s="59"/>
      <c r="V1374" s="59"/>
      <c r="W1374" s="59"/>
      <c r="X1374" s="59"/>
      <c r="Y1374" s="59"/>
      <c r="Z1374" s="59"/>
    </row>
    <row r="1375" ht="30.0" customHeight="1">
      <c r="A1375" s="68"/>
      <c r="B1375" s="86">
        <v>1389.0</v>
      </c>
      <c r="C1375" s="68"/>
      <c r="D1375" s="87" t="str">
        <f>CONCATENATE(PROPER('BIÑAN INFO'!$G1375),", ",PROPER('BIÑAN INFO'!$E1375)," ",PROPER('BIÑAN INFO'!$F1375),"."," (",UPPER('BIÑAN INFO'!$H1375),")")</f>
        <v>Daquilos, Edwin . ()</v>
      </c>
      <c r="E1375" s="87" t="s">
        <v>424</v>
      </c>
      <c r="F1375" s="87"/>
      <c r="G1375" s="87" t="s">
        <v>702</v>
      </c>
      <c r="H1375" s="87"/>
      <c r="I1375" s="71">
        <v>0.12</v>
      </c>
      <c r="J1375" s="72">
        <v>1000.0</v>
      </c>
      <c r="K1375" s="89"/>
      <c r="L1375" s="89"/>
      <c r="M1375" s="89"/>
      <c r="N1375" s="90"/>
      <c r="O1375" s="59"/>
      <c r="P1375" s="59"/>
      <c r="Q1375" s="59"/>
      <c r="R1375" s="59"/>
      <c r="S1375" s="59"/>
      <c r="T1375" s="59"/>
      <c r="U1375" s="59"/>
      <c r="V1375" s="59"/>
      <c r="W1375" s="59"/>
      <c r="X1375" s="59"/>
      <c r="Y1375" s="59"/>
      <c r="Z1375" s="59"/>
    </row>
    <row r="1376" ht="30.0" customHeight="1">
      <c r="A1376" s="68"/>
      <c r="B1376" s="86">
        <v>1390.0</v>
      </c>
      <c r="C1376" s="68"/>
      <c r="D1376" s="87" t="str">
        <f>CONCATENATE(PROPER('BIÑAN INFO'!$G1376),", ",PROPER('BIÑAN INFO'!$E1376)," ",PROPER('BIÑAN INFO'!$F1376),"."," (",UPPER('BIÑAN INFO'!$H1376),")")</f>
        <v>Gueverra, Dick . ()</v>
      </c>
      <c r="E1376" s="87" t="s">
        <v>778</v>
      </c>
      <c r="F1376" s="87"/>
      <c r="G1376" s="87" t="s">
        <v>779</v>
      </c>
      <c r="H1376" s="87"/>
      <c r="I1376" s="71">
        <v>0.12</v>
      </c>
      <c r="J1376" s="72">
        <v>1000.0</v>
      </c>
      <c r="K1376" s="89"/>
      <c r="L1376" s="89"/>
      <c r="M1376" s="89"/>
      <c r="N1376" s="90"/>
      <c r="O1376" s="59"/>
      <c r="P1376" s="59"/>
      <c r="Q1376" s="59"/>
      <c r="R1376" s="59"/>
      <c r="S1376" s="59"/>
      <c r="T1376" s="59"/>
      <c r="U1376" s="59"/>
      <c r="V1376" s="59"/>
      <c r="W1376" s="59"/>
      <c r="X1376" s="59"/>
      <c r="Y1376" s="59"/>
      <c r="Z1376" s="59"/>
    </row>
    <row r="1377" ht="30.0" customHeight="1">
      <c r="A1377" s="68"/>
      <c r="B1377" s="86">
        <v>1391.0</v>
      </c>
      <c r="C1377" s="68"/>
      <c r="D1377" s="87" t="str">
        <f>CONCATENATE(PROPER('BIÑAN INFO'!$G1377),", ",PROPER('BIÑAN INFO'!$E1377)," ",PROPER('BIÑAN INFO'!$F1377),"."," (",UPPER('BIÑAN INFO'!$H1377),")")</f>
        <v>Ariones, Rosalie . ()</v>
      </c>
      <c r="E1377" s="87" t="s">
        <v>780</v>
      </c>
      <c r="F1377" s="87"/>
      <c r="G1377" s="87" t="s">
        <v>781</v>
      </c>
      <c r="H1377" s="87"/>
      <c r="I1377" s="71">
        <v>0.12</v>
      </c>
      <c r="J1377" s="72">
        <v>1000.0</v>
      </c>
      <c r="K1377" s="89"/>
      <c r="L1377" s="89"/>
      <c r="M1377" s="89"/>
      <c r="N1377" s="90"/>
      <c r="O1377" s="59"/>
      <c r="P1377" s="59"/>
      <c r="Q1377" s="59"/>
      <c r="R1377" s="59"/>
      <c r="S1377" s="59"/>
      <c r="T1377" s="59"/>
      <c r="U1377" s="59"/>
      <c r="V1377" s="59"/>
      <c r="W1377" s="59"/>
      <c r="X1377" s="59"/>
      <c r="Y1377" s="59"/>
      <c r="Z1377" s="59"/>
    </row>
    <row r="1378" ht="30.0" customHeight="1">
      <c r="A1378" s="68"/>
      <c r="B1378" s="86">
        <v>1392.0</v>
      </c>
      <c r="C1378" s="68"/>
      <c r="D1378" s="87" t="str">
        <f>CONCATENATE(PROPER('BIÑAN INFO'!$G1378),", ",PROPER('BIÑAN INFO'!$E1378)," ",PROPER('BIÑAN INFO'!$F1378),"."," (",UPPER('BIÑAN INFO'!$H1378),")")</f>
        <v>,  . ()</v>
      </c>
      <c r="E1378" s="87"/>
      <c r="F1378" s="87"/>
      <c r="G1378" s="87"/>
      <c r="H1378" s="87"/>
      <c r="I1378" s="71">
        <v>0.12</v>
      </c>
      <c r="J1378" s="72">
        <v>1000.0</v>
      </c>
      <c r="K1378" s="89"/>
      <c r="L1378" s="89"/>
      <c r="M1378" s="89"/>
      <c r="N1378" s="90"/>
      <c r="O1378" s="59"/>
      <c r="P1378" s="59"/>
      <c r="Q1378" s="59"/>
      <c r="R1378" s="59"/>
      <c r="S1378" s="59"/>
      <c r="T1378" s="59"/>
      <c r="U1378" s="59"/>
      <c r="V1378" s="59"/>
      <c r="W1378" s="59"/>
      <c r="X1378" s="59"/>
      <c r="Y1378" s="59"/>
      <c r="Z1378" s="59"/>
    </row>
    <row r="1379" ht="30.0" customHeight="1">
      <c r="A1379" s="68"/>
      <c r="B1379" s="86">
        <v>1393.0</v>
      </c>
      <c r="C1379" s="68"/>
      <c r="D1379" s="87" t="str">
        <f>CONCATENATE(PROPER('BIÑAN INFO'!$G1379),", ",PROPER('BIÑAN INFO'!$E1379)," ",PROPER('BIÑAN INFO'!$F1379),"."," (",UPPER('BIÑAN INFO'!$H1379),")")</f>
        <v>,  . ()</v>
      </c>
      <c r="E1379" s="87"/>
      <c r="F1379" s="87"/>
      <c r="G1379" s="87"/>
      <c r="H1379" s="87"/>
      <c r="I1379" s="71">
        <v>0.12</v>
      </c>
      <c r="J1379" s="72">
        <v>1000.0</v>
      </c>
      <c r="K1379" s="89"/>
      <c r="L1379" s="89"/>
      <c r="M1379" s="89"/>
      <c r="N1379" s="90"/>
      <c r="O1379" s="59"/>
      <c r="P1379" s="59"/>
      <c r="Q1379" s="59"/>
      <c r="R1379" s="59"/>
      <c r="S1379" s="59"/>
      <c r="T1379" s="59"/>
      <c r="U1379" s="59"/>
      <c r="V1379" s="59"/>
      <c r="W1379" s="59"/>
      <c r="X1379" s="59"/>
      <c r="Y1379" s="59"/>
      <c r="Z1379" s="59"/>
    </row>
    <row r="1380" ht="30.0" customHeight="1">
      <c r="A1380" s="68"/>
      <c r="B1380" s="86">
        <v>1394.0</v>
      </c>
      <c r="C1380" s="68"/>
      <c r="D1380" s="87" t="str">
        <f>CONCATENATE(PROPER('BIÑAN INFO'!$G1380),", ",PROPER('BIÑAN INFO'!$E1380)," ",PROPER('BIÑAN INFO'!$F1380),"."," (",UPPER('BIÑAN INFO'!$H1380),")")</f>
        <v>,  . ()</v>
      </c>
      <c r="E1380" s="87"/>
      <c r="F1380" s="87"/>
      <c r="G1380" s="87"/>
      <c r="H1380" s="87"/>
      <c r="I1380" s="71">
        <v>0.12</v>
      </c>
      <c r="J1380" s="72">
        <v>1000.0</v>
      </c>
      <c r="K1380" s="89"/>
      <c r="L1380" s="89"/>
      <c r="M1380" s="89"/>
      <c r="N1380" s="90"/>
      <c r="O1380" s="59"/>
      <c r="P1380" s="59"/>
      <c r="Q1380" s="59"/>
      <c r="R1380" s="59"/>
      <c r="S1380" s="59"/>
      <c r="T1380" s="59"/>
      <c r="U1380" s="59"/>
      <c r="V1380" s="59"/>
      <c r="W1380" s="59"/>
      <c r="X1380" s="59"/>
      <c r="Y1380" s="59"/>
      <c r="Z1380" s="59"/>
    </row>
    <row r="1381" ht="30.0" customHeight="1">
      <c r="A1381" s="68"/>
      <c r="B1381" s="86">
        <v>1395.0</v>
      </c>
      <c r="C1381" s="68"/>
      <c r="D1381" s="87" t="str">
        <f>CONCATENATE(PROPER('BIÑAN INFO'!$G1381),", ",PROPER('BIÑAN INFO'!$E1381)," ",PROPER('BIÑAN INFO'!$F1381),"."," (",UPPER('BIÑAN INFO'!$H1381),")")</f>
        <v>,  . ()</v>
      </c>
      <c r="E1381" s="87"/>
      <c r="F1381" s="87"/>
      <c r="G1381" s="87"/>
      <c r="H1381" s="87"/>
      <c r="I1381" s="71">
        <v>0.12</v>
      </c>
      <c r="J1381" s="72">
        <v>1000.0</v>
      </c>
      <c r="K1381" s="89"/>
      <c r="L1381" s="89"/>
      <c r="M1381" s="89"/>
      <c r="N1381" s="90"/>
      <c r="O1381" s="59"/>
      <c r="P1381" s="59"/>
      <c r="Q1381" s="59"/>
      <c r="R1381" s="59"/>
      <c r="S1381" s="59"/>
      <c r="T1381" s="59"/>
      <c r="U1381" s="59"/>
      <c r="V1381" s="59"/>
      <c r="W1381" s="59"/>
      <c r="X1381" s="59"/>
      <c r="Y1381" s="59"/>
      <c r="Z1381" s="59"/>
    </row>
    <row r="1382" ht="30.0" customHeight="1">
      <c r="A1382" s="68"/>
      <c r="B1382" s="86">
        <v>1396.0</v>
      </c>
      <c r="C1382" s="68"/>
      <c r="D1382" s="87" t="str">
        <f>CONCATENATE(PROPER('BIÑAN INFO'!$G1382),", ",PROPER('BIÑAN INFO'!$E1382)," ",PROPER('BIÑAN INFO'!$F1382),"."," (",UPPER('BIÑAN INFO'!$H1382),")")</f>
        <v>,  . ()</v>
      </c>
      <c r="E1382" s="87"/>
      <c r="F1382" s="87"/>
      <c r="G1382" s="87"/>
      <c r="H1382" s="87"/>
      <c r="I1382" s="71">
        <v>0.12</v>
      </c>
      <c r="J1382" s="72">
        <v>1000.0</v>
      </c>
      <c r="K1382" s="89"/>
      <c r="L1382" s="89"/>
      <c r="M1382" s="89"/>
      <c r="N1382" s="90"/>
      <c r="O1382" s="59"/>
      <c r="P1382" s="59"/>
      <c r="Q1382" s="59"/>
      <c r="R1382" s="59"/>
      <c r="S1382" s="59"/>
      <c r="T1382" s="59"/>
      <c r="U1382" s="59"/>
      <c r="V1382" s="59"/>
      <c r="W1382" s="59"/>
      <c r="X1382" s="59"/>
      <c r="Y1382" s="59"/>
      <c r="Z1382" s="59"/>
    </row>
    <row r="1383" ht="30.0" customHeight="1">
      <c r="A1383" s="68"/>
      <c r="B1383" s="86">
        <v>1397.0</v>
      </c>
      <c r="C1383" s="68"/>
      <c r="D1383" s="87" t="str">
        <f>CONCATENATE(PROPER('BIÑAN INFO'!$G1383),", ",PROPER('BIÑAN INFO'!$E1383)," ",PROPER('BIÑAN INFO'!$F1383),"."," (",UPPER('BIÑAN INFO'!$H1383),")")</f>
        <v>Cordero, Han . ()</v>
      </c>
      <c r="E1383" s="87" t="s">
        <v>782</v>
      </c>
      <c r="F1383" s="87"/>
      <c r="G1383" s="87" t="s">
        <v>783</v>
      </c>
      <c r="H1383" s="87"/>
      <c r="I1383" s="71">
        <v>0.12</v>
      </c>
      <c r="J1383" s="72">
        <v>1000.0</v>
      </c>
      <c r="K1383" s="89"/>
      <c r="L1383" s="89"/>
      <c r="M1383" s="89"/>
      <c r="N1383" s="90"/>
      <c r="O1383" s="59"/>
      <c r="P1383" s="59"/>
      <c r="Q1383" s="59"/>
      <c r="R1383" s="59"/>
      <c r="S1383" s="59"/>
      <c r="T1383" s="59"/>
      <c r="U1383" s="59"/>
      <c r="V1383" s="59"/>
      <c r="W1383" s="59"/>
      <c r="X1383" s="59"/>
      <c r="Y1383" s="59"/>
      <c r="Z1383" s="59"/>
    </row>
    <row r="1384" ht="30.0" customHeight="1">
      <c r="A1384" s="68"/>
      <c r="B1384" s="86">
        <v>1398.0</v>
      </c>
      <c r="C1384" s="68"/>
      <c r="D1384" s="87" t="str">
        <f>CONCATENATE(PROPER('BIÑAN INFO'!$G1384),", ",PROPER('BIÑAN INFO'!$E1384)," ",PROPER('BIÑAN INFO'!$F1384),"."," (",UPPER('BIÑAN INFO'!$H1384),")")</f>
        <v>Reyes, Noel S. ()</v>
      </c>
      <c r="E1384" s="87" t="s">
        <v>784</v>
      </c>
      <c r="F1384" s="87" t="s">
        <v>342</v>
      </c>
      <c r="G1384" s="87" t="s">
        <v>122</v>
      </c>
      <c r="H1384" s="87"/>
      <c r="I1384" s="71">
        <v>0.12</v>
      </c>
      <c r="J1384" s="72">
        <v>1000.0</v>
      </c>
      <c r="K1384" s="89"/>
      <c r="L1384" s="89"/>
      <c r="M1384" s="89"/>
      <c r="N1384" s="90"/>
      <c r="O1384" s="59"/>
      <c r="P1384" s="59"/>
      <c r="Q1384" s="59"/>
      <c r="R1384" s="59"/>
      <c r="S1384" s="59"/>
      <c r="T1384" s="59"/>
      <c r="U1384" s="59"/>
      <c r="V1384" s="59"/>
      <c r="W1384" s="59"/>
      <c r="X1384" s="59"/>
      <c r="Y1384" s="59"/>
      <c r="Z1384" s="59"/>
    </row>
    <row r="1385" ht="30.0" customHeight="1">
      <c r="A1385" s="68"/>
      <c r="B1385" s="86">
        <v>1399.0</v>
      </c>
      <c r="C1385" s="68"/>
      <c r="D1385" s="87" t="str">
        <f>CONCATENATE(PROPER('BIÑAN INFO'!$G1385),", ",PROPER('BIÑAN INFO'!$E1385)," ",PROPER('BIÑAN INFO'!$F1385),"."," (",UPPER('BIÑAN INFO'!$H1385),")")</f>
        <v>Tejada, Arnold . ()</v>
      </c>
      <c r="E1385" s="87" t="s">
        <v>245</v>
      </c>
      <c r="F1385" s="87"/>
      <c r="G1385" s="87" t="s">
        <v>785</v>
      </c>
      <c r="H1385" s="87"/>
      <c r="I1385" s="71">
        <v>0.12</v>
      </c>
      <c r="J1385" s="72">
        <v>1000.0</v>
      </c>
      <c r="K1385" s="89" t="s">
        <v>50</v>
      </c>
      <c r="L1385" s="89"/>
      <c r="M1385" s="89"/>
      <c r="N1385" s="90" t="s">
        <v>786</v>
      </c>
      <c r="O1385" s="59"/>
      <c r="P1385" s="59"/>
      <c r="Q1385" s="59"/>
      <c r="R1385" s="59"/>
      <c r="S1385" s="59"/>
      <c r="T1385" s="59"/>
      <c r="U1385" s="59"/>
      <c r="V1385" s="59"/>
      <c r="W1385" s="59"/>
      <c r="X1385" s="59"/>
      <c r="Y1385" s="59"/>
      <c r="Z1385" s="59"/>
    </row>
    <row r="1386" ht="30.0" customHeight="1">
      <c r="A1386" s="68"/>
      <c r="B1386" s="86">
        <v>1400.0</v>
      </c>
      <c r="C1386" s="68"/>
      <c r="D1386" s="87" t="str">
        <f>CONCATENATE(PROPER('BIÑAN INFO'!$G1386),", ",PROPER('BIÑAN INFO'!$E1386)," ",PROPER('BIÑAN INFO'!$F1386),"."," (",UPPER('BIÑAN INFO'!$H1386),")")</f>
        <v>Lechico, Jorge . ()</v>
      </c>
      <c r="E1386" s="87" t="s">
        <v>286</v>
      </c>
      <c r="F1386" s="87"/>
      <c r="G1386" s="87" t="s">
        <v>787</v>
      </c>
      <c r="H1386" s="87"/>
      <c r="I1386" s="71">
        <v>0.12</v>
      </c>
      <c r="J1386" s="72">
        <v>1000.0</v>
      </c>
      <c r="K1386" s="89"/>
      <c r="L1386" s="89"/>
      <c r="M1386" s="89"/>
      <c r="N1386" s="90"/>
      <c r="O1386" s="59"/>
      <c r="P1386" s="59"/>
      <c r="Q1386" s="59"/>
      <c r="R1386" s="59"/>
      <c r="S1386" s="59"/>
      <c r="T1386" s="59"/>
      <c r="U1386" s="59"/>
      <c r="V1386" s="59"/>
      <c r="W1386" s="59"/>
      <c r="X1386" s="59"/>
      <c r="Y1386" s="59"/>
      <c r="Z1386" s="59"/>
    </row>
    <row r="1387" ht="30.0" customHeight="1">
      <c r="A1387" s="68"/>
      <c r="B1387" s="86">
        <v>1401.0</v>
      </c>
      <c r="C1387" s="68"/>
      <c r="D1387" s="87" t="str">
        <f>CONCATENATE(PROPER('BIÑAN INFO'!$G1387),", ",PROPER('BIÑAN INFO'!$E1387)," ",PROPER('BIÑAN INFO'!$F1387),"."," (",UPPER('BIÑAN INFO'!$H1387),")")</f>
        <v>,  . ()</v>
      </c>
      <c r="E1387" s="87"/>
      <c r="F1387" s="87"/>
      <c r="G1387" s="87"/>
      <c r="H1387" s="87"/>
      <c r="I1387" s="71">
        <v>0.12</v>
      </c>
      <c r="J1387" s="72">
        <v>1000.0</v>
      </c>
      <c r="K1387" s="89"/>
      <c r="L1387" s="89"/>
      <c r="M1387" s="89"/>
      <c r="N1387" s="90"/>
      <c r="O1387" s="59"/>
      <c r="P1387" s="59"/>
      <c r="Q1387" s="59"/>
      <c r="R1387" s="59"/>
      <c r="S1387" s="59"/>
      <c r="T1387" s="59"/>
      <c r="U1387" s="59"/>
      <c r="V1387" s="59"/>
      <c r="W1387" s="59"/>
      <c r="X1387" s="59"/>
      <c r="Y1387" s="59"/>
      <c r="Z1387" s="59"/>
    </row>
    <row r="1388" ht="30.0" customHeight="1">
      <c r="A1388" s="68"/>
      <c r="B1388" s="86">
        <v>1402.0</v>
      </c>
      <c r="C1388" s="68"/>
      <c r="D1388" s="87" t="str">
        <f>CONCATENATE(PROPER('BIÑAN INFO'!$G1388),", ",PROPER('BIÑAN INFO'!$E1388)," ",PROPER('BIÑAN INFO'!$F1388),"."," (",UPPER('BIÑAN INFO'!$H1388),")")</f>
        <v>Picardal, Rodrigo . ()</v>
      </c>
      <c r="E1388" s="87" t="s">
        <v>788</v>
      </c>
      <c r="F1388" s="87"/>
      <c r="G1388" s="87" t="s">
        <v>789</v>
      </c>
      <c r="H1388" s="87"/>
      <c r="I1388" s="71">
        <v>0.12</v>
      </c>
      <c r="J1388" s="72">
        <v>1000.0</v>
      </c>
      <c r="K1388" s="89"/>
      <c r="L1388" s="89"/>
      <c r="M1388" s="89"/>
      <c r="N1388" s="90"/>
      <c r="O1388" s="59"/>
      <c r="P1388" s="59"/>
      <c r="Q1388" s="59"/>
      <c r="R1388" s="59"/>
      <c r="S1388" s="59"/>
      <c r="T1388" s="59"/>
      <c r="U1388" s="59"/>
      <c r="V1388" s="59"/>
      <c r="W1388" s="59"/>
      <c r="X1388" s="59"/>
      <c r="Y1388" s="59"/>
      <c r="Z1388" s="59"/>
    </row>
    <row r="1389" ht="30.0" customHeight="1">
      <c r="A1389" s="68"/>
      <c r="B1389" s="86">
        <v>1403.0</v>
      </c>
      <c r="C1389" s="68"/>
      <c r="D1389" s="87" t="str">
        <f>CONCATENATE(PROPER('BIÑAN INFO'!$G1389),", ",PROPER('BIÑAN INFO'!$E1389)," ",PROPER('BIÑAN INFO'!$F1389),"."," (",UPPER('BIÑAN INFO'!$H1389),")")</f>
        <v>Dela Cruz, Leonardo . ()</v>
      </c>
      <c r="E1389" s="87" t="s">
        <v>790</v>
      </c>
      <c r="F1389" s="87"/>
      <c r="G1389" s="87" t="s">
        <v>636</v>
      </c>
      <c r="H1389" s="87"/>
      <c r="I1389" s="71">
        <v>0.12</v>
      </c>
      <c r="J1389" s="72">
        <v>1000.0</v>
      </c>
      <c r="K1389" s="89"/>
      <c r="L1389" s="89"/>
      <c r="M1389" s="89"/>
      <c r="N1389" s="90"/>
      <c r="O1389" s="59"/>
      <c r="P1389" s="59"/>
      <c r="Q1389" s="59"/>
      <c r="R1389" s="59"/>
      <c r="S1389" s="59"/>
      <c r="T1389" s="59"/>
      <c r="U1389" s="59"/>
      <c r="V1389" s="59"/>
      <c r="W1389" s="59"/>
      <c r="X1389" s="59"/>
      <c r="Y1389" s="59"/>
      <c r="Z1389" s="59"/>
    </row>
    <row r="1390" ht="30.0" customHeight="1">
      <c r="A1390" s="68"/>
      <c r="B1390" s="86">
        <v>1404.0</v>
      </c>
      <c r="C1390" s="68"/>
      <c r="D1390" s="87" t="str">
        <f>CONCATENATE(PROPER('BIÑAN INFO'!$G1390),", ",PROPER('BIÑAN INFO'!$E1390)," ",PROPER('BIÑAN INFO'!$F1390),"."," (",UPPER('BIÑAN INFO'!$H1390),")")</f>
        <v>Viado, Isidro . ()</v>
      </c>
      <c r="E1390" s="87" t="s">
        <v>722</v>
      </c>
      <c r="F1390" s="87"/>
      <c r="G1390" s="87" t="s">
        <v>791</v>
      </c>
      <c r="H1390" s="87"/>
      <c r="I1390" s="71">
        <v>0.12</v>
      </c>
      <c r="J1390" s="72">
        <v>1000.0</v>
      </c>
      <c r="K1390" s="89"/>
      <c r="L1390" s="89"/>
      <c r="M1390" s="89"/>
      <c r="N1390" s="90"/>
      <c r="O1390" s="59"/>
      <c r="P1390" s="59"/>
      <c r="Q1390" s="59"/>
      <c r="R1390" s="59"/>
      <c r="S1390" s="59"/>
      <c r="T1390" s="59"/>
      <c r="U1390" s="59"/>
      <c r="V1390" s="59"/>
      <c r="W1390" s="59"/>
      <c r="X1390" s="59"/>
      <c r="Y1390" s="59"/>
      <c r="Z1390" s="59"/>
    </row>
    <row r="1391" ht="30.0" customHeight="1">
      <c r="A1391" s="68"/>
      <c r="B1391" s="86">
        <v>1405.0</v>
      </c>
      <c r="C1391" s="68"/>
      <c r="D1391" s="87" t="str">
        <f>CONCATENATE(PROPER('BIÑAN INFO'!$G1391),", ",PROPER('BIÑAN INFO'!$E1391)," ",PROPER('BIÑAN INFO'!$F1391),"."," (",UPPER('BIÑAN INFO'!$H1391),")")</f>
        <v>Vergel, Luis . ()</v>
      </c>
      <c r="E1391" s="87" t="s">
        <v>792</v>
      </c>
      <c r="F1391" s="87"/>
      <c r="G1391" s="87" t="s">
        <v>793</v>
      </c>
      <c r="H1391" s="87"/>
      <c r="I1391" s="71">
        <v>0.12</v>
      </c>
      <c r="J1391" s="72">
        <v>1000.0</v>
      </c>
      <c r="K1391" s="89"/>
      <c r="L1391" s="89"/>
      <c r="M1391" s="89"/>
      <c r="N1391" s="90"/>
      <c r="O1391" s="59"/>
      <c r="P1391" s="59"/>
      <c r="Q1391" s="59"/>
      <c r="R1391" s="59"/>
      <c r="S1391" s="59"/>
      <c r="T1391" s="59"/>
      <c r="U1391" s="59"/>
      <c r="V1391" s="59"/>
      <c r="W1391" s="59"/>
      <c r="X1391" s="59"/>
      <c r="Y1391" s="59"/>
      <c r="Z1391" s="59"/>
    </row>
    <row r="1392" ht="30.0" customHeight="1">
      <c r="A1392" s="68"/>
      <c r="B1392" s="86">
        <v>1406.0</v>
      </c>
      <c r="C1392" s="68"/>
      <c r="D1392" s="87" t="str">
        <f>CONCATENATE(PROPER('BIÑAN INFO'!$G1392),", ",PROPER('BIÑAN INFO'!$E1392)," ",PROPER('BIÑAN INFO'!$F1392),"."," (",UPPER('BIÑAN INFO'!$H1392),")")</f>
        <v>Bayugo, Michael . ()</v>
      </c>
      <c r="E1392" s="87" t="s">
        <v>38</v>
      </c>
      <c r="F1392" s="87"/>
      <c r="G1392" s="87" t="s">
        <v>794</v>
      </c>
      <c r="H1392" s="87"/>
      <c r="I1392" s="71">
        <v>0.12</v>
      </c>
      <c r="J1392" s="72">
        <v>1000.0</v>
      </c>
      <c r="K1392" s="89"/>
      <c r="L1392" s="89"/>
      <c r="M1392" s="89"/>
      <c r="N1392" s="90"/>
      <c r="O1392" s="59"/>
      <c r="P1392" s="59"/>
      <c r="Q1392" s="59"/>
      <c r="R1392" s="59"/>
      <c r="S1392" s="59"/>
      <c r="T1392" s="59"/>
      <c r="U1392" s="59"/>
      <c r="V1392" s="59"/>
      <c r="W1392" s="59"/>
      <c r="X1392" s="59"/>
      <c r="Y1392" s="59"/>
      <c r="Z1392" s="59"/>
    </row>
    <row r="1393" ht="30.0" customHeight="1">
      <c r="A1393" s="68"/>
      <c r="B1393" s="86">
        <v>1407.0</v>
      </c>
      <c r="C1393" s="68"/>
      <c r="D1393" s="87" t="str">
        <f>CONCATENATE(PROPER('BIÑAN INFO'!$G1393),", ",PROPER('BIÑAN INFO'!$E1393)," ",PROPER('BIÑAN INFO'!$F1393),"."," (",UPPER('BIÑAN INFO'!$H1393),")")</f>
        <v>Mangahas, Beaulah Canama. ()</v>
      </c>
      <c r="E1393" s="87" t="s">
        <v>795</v>
      </c>
      <c r="F1393" s="87" t="s">
        <v>796</v>
      </c>
      <c r="G1393" s="87" t="s">
        <v>592</v>
      </c>
      <c r="H1393" s="87"/>
      <c r="I1393" s="71">
        <v>0.05</v>
      </c>
      <c r="J1393" s="72">
        <v>1000.0</v>
      </c>
      <c r="K1393" s="89" t="s">
        <v>50</v>
      </c>
      <c r="L1393" s="89"/>
      <c r="M1393" s="89"/>
      <c r="N1393" s="90" t="s">
        <v>797</v>
      </c>
      <c r="O1393" s="59"/>
      <c r="P1393" s="59"/>
      <c r="Q1393" s="59"/>
      <c r="R1393" s="59"/>
      <c r="S1393" s="59"/>
      <c r="T1393" s="59"/>
      <c r="U1393" s="59"/>
      <c r="V1393" s="59"/>
      <c r="W1393" s="59"/>
      <c r="X1393" s="59"/>
      <c r="Y1393" s="59"/>
      <c r="Z1393" s="59"/>
    </row>
    <row r="1394" ht="30.0" customHeight="1">
      <c r="A1394" s="68"/>
      <c r="B1394" s="86">
        <v>1408.0</v>
      </c>
      <c r="C1394" s="68"/>
      <c r="D1394" s="87" t="str">
        <f>CONCATENATE(PROPER('BIÑAN INFO'!$G1394),", ",PROPER('BIÑAN INFO'!$E1394)," ",PROPER('BIÑAN INFO'!$F1394),"."," (",UPPER('BIÑAN INFO'!$H1394),")")</f>
        <v>Blanco, Arlen . ()</v>
      </c>
      <c r="E1394" s="87" t="s">
        <v>798</v>
      </c>
      <c r="F1394" s="87"/>
      <c r="G1394" s="87" t="s">
        <v>799</v>
      </c>
      <c r="H1394" s="87"/>
      <c r="I1394" s="71">
        <v>0.12</v>
      </c>
      <c r="J1394" s="72">
        <v>1000.0</v>
      </c>
      <c r="K1394" s="89"/>
      <c r="L1394" s="89"/>
      <c r="M1394" s="89"/>
      <c r="N1394" s="90"/>
      <c r="O1394" s="59"/>
      <c r="P1394" s="59"/>
      <c r="Q1394" s="59"/>
      <c r="R1394" s="59"/>
      <c r="S1394" s="59"/>
      <c r="T1394" s="59"/>
      <c r="U1394" s="59"/>
      <c r="V1394" s="59"/>
      <c r="W1394" s="59"/>
      <c r="X1394" s="59"/>
      <c r="Y1394" s="59"/>
      <c r="Z1394" s="59"/>
    </row>
    <row r="1395" ht="30.0" customHeight="1">
      <c r="A1395" s="68"/>
      <c r="B1395" s="86">
        <v>1409.0</v>
      </c>
      <c r="C1395" s="68"/>
      <c r="D1395" s="87" t="str">
        <f>CONCATENATE(PROPER('BIÑAN INFO'!$G1395),", ",PROPER('BIÑAN INFO'!$E1395)," ",PROPER('BIÑAN INFO'!$F1395),"."," (",UPPER('BIÑAN INFO'!$H1395),")")</f>
        <v>Luistro, Mary Rose . ()</v>
      </c>
      <c r="E1395" s="87" t="s">
        <v>379</v>
      </c>
      <c r="F1395" s="87"/>
      <c r="G1395" s="87" t="s">
        <v>800</v>
      </c>
      <c r="H1395" s="87"/>
      <c r="I1395" s="71">
        <v>0.12</v>
      </c>
      <c r="J1395" s="72">
        <v>1000.0</v>
      </c>
      <c r="K1395" s="89"/>
      <c r="L1395" s="89"/>
      <c r="M1395" s="89"/>
      <c r="N1395" s="90"/>
      <c r="O1395" s="59"/>
      <c r="P1395" s="59"/>
      <c r="Q1395" s="59"/>
      <c r="R1395" s="59"/>
      <c r="S1395" s="59"/>
      <c r="T1395" s="59"/>
      <c r="U1395" s="59"/>
      <c r="V1395" s="59"/>
      <c r="W1395" s="59"/>
      <c r="X1395" s="59"/>
      <c r="Y1395" s="59"/>
      <c r="Z1395" s="59"/>
    </row>
    <row r="1396" ht="30.0" customHeight="1">
      <c r="A1396" s="68"/>
      <c r="B1396" s="86">
        <v>1410.0</v>
      </c>
      <c r="C1396" s="68"/>
      <c r="D1396" s="87" t="str">
        <f>CONCATENATE(PROPER('BIÑAN INFO'!$G1396),", ",PROPER('BIÑAN INFO'!$E1396)," ",PROPER('BIÑAN INFO'!$F1396),"."," (",UPPER('BIÑAN INFO'!$H1396),")")</f>
        <v>Danico, Thomas . ()</v>
      </c>
      <c r="E1396" s="87" t="s">
        <v>801</v>
      </c>
      <c r="F1396" s="87"/>
      <c r="G1396" s="87" t="s">
        <v>802</v>
      </c>
      <c r="H1396" s="87"/>
      <c r="I1396" s="71">
        <v>0.12</v>
      </c>
      <c r="J1396" s="72">
        <v>1000.0</v>
      </c>
      <c r="K1396" s="89"/>
      <c r="L1396" s="89"/>
      <c r="M1396" s="89"/>
      <c r="N1396" s="90"/>
      <c r="O1396" s="59"/>
      <c r="P1396" s="59"/>
      <c r="Q1396" s="59"/>
      <c r="R1396" s="59"/>
      <c r="S1396" s="59"/>
      <c r="T1396" s="59"/>
      <c r="U1396" s="59"/>
      <c r="V1396" s="59"/>
      <c r="W1396" s="59"/>
      <c r="X1396" s="59"/>
      <c r="Y1396" s="59"/>
      <c r="Z1396" s="59"/>
    </row>
    <row r="1397" ht="30.0" customHeight="1">
      <c r="A1397" s="68"/>
      <c r="B1397" s="86">
        <v>1411.0</v>
      </c>
      <c r="C1397" s="68"/>
      <c r="D1397" s="87" t="str">
        <f>CONCATENATE(PROPER('BIÑAN INFO'!$G1397),", ",PROPER('BIÑAN INFO'!$E1397)," ",PROPER('BIÑAN INFO'!$F1397),"."," (",UPPER('BIÑAN INFO'!$H1397),")")</f>
        <v>Reyes, Jesus . ()</v>
      </c>
      <c r="E1397" s="87" t="s">
        <v>803</v>
      </c>
      <c r="F1397" s="87"/>
      <c r="G1397" s="87" t="s">
        <v>122</v>
      </c>
      <c r="H1397" s="87"/>
      <c r="I1397" s="71">
        <v>0.05</v>
      </c>
      <c r="J1397" s="72">
        <v>1000.0</v>
      </c>
      <c r="K1397" s="89" t="s">
        <v>50</v>
      </c>
      <c r="L1397" s="89" t="s">
        <v>465</v>
      </c>
      <c r="M1397" s="89">
        <v>2022.0</v>
      </c>
      <c r="N1397" s="90"/>
      <c r="O1397" s="59"/>
      <c r="P1397" s="59"/>
      <c r="Q1397" s="59"/>
      <c r="R1397" s="59"/>
      <c r="S1397" s="59"/>
      <c r="T1397" s="59"/>
      <c r="U1397" s="59"/>
      <c r="V1397" s="59"/>
      <c r="W1397" s="59"/>
      <c r="X1397" s="59"/>
      <c r="Y1397" s="59"/>
      <c r="Z1397" s="59"/>
    </row>
    <row r="1398" ht="30.0" customHeight="1">
      <c r="A1398" s="68"/>
      <c r="B1398" s="86">
        <v>1412.0</v>
      </c>
      <c r="C1398" s="68"/>
      <c r="D1398" s="87" t="str">
        <f>CONCATENATE(PROPER('BIÑAN INFO'!$G1398),", ",PROPER('BIÑAN INFO'!$E1398)," ",PROPER('BIÑAN INFO'!$F1398),"."," (",UPPER('BIÑAN INFO'!$H1398),")")</f>
        <v>Domar, Perlita . ()</v>
      </c>
      <c r="E1398" s="87" t="s">
        <v>804</v>
      </c>
      <c r="F1398" s="87"/>
      <c r="G1398" s="87" t="s">
        <v>805</v>
      </c>
      <c r="H1398" s="87"/>
      <c r="I1398" s="71">
        <v>0.12</v>
      </c>
      <c r="J1398" s="72">
        <v>1000.0</v>
      </c>
      <c r="K1398" s="89"/>
      <c r="L1398" s="89"/>
      <c r="M1398" s="89"/>
      <c r="N1398" s="90"/>
      <c r="O1398" s="59"/>
      <c r="P1398" s="59"/>
      <c r="Q1398" s="59"/>
      <c r="R1398" s="59"/>
      <c r="S1398" s="59"/>
      <c r="T1398" s="59"/>
      <c r="U1398" s="59"/>
      <c r="V1398" s="59"/>
      <c r="W1398" s="59"/>
      <c r="X1398" s="59"/>
      <c r="Y1398" s="59"/>
      <c r="Z1398" s="59"/>
    </row>
    <row r="1399" ht="30.0" customHeight="1">
      <c r="A1399" s="68"/>
      <c r="B1399" s="86">
        <v>1413.0</v>
      </c>
      <c r="C1399" s="68"/>
      <c r="D1399" s="87" t="str">
        <f>CONCATENATE(PROPER('BIÑAN INFO'!$G1399),", ",PROPER('BIÑAN INFO'!$E1399)," ",PROPER('BIÑAN INFO'!$F1399),"."," (",UPPER('BIÑAN INFO'!$H1399),")")</f>
        <v>Sebuado, Mary Rose . ()</v>
      </c>
      <c r="E1399" s="87" t="s">
        <v>379</v>
      </c>
      <c r="F1399" s="87"/>
      <c r="G1399" s="87" t="s">
        <v>806</v>
      </c>
      <c r="H1399" s="87"/>
      <c r="I1399" s="71">
        <v>0.12</v>
      </c>
      <c r="J1399" s="72">
        <v>1000.0</v>
      </c>
      <c r="K1399" s="89"/>
      <c r="L1399" s="89"/>
      <c r="M1399" s="89"/>
      <c r="N1399" s="90"/>
      <c r="O1399" s="59"/>
      <c r="P1399" s="59"/>
      <c r="Q1399" s="59"/>
      <c r="R1399" s="59"/>
      <c r="S1399" s="59"/>
      <c r="T1399" s="59"/>
      <c r="U1399" s="59"/>
      <c r="V1399" s="59"/>
      <c r="W1399" s="59"/>
      <c r="X1399" s="59"/>
      <c r="Y1399" s="59"/>
      <c r="Z1399" s="59"/>
    </row>
    <row r="1400" ht="30.0" customHeight="1">
      <c r="A1400" s="68"/>
      <c r="B1400" s="86">
        <v>1414.0</v>
      </c>
      <c r="C1400" s="68"/>
      <c r="D1400" s="87" t="str">
        <f>CONCATENATE(PROPER('BIÑAN INFO'!$G1400),", ",PROPER('BIÑAN INFO'!$E1400)," ",PROPER('BIÑAN INFO'!$F1400),"."," (",UPPER('BIÑAN INFO'!$H1400),")")</f>
        <v>Yu, Annie . ()</v>
      </c>
      <c r="E1400" s="87" t="s">
        <v>807</v>
      </c>
      <c r="F1400" s="87"/>
      <c r="G1400" s="87" t="s">
        <v>297</v>
      </c>
      <c r="H1400" s="87"/>
      <c r="I1400" s="71">
        <v>0.05</v>
      </c>
      <c r="J1400" s="72">
        <v>1000.0</v>
      </c>
      <c r="K1400" s="89" t="s">
        <v>50</v>
      </c>
      <c r="L1400" s="89" t="s">
        <v>808</v>
      </c>
      <c r="M1400" s="89">
        <v>2021.0</v>
      </c>
      <c r="N1400" s="90"/>
      <c r="O1400" s="59"/>
      <c r="P1400" s="59"/>
      <c r="Q1400" s="59"/>
      <c r="R1400" s="59"/>
      <c r="S1400" s="59"/>
      <c r="T1400" s="59"/>
      <c r="U1400" s="59"/>
      <c r="V1400" s="59"/>
      <c r="W1400" s="59"/>
      <c r="X1400" s="59"/>
      <c r="Y1400" s="59"/>
      <c r="Z1400" s="59"/>
    </row>
    <row r="1401" ht="30.0" customHeight="1">
      <c r="A1401" s="68"/>
      <c r="B1401" s="86">
        <v>1415.0</v>
      </c>
      <c r="C1401" s="68"/>
      <c r="D1401" s="87" t="str">
        <f>CONCATENATE(PROPER('BIÑAN INFO'!$G1401),", ",PROPER('BIÑAN INFO'!$E1401)," ",PROPER('BIÑAN INFO'!$F1401),"."," (",UPPER('BIÑAN INFO'!$H1401),")")</f>
        <v>Yabut, Marvin . ()</v>
      </c>
      <c r="E1401" s="87" t="s">
        <v>809</v>
      </c>
      <c r="F1401" s="87"/>
      <c r="G1401" s="87" t="s">
        <v>810</v>
      </c>
      <c r="H1401" s="87"/>
      <c r="I1401" s="71">
        <v>0.12</v>
      </c>
      <c r="J1401" s="72">
        <v>1000.0</v>
      </c>
      <c r="K1401" s="89"/>
      <c r="L1401" s="89"/>
      <c r="M1401" s="89"/>
      <c r="N1401" s="90"/>
      <c r="O1401" s="59"/>
      <c r="P1401" s="59"/>
      <c r="Q1401" s="59"/>
      <c r="R1401" s="59"/>
      <c r="S1401" s="59"/>
      <c r="T1401" s="59"/>
      <c r="U1401" s="59"/>
      <c r="V1401" s="59"/>
      <c r="W1401" s="59"/>
      <c r="X1401" s="59"/>
      <c r="Y1401" s="59"/>
      <c r="Z1401" s="59"/>
    </row>
    <row r="1402" ht="30.0" customHeight="1">
      <c r="A1402" s="68"/>
      <c r="B1402" s="86">
        <v>1416.0</v>
      </c>
      <c r="C1402" s="68"/>
      <c r="D1402" s="87" t="str">
        <f>CONCATENATE(PROPER('BIÑAN INFO'!$G1402),", ",PROPER('BIÑAN INFO'!$E1402)," ",PROPER('BIÑAN INFO'!$F1402),"."," (",UPPER('BIÑAN INFO'!$H1402),")")</f>
        <v>Silverio, Marian Imperial. ()</v>
      </c>
      <c r="E1402" s="87" t="s">
        <v>811</v>
      </c>
      <c r="F1402" s="87" t="s">
        <v>812</v>
      </c>
      <c r="G1402" s="87" t="s">
        <v>813</v>
      </c>
      <c r="H1402" s="87"/>
      <c r="I1402" s="71">
        <v>0.12</v>
      </c>
      <c r="J1402" s="72">
        <v>1000.0</v>
      </c>
      <c r="K1402" s="89"/>
      <c r="L1402" s="89"/>
      <c r="M1402" s="89"/>
      <c r="N1402" s="90"/>
      <c r="O1402" s="59"/>
      <c r="P1402" s="59"/>
      <c r="Q1402" s="59"/>
      <c r="R1402" s="59"/>
      <c r="S1402" s="59"/>
      <c r="T1402" s="59"/>
      <c r="U1402" s="59"/>
      <c r="V1402" s="59"/>
      <c r="W1402" s="59"/>
      <c r="X1402" s="59"/>
      <c r="Y1402" s="59"/>
      <c r="Z1402" s="59"/>
    </row>
    <row r="1403" ht="30.0" customHeight="1">
      <c r="A1403" s="68"/>
      <c r="B1403" s="86">
        <v>1417.0</v>
      </c>
      <c r="C1403" s="68"/>
      <c r="D1403" s="87" t="str">
        <f>CONCATENATE(PROPER('BIÑAN INFO'!$G1403),", ",PROPER('BIÑAN INFO'!$E1403)," ",PROPER('BIÑAN INFO'!$F1403),"."," (",UPPER('BIÑAN INFO'!$H1403),")")</f>
        <v>Geronimo, Luisa . ()</v>
      </c>
      <c r="E1403" s="87" t="s">
        <v>814</v>
      </c>
      <c r="F1403" s="87"/>
      <c r="G1403" s="87" t="s">
        <v>815</v>
      </c>
      <c r="H1403" s="87"/>
      <c r="I1403" s="71">
        <v>0.05</v>
      </c>
      <c r="J1403" s="72">
        <v>1000.0</v>
      </c>
      <c r="K1403" s="89" t="s">
        <v>50</v>
      </c>
      <c r="L1403" s="89" t="s">
        <v>816</v>
      </c>
      <c r="M1403" s="89">
        <v>2021.0</v>
      </c>
      <c r="N1403" s="90"/>
      <c r="O1403" s="59"/>
      <c r="P1403" s="59"/>
      <c r="Q1403" s="59"/>
      <c r="R1403" s="59"/>
      <c r="S1403" s="59"/>
      <c r="T1403" s="59"/>
      <c r="U1403" s="59"/>
      <c r="V1403" s="59"/>
      <c r="W1403" s="59"/>
      <c r="X1403" s="59"/>
      <c r="Y1403" s="59"/>
      <c r="Z1403" s="59"/>
    </row>
    <row r="1404" ht="30.0" customHeight="1">
      <c r="A1404" s="68"/>
      <c r="B1404" s="86">
        <v>1418.0</v>
      </c>
      <c r="C1404" s="68"/>
      <c r="D1404" s="87" t="str">
        <f>CONCATENATE(PROPER('BIÑAN INFO'!$G1404),", ",PROPER('BIÑAN INFO'!$E1404)," ",PROPER('BIÑAN INFO'!$F1404),"."," (",UPPER('BIÑAN INFO'!$H1404),")")</f>
        <v>Darbel, Decker . ()</v>
      </c>
      <c r="E1404" s="87" t="s">
        <v>817</v>
      </c>
      <c r="F1404" s="87"/>
      <c r="G1404" s="87" t="s">
        <v>818</v>
      </c>
      <c r="H1404" s="87"/>
      <c r="I1404" s="71">
        <v>0.12</v>
      </c>
      <c r="J1404" s="72">
        <v>1000.0</v>
      </c>
      <c r="K1404" s="89"/>
      <c r="L1404" s="89"/>
      <c r="M1404" s="89"/>
      <c r="N1404" s="90"/>
      <c r="O1404" s="59"/>
      <c r="P1404" s="59"/>
      <c r="Q1404" s="59"/>
      <c r="R1404" s="59"/>
      <c r="S1404" s="59"/>
      <c r="T1404" s="59"/>
      <c r="U1404" s="59"/>
      <c r="V1404" s="59"/>
      <c r="W1404" s="59"/>
      <c r="X1404" s="59"/>
      <c r="Y1404" s="59"/>
      <c r="Z1404" s="59"/>
    </row>
    <row r="1405" ht="30.0" customHeight="1">
      <c r="A1405" s="68"/>
      <c r="B1405" s="86">
        <v>1419.0</v>
      </c>
      <c r="C1405" s="68"/>
      <c r="D1405" s="87" t="str">
        <f>CONCATENATE(PROPER('BIÑAN INFO'!$G1405),", ",PROPER('BIÑAN INFO'!$E1405)," ",PROPER('BIÑAN INFO'!$F1405),"."," (",UPPER('BIÑAN INFO'!$H1405),")")</f>
        <v>Magana, Ricardo B. ()</v>
      </c>
      <c r="E1405" s="87" t="s">
        <v>819</v>
      </c>
      <c r="F1405" s="87" t="s">
        <v>627</v>
      </c>
      <c r="G1405" s="87" t="s">
        <v>820</v>
      </c>
      <c r="H1405" s="87"/>
      <c r="I1405" s="71">
        <v>0.12</v>
      </c>
      <c r="J1405" s="72">
        <v>1000.0</v>
      </c>
      <c r="K1405" s="89"/>
      <c r="L1405" s="89"/>
      <c r="M1405" s="89"/>
      <c r="N1405" s="90"/>
      <c r="O1405" s="59"/>
      <c r="P1405" s="59"/>
      <c r="Q1405" s="59"/>
      <c r="R1405" s="59"/>
      <c r="S1405" s="59"/>
      <c r="T1405" s="59"/>
      <c r="U1405" s="59"/>
      <c r="V1405" s="59"/>
      <c r="W1405" s="59"/>
      <c r="X1405" s="59"/>
      <c r="Y1405" s="59"/>
      <c r="Z1405" s="59"/>
    </row>
    <row r="1406" ht="30.0" customHeight="1">
      <c r="A1406" s="68"/>
      <c r="B1406" s="86">
        <v>1420.0</v>
      </c>
      <c r="C1406" s="68"/>
      <c r="D1406" s="87" t="str">
        <f>CONCATENATE(PROPER('BIÑAN INFO'!$G1406),", ",PROPER('BIÑAN INFO'!$E1406)," ",PROPER('BIÑAN INFO'!$F1406),"."," (",UPPER('BIÑAN INFO'!$H1406),")")</f>
        <v>Danico, Thomas . ()</v>
      </c>
      <c r="E1406" s="87" t="s">
        <v>801</v>
      </c>
      <c r="F1406" s="87"/>
      <c r="G1406" s="87" t="s">
        <v>802</v>
      </c>
      <c r="H1406" s="87"/>
      <c r="I1406" s="71">
        <v>0.12</v>
      </c>
      <c r="J1406" s="72">
        <v>1000.0</v>
      </c>
      <c r="K1406" s="89"/>
      <c r="L1406" s="89"/>
      <c r="M1406" s="89"/>
      <c r="N1406" s="90"/>
      <c r="O1406" s="59"/>
      <c r="P1406" s="59"/>
      <c r="Q1406" s="59"/>
      <c r="R1406" s="59"/>
      <c r="S1406" s="59"/>
      <c r="T1406" s="59"/>
      <c r="U1406" s="59"/>
      <c r="V1406" s="59"/>
      <c r="W1406" s="59"/>
      <c r="X1406" s="59"/>
      <c r="Y1406" s="59"/>
      <c r="Z1406" s="59"/>
    </row>
    <row r="1407" ht="30.0" customHeight="1">
      <c r="A1407" s="68"/>
      <c r="B1407" s="86">
        <v>1421.0</v>
      </c>
      <c r="C1407" s="68"/>
      <c r="D1407" s="87" t="str">
        <f>CONCATENATE(PROPER('BIÑAN INFO'!$G1407),", ",PROPER('BIÑAN INFO'!$E1407)," ",PROPER('BIÑAN INFO'!$F1407),"."," (",UPPER('BIÑAN INFO'!$H1407),")")</f>
        <v>Marceliano, Ma Teresa . ()</v>
      </c>
      <c r="E1407" s="87" t="s">
        <v>821</v>
      </c>
      <c r="F1407" s="87"/>
      <c r="G1407" s="87" t="s">
        <v>822</v>
      </c>
      <c r="H1407" s="87"/>
      <c r="I1407" s="71">
        <v>0.05</v>
      </c>
      <c r="J1407" s="72">
        <v>1000.0</v>
      </c>
      <c r="K1407" s="89" t="s">
        <v>50</v>
      </c>
      <c r="L1407" s="89" t="s">
        <v>81</v>
      </c>
      <c r="M1407" s="89">
        <v>2022.0</v>
      </c>
      <c r="N1407" s="90"/>
      <c r="O1407" s="59"/>
      <c r="P1407" s="59"/>
      <c r="Q1407" s="59"/>
      <c r="R1407" s="59"/>
      <c r="S1407" s="59"/>
      <c r="T1407" s="59"/>
      <c r="U1407" s="59"/>
      <c r="V1407" s="59"/>
      <c r="W1407" s="59"/>
      <c r="X1407" s="59"/>
      <c r="Y1407" s="59"/>
      <c r="Z1407" s="59"/>
    </row>
    <row r="1408" ht="30.0" customHeight="1">
      <c r="A1408" s="68"/>
      <c r="B1408" s="86">
        <v>1422.0</v>
      </c>
      <c r="C1408" s="68"/>
      <c r="D1408" s="87" t="str">
        <f>CONCATENATE(PROPER('BIÑAN INFO'!$G1408),", ",PROPER('BIÑAN INFO'!$E1408)," ",PROPER('BIÑAN INFO'!$F1408),"."," (",UPPER('BIÑAN INFO'!$H1408),")")</f>
        <v>Olazo, Luisito . ()</v>
      </c>
      <c r="E1408" s="87" t="s">
        <v>823</v>
      </c>
      <c r="F1408" s="87"/>
      <c r="G1408" s="87" t="s">
        <v>824</v>
      </c>
      <c r="H1408" s="87"/>
      <c r="I1408" s="71">
        <v>0.12</v>
      </c>
      <c r="J1408" s="72">
        <v>1000.0</v>
      </c>
      <c r="K1408" s="89"/>
      <c r="L1408" s="89"/>
      <c r="M1408" s="89"/>
      <c r="N1408" s="90"/>
      <c r="O1408" s="59"/>
      <c r="P1408" s="59"/>
      <c r="Q1408" s="59"/>
      <c r="R1408" s="59"/>
      <c r="S1408" s="59"/>
      <c r="T1408" s="59"/>
      <c r="U1408" s="59"/>
      <c r="V1408" s="59"/>
      <c r="W1408" s="59"/>
      <c r="X1408" s="59"/>
      <c r="Y1408" s="59"/>
      <c r="Z1408" s="59"/>
    </row>
    <row r="1409" ht="30.0" customHeight="1">
      <c r="A1409" s="68"/>
      <c r="B1409" s="86">
        <v>1423.0</v>
      </c>
      <c r="C1409" s="68"/>
      <c r="D1409" s="87" t="str">
        <f>CONCATENATE(PROPER('BIÑAN INFO'!$G1409),", ",PROPER('BIÑAN INFO'!$E1409)," ",PROPER('BIÑAN INFO'!$F1409),"."," (",UPPER('BIÑAN INFO'!$H1409),")")</f>
        <v>Quezada, Keneth . ()</v>
      </c>
      <c r="E1409" s="87" t="s">
        <v>825</v>
      </c>
      <c r="F1409" s="87"/>
      <c r="G1409" s="87" t="s">
        <v>826</v>
      </c>
      <c r="H1409" s="87"/>
      <c r="I1409" s="71">
        <v>0.12</v>
      </c>
      <c r="J1409" s="72">
        <v>1000.0</v>
      </c>
      <c r="K1409" s="89"/>
      <c r="L1409" s="89"/>
      <c r="M1409" s="89"/>
      <c r="N1409" s="90"/>
      <c r="O1409" s="59"/>
      <c r="P1409" s="59"/>
      <c r="Q1409" s="59"/>
      <c r="R1409" s="59"/>
      <c r="S1409" s="59"/>
      <c r="T1409" s="59"/>
      <c r="U1409" s="59"/>
      <c r="V1409" s="59"/>
      <c r="W1409" s="59"/>
      <c r="X1409" s="59"/>
      <c r="Y1409" s="59"/>
      <c r="Z1409" s="59"/>
    </row>
    <row r="1410" ht="30.0" customHeight="1">
      <c r="A1410" s="68"/>
      <c r="B1410" s="86">
        <v>1424.0</v>
      </c>
      <c r="C1410" s="68"/>
      <c r="D1410" s="87" t="str">
        <f>CONCATENATE(PROPER('BIÑAN INFO'!$G1410),", ",PROPER('BIÑAN INFO'!$E1410)," ",PROPER('BIÑAN INFO'!$F1410),"."," (",UPPER('BIÑAN INFO'!$H1410),")")</f>
        <v>Aquino, Jonathan B. ()</v>
      </c>
      <c r="E1410" s="87" t="s">
        <v>311</v>
      </c>
      <c r="F1410" s="87" t="s">
        <v>627</v>
      </c>
      <c r="G1410" s="87" t="s">
        <v>331</v>
      </c>
      <c r="H1410" s="87"/>
      <c r="I1410" s="71">
        <v>0.12</v>
      </c>
      <c r="J1410" s="72">
        <v>1000.0</v>
      </c>
      <c r="K1410" s="89"/>
      <c r="L1410" s="89"/>
      <c r="M1410" s="89"/>
      <c r="N1410" s="90"/>
      <c r="O1410" s="59"/>
      <c r="P1410" s="59"/>
      <c r="Q1410" s="59"/>
      <c r="R1410" s="59"/>
      <c r="S1410" s="59"/>
      <c r="T1410" s="59"/>
      <c r="U1410" s="59"/>
      <c r="V1410" s="59"/>
      <c r="W1410" s="59"/>
      <c r="X1410" s="59"/>
      <c r="Y1410" s="59"/>
      <c r="Z1410" s="59"/>
    </row>
    <row r="1411" ht="30.0" customHeight="1">
      <c r="A1411" s="68"/>
      <c r="B1411" s="86">
        <v>1425.0</v>
      </c>
      <c r="C1411" s="68"/>
      <c r="D1411" s="87" t="str">
        <f>CONCATENATE(PROPER('BIÑAN INFO'!$G1411),", ",PROPER('BIÑAN INFO'!$E1411)," ",PROPER('BIÑAN INFO'!$F1411),"."," (",UPPER('BIÑAN INFO'!$H1411),")")</f>
        <v>Magana, Rowena . ()</v>
      </c>
      <c r="E1411" s="87" t="s">
        <v>284</v>
      </c>
      <c r="F1411" s="87"/>
      <c r="G1411" s="87" t="s">
        <v>820</v>
      </c>
      <c r="H1411" s="87"/>
      <c r="I1411" s="71">
        <v>0.12</v>
      </c>
      <c r="J1411" s="72">
        <v>1000.0</v>
      </c>
      <c r="K1411" s="89"/>
      <c r="L1411" s="89"/>
      <c r="M1411" s="89"/>
      <c r="N1411" s="90"/>
      <c r="O1411" s="59"/>
      <c r="P1411" s="59"/>
      <c r="Q1411" s="59"/>
      <c r="R1411" s="59"/>
      <c r="S1411" s="59"/>
      <c r="T1411" s="59"/>
      <c r="U1411" s="59"/>
      <c r="V1411" s="59"/>
      <c r="W1411" s="59"/>
      <c r="X1411" s="59"/>
      <c r="Y1411" s="59"/>
      <c r="Z1411" s="59"/>
    </row>
    <row r="1412" ht="30.0" customHeight="1">
      <c r="A1412" s="68"/>
      <c r="B1412" s="86">
        <v>1426.0</v>
      </c>
      <c r="C1412" s="68"/>
      <c r="D1412" s="87" t="str">
        <f>CONCATENATE(PROPER('BIÑAN INFO'!$G1412),", ",PROPER('BIÑAN INFO'!$E1412)," ",PROPER('BIÑAN INFO'!$F1412),"."," (",UPPER('BIÑAN INFO'!$H1412),")")</f>
        <v>Apilan, Genciano Heredia. ()</v>
      </c>
      <c r="E1412" s="87" t="s">
        <v>827</v>
      </c>
      <c r="F1412" s="87" t="s">
        <v>828</v>
      </c>
      <c r="G1412" s="87" t="s">
        <v>829</v>
      </c>
      <c r="H1412" s="87"/>
      <c r="I1412" s="71">
        <v>0.05</v>
      </c>
      <c r="J1412" s="72">
        <v>1000.0</v>
      </c>
      <c r="K1412" s="89" t="s">
        <v>50</v>
      </c>
      <c r="L1412" s="89"/>
      <c r="M1412" s="89"/>
      <c r="N1412" s="90"/>
      <c r="O1412" s="59"/>
      <c r="P1412" s="59"/>
      <c r="Q1412" s="59"/>
      <c r="R1412" s="59"/>
      <c r="S1412" s="59"/>
      <c r="T1412" s="59"/>
      <c r="U1412" s="59"/>
      <c r="V1412" s="59"/>
      <c r="W1412" s="59"/>
      <c r="X1412" s="59"/>
      <c r="Y1412" s="59"/>
      <c r="Z1412" s="59"/>
    </row>
    <row r="1413" ht="30.0" customHeight="1">
      <c r="A1413" s="68"/>
      <c r="B1413" s="86">
        <v>1427.0</v>
      </c>
      <c r="C1413" s="68"/>
      <c r="D1413" s="87" t="str">
        <f>CONCATENATE(PROPER('BIÑAN INFO'!$G1413),", ",PROPER('BIÑAN INFO'!$E1413)," ",PROPER('BIÑAN INFO'!$F1413),"."," (",UPPER('BIÑAN INFO'!$H1413),")")</f>
        <v>, Oliver . ()</v>
      </c>
      <c r="E1413" s="87" t="s">
        <v>349</v>
      </c>
      <c r="F1413" s="87"/>
      <c r="G1413" s="87"/>
      <c r="H1413" s="87"/>
      <c r="I1413" s="71">
        <v>0.12</v>
      </c>
      <c r="J1413" s="72">
        <v>1000.0</v>
      </c>
      <c r="K1413" s="89"/>
      <c r="L1413" s="89"/>
      <c r="M1413" s="89"/>
      <c r="N1413" s="90"/>
      <c r="O1413" s="59"/>
      <c r="P1413" s="59"/>
      <c r="Q1413" s="59"/>
      <c r="R1413" s="59"/>
      <c r="S1413" s="59"/>
      <c r="T1413" s="59"/>
      <c r="U1413" s="59"/>
      <c r="V1413" s="59"/>
      <c r="W1413" s="59"/>
      <c r="X1413" s="59"/>
      <c r="Y1413" s="59"/>
      <c r="Z1413" s="59"/>
    </row>
    <row r="1414" ht="30.0" customHeight="1">
      <c r="A1414" s="68"/>
      <c r="B1414" s="86">
        <v>1428.0</v>
      </c>
      <c r="C1414" s="68"/>
      <c r="D1414" s="87" t="str">
        <f>CONCATENATE(PROPER('BIÑAN INFO'!$G1414),", ",PROPER('BIÑAN INFO'!$E1414)," ",PROPER('BIÑAN INFO'!$F1414),"."," (",UPPER('BIÑAN INFO'!$H1414),")")</f>
        <v>Martinez, Ruben . ()</v>
      </c>
      <c r="E1414" s="87" t="s">
        <v>830</v>
      </c>
      <c r="F1414" s="87"/>
      <c r="G1414" s="87" t="s">
        <v>831</v>
      </c>
      <c r="H1414" s="87"/>
      <c r="I1414" s="71">
        <v>0.12</v>
      </c>
      <c r="J1414" s="72">
        <v>1000.0</v>
      </c>
      <c r="K1414" s="89"/>
      <c r="L1414" s="89"/>
      <c r="M1414" s="89"/>
      <c r="N1414" s="90"/>
      <c r="O1414" s="59"/>
      <c r="P1414" s="59"/>
      <c r="Q1414" s="59"/>
      <c r="R1414" s="59"/>
      <c r="S1414" s="59"/>
      <c r="T1414" s="59"/>
      <c r="U1414" s="59"/>
      <c r="V1414" s="59"/>
      <c r="W1414" s="59"/>
      <c r="X1414" s="59"/>
      <c r="Y1414" s="59"/>
      <c r="Z1414" s="59"/>
    </row>
    <row r="1415" ht="30.0" customHeight="1">
      <c r="A1415" s="68"/>
      <c r="B1415" s="86">
        <v>1429.0</v>
      </c>
      <c r="C1415" s="68"/>
      <c r="D1415" s="87" t="str">
        <f>CONCATENATE(PROPER('BIÑAN INFO'!$G1415),", ",PROPER('BIÑAN INFO'!$E1415)," ",PROPER('BIÑAN INFO'!$F1415),"."," (",UPPER('BIÑAN INFO'!$H1415),")")</f>
        <v>,  . ()</v>
      </c>
      <c r="E1415" s="87"/>
      <c r="F1415" s="87"/>
      <c r="G1415" s="87"/>
      <c r="H1415" s="87"/>
      <c r="I1415" s="71">
        <v>0.12</v>
      </c>
      <c r="J1415" s="72">
        <v>1000.0</v>
      </c>
      <c r="K1415" s="89"/>
      <c r="L1415" s="89"/>
      <c r="M1415" s="89"/>
      <c r="N1415" s="90"/>
      <c r="O1415" s="59"/>
      <c r="P1415" s="59"/>
      <c r="Q1415" s="59"/>
      <c r="R1415" s="59"/>
      <c r="S1415" s="59"/>
      <c r="T1415" s="59"/>
      <c r="U1415" s="59"/>
      <c r="V1415" s="59"/>
      <c r="W1415" s="59"/>
      <c r="X1415" s="59"/>
      <c r="Y1415" s="59"/>
      <c r="Z1415" s="59"/>
    </row>
    <row r="1416" ht="30.0" customHeight="1">
      <c r="A1416" s="68"/>
      <c r="B1416" s="86">
        <v>1430.0</v>
      </c>
      <c r="C1416" s="68"/>
      <c r="D1416" s="87" t="str">
        <f>CONCATENATE(PROPER('BIÑAN INFO'!$G1416),", ",PROPER('BIÑAN INFO'!$E1416)," ",PROPER('BIÑAN INFO'!$F1416),"."," (",UPPER('BIÑAN INFO'!$H1416),")")</f>
        <v>Pura, Pedrito . ()</v>
      </c>
      <c r="E1416" s="87" t="s">
        <v>832</v>
      </c>
      <c r="F1416" s="87"/>
      <c r="G1416" s="87" t="s">
        <v>833</v>
      </c>
      <c r="H1416" s="87"/>
      <c r="I1416" s="71">
        <v>0.12</v>
      </c>
      <c r="J1416" s="72">
        <v>1000.0</v>
      </c>
      <c r="K1416" s="89"/>
      <c r="L1416" s="89"/>
      <c r="M1416" s="89"/>
      <c r="N1416" s="90"/>
      <c r="O1416" s="59"/>
      <c r="P1416" s="59"/>
      <c r="Q1416" s="59"/>
      <c r="R1416" s="59"/>
      <c r="S1416" s="59"/>
      <c r="T1416" s="59"/>
      <c r="U1416" s="59"/>
      <c r="V1416" s="59"/>
      <c r="W1416" s="59"/>
      <c r="X1416" s="59"/>
      <c r="Y1416" s="59"/>
      <c r="Z1416" s="59"/>
    </row>
    <row r="1417" ht="30.0" customHeight="1">
      <c r="A1417" s="68"/>
      <c r="B1417" s="86">
        <v>1431.0</v>
      </c>
      <c r="C1417" s="68"/>
      <c r="D1417" s="87" t="str">
        <f>CONCATENATE(PROPER('BIÑAN INFO'!$G1417),", ",PROPER('BIÑAN INFO'!$E1417)," ",PROPER('BIÑAN INFO'!$F1417),"."," (",UPPER('BIÑAN INFO'!$H1417),")")</f>
        <v>Padrilanan, Mary Ann . ()</v>
      </c>
      <c r="E1417" s="87" t="s">
        <v>834</v>
      </c>
      <c r="F1417" s="87"/>
      <c r="G1417" s="87" t="s">
        <v>835</v>
      </c>
      <c r="H1417" s="87"/>
      <c r="I1417" s="71">
        <v>0.12</v>
      </c>
      <c r="J1417" s="72">
        <v>1000.0</v>
      </c>
      <c r="K1417" s="89"/>
      <c r="L1417" s="89"/>
      <c r="M1417" s="89"/>
      <c r="N1417" s="90"/>
      <c r="O1417" s="59"/>
      <c r="P1417" s="59"/>
      <c r="Q1417" s="59"/>
      <c r="R1417" s="59"/>
      <c r="S1417" s="59"/>
      <c r="T1417" s="59"/>
      <c r="U1417" s="59"/>
      <c r="V1417" s="59"/>
      <c r="W1417" s="59"/>
      <c r="X1417" s="59"/>
      <c r="Y1417" s="59"/>
      <c r="Z1417" s="59"/>
    </row>
    <row r="1418" ht="30.0" customHeight="1">
      <c r="A1418" s="68"/>
      <c r="B1418" s="86">
        <v>1432.0</v>
      </c>
      <c r="C1418" s="68"/>
      <c r="D1418" s="87" t="str">
        <f>CONCATENATE(PROPER('BIÑAN INFO'!$G1418),", ",PROPER('BIÑAN INFO'!$E1418)," ",PROPER('BIÑAN INFO'!$F1418),"."," (",UPPER('BIÑAN INFO'!$H1418),")")</f>
        <v>Tilo, Armando . (JR)</v>
      </c>
      <c r="E1418" s="87" t="s">
        <v>174</v>
      </c>
      <c r="F1418" s="87"/>
      <c r="G1418" s="87" t="s">
        <v>836</v>
      </c>
      <c r="H1418" s="87" t="s">
        <v>629</v>
      </c>
      <c r="I1418" s="71">
        <v>0.12</v>
      </c>
      <c r="J1418" s="72">
        <v>1000.0</v>
      </c>
      <c r="K1418" s="89"/>
      <c r="L1418" s="89"/>
      <c r="M1418" s="89"/>
      <c r="N1418" s="90"/>
      <c r="O1418" s="59"/>
      <c r="P1418" s="59"/>
      <c r="Q1418" s="59"/>
      <c r="R1418" s="59"/>
      <c r="S1418" s="59"/>
      <c r="T1418" s="59"/>
      <c r="U1418" s="59"/>
      <c r="V1418" s="59"/>
      <c r="W1418" s="59"/>
      <c r="X1418" s="59"/>
      <c r="Y1418" s="59"/>
      <c r="Z1418" s="59"/>
    </row>
    <row r="1419" ht="30.0" customHeight="1">
      <c r="A1419" s="68"/>
      <c r="B1419" s="86">
        <v>1433.0</v>
      </c>
      <c r="C1419" s="68"/>
      <c r="D1419" s="87" t="str">
        <f>CONCATENATE(PROPER('BIÑAN INFO'!$G1419),", ",PROPER('BIÑAN INFO'!$E1419)," ",PROPER('BIÑAN INFO'!$F1419),"."," (",UPPER('BIÑAN INFO'!$H1419),")")</f>
        <v>Encontro, Ricardo . ()</v>
      </c>
      <c r="E1419" s="87" t="s">
        <v>819</v>
      </c>
      <c r="F1419" s="87"/>
      <c r="G1419" s="87" t="s">
        <v>837</v>
      </c>
      <c r="H1419" s="87"/>
      <c r="I1419" s="71">
        <v>0.12</v>
      </c>
      <c r="J1419" s="72">
        <v>1000.0</v>
      </c>
      <c r="K1419" s="89"/>
      <c r="L1419" s="89"/>
      <c r="M1419" s="89"/>
      <c r="N1419" s="90"/>
      <c r="O1419" s="59"/>
      <c r="P1419" s="59"/>
      <c r="Q1419" s="59"/>
      <c r="R1419" s="59"/>
      <c r="S1419" s="59"/>
      <c r="T1419" s="59"/>
      <c r="U1419" s="59"/>
      <c r="V1419" s="59"/>
      <c r="W1419" s="59"/>
      <c r="X1419" s="59"/>
      <c r="Y1419" s="59"/>
      <c r="Z1419" s="59"/>
    </row>
    <row r="1420" ht="30.0" customHeight="1">
      <c r="A1420" s="68"/>
      <c r="B1420" s="86">
        <v>1434.0</v>
      </c>
      <c r="C1420" s="68"/>
      <c r="D1420" s="87" t="str">
        <f>CONCATENATE(PROPER('BIÑAN INFO'!$G1420),", ",PROPER('BIÑAN INFO'!$E1420)," ",PROPER('BIÑAN INFO'!$F1420),"."," (",UPPER('BIÑAN INFO'!$H1420),")")</f>
        <v>Caspe, Betty . ()</v>
      </c>
      <c r="E1420" s="87" t="s">
        <v>838</v>
      </c>
      <c r="F1420" s="87"/>
      <c r="G1420" s="87" t="s">
        <v>839</v>
      </c>
      <c r="H1420" s="87"/>
      <c r="I1420" s="71">
        <v>0.12</v>
      </c>
      <c r="J1420" s="72">
        <v>1000.0</v>
      </c>
      <c r="K1420" s="89"/>
      <c r="L1420" s="89"/>
      <c r="M1420" s="89"/>
      <c r="N1420" s="90"/>
      <c r="O1420" s="59"/>
      <c r="P1420" s="59"/>
      <c r="Q1420" s="59"/>
      <c r="R1420" s="59"/>
      <c r="S1420" s="59"/>
      <c r="T1420" s="59"/>
      <c r="U1420" s="59"/>
      <c r="V1420" s="59"/>
      <c r="W1420" s="59"/>
      <c r="X1420" s="59"/>
      <c r="Y1420" s="59"/>
      <c r="Z1420" s="59"/>
    </row>
    <row r="1421" ht="30.0" customHeight="1">
      <c r="A1421" s="68"/>
      <c r="B1421" s="86">
        <v>1435.0</v>
      </c>
      <c r="C1421" s="68"/>
      <c r="D1421" s="87" t="str">
        <f>CONCATENATE(PROPER('BIÑAN INFO'!$G1421),", ",PROPER('BIÑAN INFO'!$E1421)," ",PROPER('BIÑAN INFO'!$F1421),"."," (",UPPER('BIÑAN INFO'!$H1421),")")</f>
        <v>Lagaspi, Margie Mercado. ()</v>
      </c>
      <c r="E1421" s="87" t="s">
        <v>582</v>
      </c>
      <c r="F1421" s="87" t="s">
        <v>840</v>
      </c>
      <c r="G1421" s="87" t="s">
        <v>841</v>
      </c>
      <c r="H1421" s="87"/>
      <c r="I1421" s="71">
        <v>0.12</v>
      </c>
      <c r="J1421" s="72">
        <v>1000.0</v>
      </c>
      <c r="K1421" s="89"/>
      <c r="L1421" s="89"/>
      <c r="M1421" s="89"/>
      <c r="N1421" s="90"/>
      <c r="O1421" s="59"/>
      <c r="P1421" s="59"/>
      <c r="Q1421" s="59"/>
      <c r="R1421" s="59"/>
      <c r="S1421" s="59"/>
      <c r="T1421" s="59"/>
      <c r="U1421" s="59"/>
      <c r="V1421" s="59"/>
      <c r="W1421" s="59"/>
      <c r="X1421" s="59"/>
      <c r="Y1421" s="59"/>
      <c r="Z1421" s="59"/>
    </row>
    <row r="1422" ht="30.0" customHeight="1">
      <c r="A1422" s="68"/>
      <c r="B1422" s="86">
        <v>1436.0</v>
      </c>
      <c r="C1422" s="68"/>
      <c r="D1422" s="87" t="str">
        <f>CONCATENATE(PROPER('BIÑAN INFO'!$G1422),", ",PROPER('BIÑAN INFO'!$E1422)," ",PROPER('BIÑAN INFO'!$F1422),"."," (",UPPER('BIÑAN INFO'!$H1422),")")</f>
        <v>Canoy, Almario Carag. ()</v>
      </c>
      <c r="E1422" s="87" t="s">
        <v>842</v>
      </c>
      <c r="F1422" s="87" t="s">
        <v>843</v>
      </c>
      <c r="G1422" s="87" t="s">
        <v>844</v>
      </c>
      <c r="H1422" s="87"/>
      <c r="I1422" s="71">
        <v>0.12</v>
      </c>
      <c r="J1422" s="72">
        <v>1000.0</v>
      </c>
      <c r="K1422" s="89"/>
      <c r="L1422" s="89"/>
      <c r="M1422" s="89"/>
      <c r="N1422" s="90"/>
      <c r="O1422" s="59"/>
      <c r="P1422" s="59"/>
      <c r="Q1422" s="59"/>
      <c r="R1422" s="59"/>
      <c r="S1422" s="59"/>
      <c r="T1422" s="59"/>
      <c r="U1422" s="59"/>
      <c r="V1422" s="59"/>
      <c r="W1422" s="59"/>
      <c r="X1422" s="59"/>
      <c r="Y1422" s="59"/>
      <c r="Z1422" s="59"/>
    </row>
    <row r="1423" ht="30.0" customHeight="1">
      <c r="A1423" s="68"/>
      <c r="B1423" s="86">
        <v>1437.0</v>
      </c>
      <c r="C1423" s="68"/>
      <c r="D1423" s="87" t="str">
        <f>CONCATENATE(PROPER('BIÑAN INFO'!$G1423),", ",PROPER('BIÑAN INFO'!$E1423)," ",PROPER('BIÑAN INFO'!$F1423),"."," (",UPPER('BIÑAN INFO'!$H1423),")")</f>
        <v>Mallilin, Ronald Ramos. ()</v>
      </c>
      <c r="E1423" s="87" t="s">
        <v>573</v>
      </c>
      <c r="F1423" s="87" t="s">
        <v>74</v>
      </c>
      <c r="G1423" s="87" t="s">
        <v>845</v>
      </c>
      <c r="H1423" s="87"/>
      <c r="I1423" s="71">
        <v>0.05</v>
      </c>
      <c r="J1423" s="72">
        <v>1000.0</v>
      </c>
      <c r="K1423" s="89" t="s">
        <v>50</v>
      </c>
      <c r="L1423" s="89" t="s">
        <v>465</v>
      </c>
      <c r="M1423" s="89">
        <v>2022.0</v>
      </c>
      <c r="N1423" s="90"/>
      <c r="O1423" s="59"/>
      <c r="P1423" s="59"/>
      <c r="Q1423" s="59"/>
      <c r="R1423" s="59"/>
      <c r="S1423" s="59"/>
      <c r="T1423" s="59"/>
      <c r="U1423" s="59"/>
      <c r="V1423" s="59"/>
      <c r="W1423" s="59"/>
      <c r="X1423" s="59"/>
      <c r="Y1423" s="59"/>
      <c r="Z1423" s="59"/>
    </row>
    <row r="1424" ht="30.0" customHeight="1">
      <c r="A1424" s="68"/>
      <c r="B1424" s="86">
        <v>1438.0</v>
      </c>
      <c r="C1424" s="68"/>
      <c r="D1424" s="87" t="str">
        <f>CONCATENATE(PROPER('BIÑAN INFO'!$G1424),", ",PROPER('BIÑAN INFO'!$E1424)," ",PROPER('BIÑAN INFO'!$F1424),"."," (",UPPER('BIÑAN INFO'!$H1424),")")</f>
        <v>Jucutan, Joel . ()</v>
      </c>
      <c r="E1424" s="87" t="s">
        <v>846</v>
      </c>
      <c r="F1424" s="87"/>
      <c r="G1424" s="87" t="s">
        <v>847</v>
      </c>
      <c r="H1424" s="87"/>
      <c r="I1424" s="71">
        <v>0.12</v>
      </c>
      <c r="J1424" s="72">
        <v>1000.0</v>
      </c>
      <c r="K1424" s="89"/>
      <c r="L1424" s="89"/>
      <c r="M1424" s="89"/>
      <c r="N1424" s="90"/>
      <c r="O1424" s="59"/>
      <c r="P1424" s="59"/>
      <c r="Q1424" s="59"/>
      <c r="R1424" s="59"/>
      <c r="S1424" s="59"/>
      <c r="T1424" s="59"/>
      <c r="U1424" s="59"/>
      <c r="V1424" s="59"/>
      <c r="W1424" s="59"/>
      <c r="X1424" s="59"/>
      <c r="Y1424" s="59"/>
      <c r="Z1424" s="59"/>
    </row>
    <row r="1425" ht="30.0" customHeight="1">
      <c r="A1425" s="68"/>
      <c r="B1425" s="86">
        <v>1439.0</v>
      </c>
      <c r="C1425" s="68"/>
      <c r="D1425" s="87" t="str">
        <f>CONCATENATE(PROPER('BIÑAN INFO'!$G1425),", ",PROPER('BIÑAN INFO'!$E1425)," ",PROPER('BIÑAN INFO'!$F1425),"."," (",UPPER('BIÑAN INFO'!$H1425),")")</f>
        <v>Emploma, Rodolfo . ()</v>
      </c>
      <c r="E1425" s="87" t="s">
        <v>53</v>
      </c>
      <c r="F1425" s="87"/>
      <c r="G1425" s="87" t="s">
        <v>848</v>
      </c>
      <c r="H1425" s="87"/>
      <c r="I1425" s="71">
        <v>0.12</v>
      </c>
      <c r="J1425" s="72">
        <v>1000.0</v>
      </c>
      <c r="K1425" s="89"/>
      <c r="L1425" s="89"/>
      <c r="M1425" s="89"/>
      <c r="N1425" s="90"/>
      <c r="O1425" s="59"/>
      <c r="P1425" s="59"/>
      <c r="Q1425" s="59"/>
      <c r="R1425" s="59"/>
      <c r="S1425" s="59"/>
      <c r="T1425" s="59"/>
      <c r="U1425" s="59"/>
      <c r="V1425" s="59"/>
      <c r="W1425" s="59"/>
      <c r="X1425" s="59"/>
      <c r="Y1425" s="59"/>
      <c r="Z1425" s="59"/>
    </row>
    <row r="1426" ht="30.0" customHeight="1">
      <c r="A1426" s="68"/>
      <c r="B1426" s="86">
        <v>1440.0</v>
      </c>
      <c r="C1426" s="68"/>
      <c r="D1426" s="87" t="str">
        <f>CONCATENATE(PROPER('BIÑAN INFO'!$G1426),", ",PROPER('BIÑAN INFO'!$E1426)," ",PROPER('BIÑAN INFO'!$F1426),"."," (",UPPER('BIÑAN INFO'!$H1426),")")</f>
        <v>Abellanida, Nancy Uy. ()</v>
      </c>
      <c r="E1426" s="87" t="s">
        <v>849</v>
      </c>
      <c r="F1426" s="87" t="s">
        <v>850</v>
      </c>
      <c r="G1426" s="87" t="s">
        <v>851</v>
      </c>
      <c r="H1426" s="87"/>
      <c r="I1426" s="71">
        <v>0.05</v>
      </c>
      <c r="J1426" s="72">
        <v>1000.0</v>
      </c>
      <c r="K1426" s="89" t="s">
        <v>50</v>
      </c>
      <c r="L1426" s="89" t="s">
        <v>852</v>
      </c>
      <c r="M1426" s="89">
        <v>2021.0</v>
      </c>
      <c r="N1426" s="90"/>
      <c r="O1426" s="59"/>
      <c r="P1426" s="59"/>
      <c r="Q1426" s="59"/>
      <c r="R1426" s="59"/>
      <c r="S1426" s="59"/>
      <c r="T1426" s="59"/>
      <c r="U1426" s="59"/>
      <c r="V1426" s="59"/>
      <c r="W1426" s="59"/>
      <c r="X1426" s="59"/>
      <c r="Y1426" s="59"/>
      <c r="Z1426" s="59"/>
    </row>
    <row r="1427" ht="30.0" customHeight="1">
      <c r="A1427" s="68"/>
      <c r="B1427" s="86">
        <v>1441.0</v>
      </c>
      <c r="C1427" s="68"/>
      <c r="D1427" s="87" t="str">
        <f>CONCATENATE(PROPER('BIÑAN INFO'!$G1427),", ",PROPER('BIÑAN INFO'!$E1427)," ",PROPER('BIÑAN INFO'!$F1427),"."," (",UPPER('BIÑAN INFO'!$H1427),")")</f>
        <v>Lee, Julius . ()</v>
      </c>
      <c r="E1427" s="87" t="s">
        <v>771</v>
      </c>
      <c r="F1427" s="87"/>
      <c r="G1427" s="87" t="s">
        <v>853</v>
      </c>
      <c r="H1427" s="87"/>
      <c r="I1427" s="71">
        <v>0.12</v>
      </c>
      <c r="J1427" s="72">
        <v>1000.0</v>
      </c>
      <c r="K1427" s="89"/>
      <c r="L1427" s="89"/>
      <c r="M1427" s="89"/>
      <c r="N1427" s="90"/>
      <c r="O1427" s="59"/>
      <c r="P1427" s="59"/>
      <c r="Q1427" s="59"/>
      <c r="R1427" s="59"/>
      <c r="S1427" s="59"/>
      <c r="T1427" s="59"/>
      <c r="U1427" s="59"/>
      <c r="V1427" s="59"/>
      <c r="W1427" s="59"/>
      <c r="X1427" s="59"/>
      <c r="Y1427" s="59"/>
      <c r="Z1427" s="59"/>
    </row>
    <row r="1428" ht="30.0" customHeight="1">
      <c r="A1428" s="68"/>
      <c r="B1428" s="86">
        <v>1442.0</v>
      </c>
      <c r="C1428" s="68"/>
      <c r="D1428" s="87" t="str">
        <f>CONCATENATE(PROPER('BIÑAN INFO'!$G1428),", ",PROPER('BIÑAN INFO'!$E1428)," ",PROPER('BIÑAN INFO'!$F1428),"."," (",UPPER('BIÑAN INFO'!$H1428),")")</f>
        <v>Danico, Jocelyn . ()</v>
      </c>
      <c r="E1428" s="87" t="s">
        <v>290</v>
      </c>
      <c r="F1428" s="87"/>
      <c r="G1428" s="87" t="s">
        <v>802</v>
      </c>
      <c r="H1428" s="87"/>
      <c r="I1428" s="71">
        <v>0.12</v>
      </c>
      <c r="J1428" s="72">
        <v>1000.0</v>
      </c>
      <c r="K1428" s="89"/>
      <c r="L1428" s="89"/>
      <c r="M1428" s="89"/>
      <c r="N1428" s="90"/>
      <c r="O1428" s="59"/>
      <c r="P1428" s="59"/>
      <c r="Q1428" s="59"/>
      <c r="R1428" s="59"/>
      <c r="S1428" s="59"/>
      <c r="T1428" s="59"/>
      <c r="U1428" s="59"/>
      <c r="V1428" s="59"/>
      <c r="W1428" s="59"/>
      <c r="X1428" s="59"/>
      <c r="Y1428" s="59"/>
      <c r="Z1428" s="59"/>
    </row>
    <row r="1429" ht="30.0" customHeight="1">
      <c r="A1429" s="68"/>
      <c r="B1429" s="86">
        <v>1443.0</v>
      </c>
      <c r="C1429" s="68"/>
      <c r="D1429" s="87" t="str">
        <f>CONCATENATE(PROPER('BIÑAN INFO'!$G1429),", ",PROPER('BIÑAN INFO'!$E1429)," ",PROPER('BIÑAN INFO'!$F1429),"."," (",UPPER('BIÑAN INFO'!$H1429),")")</f>
        <v>Ornofia, Cecilia Awid. ()</v>
      </c>
      <c r="E1429" s="87" t="s">
        <v>306</v>
      </c>
      <c r="F1429" s="87" t="s">
        <v>854</v>
      </c>
      <c r="G1429" s="87" t="s">
        <v>855</v>
      </c>
      <c r="H1429" s="87"/>
      <c r="I1429" s="71">
        <v>0.05</v>
      </c>
      <c r="J1429" s="72">
        <v>1000.0</v>
      </c>
      <c r="K1429" s="89" t="s">
        <v>50</v>
      </c>
      <c r="L1429" s="89" t="s">
        <v>856</v>
      </c>
      <c r="M1429" s="89">
        <v>2020.0</v>
      </c>
      <c r="N1429" s="90"/>
      <c r="O1429" s="59"/>
      <c r="P1429" s="59"/>
      <c r="Q1429" s="59"/>
      <c r="R1429" s="59"/>
      <c r="S1429" s="59"/>
      <c r="T1429" s="59"/>
      <c r="U1429" s="59"/>
      <c r="V1429" s="59"/>
      <c r="W1429" s="59"/>
      <c r="X1429" s="59"/>
      <c r="Y1429" s="59"/>
      <c r="Z1429" s="59"/>
    </row>
    <row r="1430" ht="30.0" customHeight="1">
      <c r="A1430" s="68"/>
      <c r="B1430" s="86">
        <v>1444.0</v>
      </c>
      <c r="C1430" s="68"/>
      <c r="D1430" s="87" t="str">
        <f>CONCATENATE(PROPER('BIÑAN INFO'!$G1430),", ",PROPER('BIÑAN INFO'!$E1430)," ",PROPER('BIÑAN INFO'!$F1430),"."," (",UPPER('BIÑAN INFO'!$H1430),")")</f>
        <v>,  . ()</v>
      </c>
      <c r="E1430" s="87"/>
      <c r="F1430" s="87"/>
      <c r="G1430" s="87"/>
      <c r="H1430" s="87"/>
      <c r="I1430" s="71">
        <v>0.12</v>
      </c>
      <c r="J1430" s="72">
        <v>1000.0</v>
      </c>
      <c r="K1430" s="89"/>
      <c r="L1430" s="89"/>
      <c r="M1430" s="89"/>
      <c r="N1430" s="90"/>
      <c r="O1430" s="59"/>
      <c r="P1430" s="59"/>
      <c r="Q1430" s="59"/>
      <c r="R1430" s="59"/>
      <c r="S1430" s="59"/>
      <c r="T1430" s="59"/>
      <c r="U1430" s="59"/>
      <c r="V1430" s="59"/>
      <c r="W1430" s="59"/>
      <c r="X1430" s="59"/>
      <c r="Y1430" s="59"/>
      <c r="Z1430" s="59"/>
    </row>
    <row r="1431" ht="30.0" customHeight="1">
      <c r="A1431" s="68"/>
      <c r="B1431" s="86">
        <v>1445.0</v>
      </c>
      <c r="C1431" s="68"/>
      <c r="D1431" s="87" t="str">
        <f>CONCATENATE(PROPER('BIÑAN INFO'!$G1431),", ",PROPER('BIÑAN INFO'!$E1431)," ",PROPER('BIÑAN INFO'!$F1431),"."," (",UPPER('BIÑAN INFO'!$H1431),")")</f>
        <v>,  . ()</v>
      </c>
      <c r="E1431" s="87"/>
      <c r="F1431" s="87"/>
      <c r="G1431" s="87"/>
      <c r="H1431" s="87"/>
      <c r="I1431" s="71">
        <v>0.12</v>
      </c>
      <c r="J1431" s="72">
        <v>1000.0</v>
      </c>
      <c r="K1431" s="89"/>
      <c r="L1431" s="89"/>
      <c r="M1431" s="89"/>
      <c r="N1431" s="90"/>
      <c r="O1431" s="59"/>
      <c r="P1431" s="59"/>
      <c r="Q1431" s="59"/>
      <c r="R1431" s="59"/>
      <c r="S1431" s="59"/>
      <c r="T1431" s="59"/>
      <c r="U1431" s="59"/>
      <c r="V1431" s="59"/>
      <c r="W1431" s="59"/>
      <c r="X1431" s="59"/>
      <c r="Y1431" s="59"/>
      <c r="Z1431" s="59"/>
    </row>
    <row r="1432" ht="30.0" customHeight="1">
      <c r="A1432" s="68"/>
      <c r="B1432" s="86">
        <v>1446.0</v>
      </c>
      <c r="C1432" s="68"/>
      <c r="D1432" s="87" t="str">
        <f>CONCATENATE(PROPER('BIÑAN INFO'!$G1432),", ",PROPER('BIÑAN INFO'!$E1432)," ",PROPER('BIÑAN INFO'!$F1432),"."," (",UPPER('BIÑAN INFO'!$H1432),")")</f>
        <v>Signo, Joanne Corie Alano. ()</v>
      </c>
      <c r="E1432" s="87" t="s">
        <v>857</v>
      </c>
      <c r="F1432" s="87" t="s">
        <v>114</v>
      </c>
      <c r="G1432" s="87" t="s">
        <v>858</v>
      </c>
      <c r="H1432" s="87"/>
      <c r="I1432" s="71">
        <v>0.05</v>
      </c>
      <c r="J1432" s="72">
        <v>1000.0</v>
      </c>
      <c r="K1432" s="89" t="s">
        <v>50</v>
      </c>
      <c r="L1432" s="89" t="s">
        <v>81</v>
      </c>
      <c r="M1432" s="89">
        <v>2020.0</v>
      </c>
      <c r="N1432" s="90"/>
      <c r="O1432" s="59"/>
      <c r="P1432" s="59"/>
      <c r="Q1432" s="59"/>
      <c r="R1432" s="59"/>
      <c r="S1432" s="59"/>
      <c r="T1432" s="59"/>
      <c r="U1432" s="59"/>
      <c r="V1432" s="59"/>
      <c r="W1432" s="59"/>
      <c r="X1432" s="59"/>
      <c r="Y1432" s="59"/>
      <c r="Z1432" s="59"/>
    </row>
    <row r="1433" ht="30.0" customHeight="1">
      <c r="A1433" s="68"/>
      <c r="B1433" s="86">
        <v>1447.0</v>
      </c>
      <c r="C1433" s="68"/>
      <c r="D1433" s="87" t="str">
        <f>CONCATENATE(PROPER('BIÑAN INFO'!$G1433),", ",PROPER('BIÑAN INFO'!$E1433)," ",PROPER('BIÑAN INFO'!$F1433),"."," (",UPPER('BIÑAN INFO'!$H1433),")")</f>
        <v>Escueta, Carina . ()</v>
      </c>
      <c r="E1433" s="87" t="s">
        <v>859</v>
      </c>
      <c r="F1433" s="87"/>
      <c r="G1433" s="87" t="s">
        <v>860</v>
      </c>
      <c r="H1433" s="87"/>
      <c r="I1433" s="71">
        <v>0.05</v>
      </c>
      <c r="J1433" s="72">
        <v>1000.0</v>
      </c>
      <c r="K1433" s="89" t="s">
        <v>50</v>
      </c>
      <c r="L1433" s="89"/>
      <c r="M1433" s="89"/>
      <c r="N1433" s="90"/>
      <c r="O1433" s="59"/>
      <c r="P1433" s="59"/>
      <c r="Q1433" s="59"/>
      <c r="R1433" s="59"/>
      <c r="S1433" s="59"/>
      <c r="T1433" s="59"/>
      <c r="U1433" s="59"/>
      <c r="V1433" s="59"/>
      <c r="W1433" s="59"/>
      <c r="X1433" s="59"/>
      <c r="Y1433" s="59"/>
      <c r="Z1433" s="59"/>
    </row>
    <row r="1434" ht="30.0" customHeight="1">
      <c r="A1434" s="68"/>
      <c r="B1434" s="86">
        <v>1448.0</v>
      </c>
      <c r="C1434" s="68"/>
      <c r="D1434" s="87" t="str">
        <f>CONCATENATE(PROPER('BIÑAN INFO'!$G1434),", ",PROPER('BIÑAN INFO'!$E1434)," ",PROPER('BIÑAN INFO'!$F1434),"."," (",UPPER('BIÑAN INFO'!$H1434),")")</f>
        <v>Amar, Benjamin . ()</v>
      </c>
      <c r="E1434" s="87" t="s">
        <v>186</v>
      </c>
      <c r="F1434" s="87"/>
      <c r="G1434" s="87" t="s">
        <v>861</v>
      </c>
      <c r="H1434" s="87"/>
      <c r="I1434" s="71">
        <v>0.12</v>
      </c>
      <c r="J1434" s="72">
        <v>1000.0</v>
      </c>
      <c r="K1434" s="89"/>
      <c r="L1434" s="89"/>
      <c r="M1434" s="89"/>
      <c r="N1434" s="90"/>
      <c r="O1434" s="59"/>
      <c r="P1434" s="59"/>
      <c r="Q1434" s="59"/>
      <c r="R1434" s="59"/>
      <c r="S1434" s="59"/>
      <c r="T1434" s="59"/>
      <c r="U1434" s="59"/>
      <c r="V1434" s="59"/>
      <c r="W1434" s="59"/>
      <c r="X1434" s="59"/>
      <c r="Y1434" s="59"/>
      <c r="Z1434" s="59"/>
    </row>
    <row r="1435" ht="30.0" customHeight="1">
      <c r="A1435" s="68"/>
      <c r="B1435" s="86">
        <v>1449.0</v>
      </c>
      <c r="C1435" s="68"/>
      <c r="D1435" s="87" t="str">
        <f>CONCATENATE(PROPER('BIÑAN INFO'!$G1435),", ",PROPER('BIÑAN INFO'!$E1435)," ",PROPER('BIÑAN INFO'!$F1435),"."," (",UPPER('BIÑAN INFO'!$H1435),")")</f>
        <v>Hinojales, Candelaria Vidad. ()</v>
      </c>
      <c r="E1435" s="87" t="s">
        <v>862</v>
      </c>
      <c r="F1435" s="87" t="s">
        <v>863</v>
      </c>
      <c r="G1435" s="87" t="s">
        <v>864</v>
      </c>
      <c r="H1435" s="87"/>
      <c r="I1435" s="71">
        <v>0.05</v>
      </c>
      <c r="J1435" s="72">
        <v>1000.0</v>
      </c>
      <c r="K1435" s="89" t="s">
        <v>50</v>
      </c>
      <c r="L1435" s="89" t="s">
        <v>81</v>
      </c>
      <c r="M1435" s="89">
        <v>2022.0</v>
      </c>
      <c r="N1435" s="90"/>
      <c r="O1435" s="59"/>
      <c r="P1435" s="59"/>
      <c r="Q1435" s="59"/>
      <c r="R1435" s="59"/>
      <c r="S1435" s="59"/>
      <c r="T1435" s="59"/>
      <c r="U1435" s="59"/>
      <c r="V1435" s="59"/>
      <c r="W1435" s="59"/>
      <c r="X1435" s="59"/>
      <c r="Y1435" s="59"/>
      <c r="Z1435" s="59"/>
    </row>
    <row r="1436" ht="30.0" customHeight="1">
      <c r="A1436" s="68"/>
      <c r="B1436" s="86">
        <v>1450.0</v>
      </c>
      <c r="C1436" s="68"/>
      <c r="D1436" s="87" t="str">
        <f>CONCATENATE(PROPER('BIÑAN INFO'!$G1436),", ",PROPER('BIÑAN INFO'!$E1436)," ",PROPER('BIÑAN INFO'!$F1436),"."," (",UPPER('BIÑAN INFO'!$H1436),")")</f>
        <v>Jeremias, Raymond . ()</v>
      </c>
      <c r="E1436" s="87" t="s">
        <v>381</v>
      </c>
      <c r="F1436" s="87"/>
      <c r="G1436" s="87" t="s">
        <v>865</v>
      </c>
      <c r="H1436" s="87"/>
      <c r="I1436" s="71">
        <v>0.12</v>
      </c>
      <c r="J1436" s="72">
        <v>1000.0</v>
      </c>
      <c r="K1436" s="89"/>
      <c r="L1436" s="89"/>
      <c r="M1436" s="89"/>
      <c r="N1436" s="90"/>
      <c r="O1436" s="59"/>
      <c r="P1436" s="59"/>
      <c r="Q1436" s="59"/>
      <c r="R1436" s="59"/>
      <c r="S1436" s="59"/>
      <c r="T1436" s="59"/>
      <c r="U1436" s="59"/>
      <c r="V1436" s="59"/>
      <c r="W1436" s="59"/>
      <c r="X1436" s="59"/>
      <c r="Y1436" s="59"/>
      <c r="Z1436" s="59"/>
    </row>
    <row r="1437" ht="30.0" customHeight="1">
      <c r="A1437" s="68"/>
      <c r="B1437" s="86">
        <v>1451.0</v>
      </c>
      <c r="C1437" s="68"/>
      <c r="D1437" s="87" t="str">
        <f>CONCATENATE(PROPER('BIÑAN INFO'!$G1437),", ",PROPER('BIÑAN INFO'!$E1437)," ",PROPER('BIÑAN INFO'!$F1437),"."," (",UPPER('BIÑAN INFO'!$H1437),")")</f>
        <v>Irog, Luis Delos Santos. ()</v>
      </c>
      <c r="E1437" s="87" t="s">
        <v>792</v>
      </c>
      <c r="F1437" s="87" t="s">
        <v>346</v>
      </c>
      <c r="G1437" s="87" t="s">
        <v>141</v>
      </c>
      <c r="H1437" s="87"/>
      <c r="I1437" s="71">
        <v>0.05</v>
      </c>
      <c r="J1437" s="72">
        <v>1000.0</v>
      </c>
      <c r="K1437" s="89" t="s">
        <v>50</v>
      </c>
      <c r="L1437" s="89" t="s">
        <v>465</v>
      </c>
      <c r="M1437" s="89">
        <v>2021.0</v>
      </c>
      <c r="N1437" s="90"/>
      <c r="O1437" s="59"/>
      <c r="P1437" s="59"/>
      <c r="Q1437" s="59"/>
      <c r="R1437" s="59"/>
      <c r="S1437" s="59"/>
      <c r="T1437" s="59"/>
      <c r="U1437" s="59"/>
      <c r="V1437" s="59"/>
      <c r="W1437" s="59"/>
      <c r="X1437" s="59"/>
      <c r="Y1437" s="59"/>
      <c r="Z1437" s="59"/>
    </row>
    <row r="1438" ht="30.0" customHeight="1">
      <c r="A1438" s="68"/>
      <c r="B1438" s="86">
        <v>1452.0</v>
      </c>
      <c r="C1438" s="68"/>
      <c r="D1438" s="87" t="str">
        <f>CONCATENATE(PROPER('BIÑAN INFO'!$G1438),", ",PROPER('BIÑAN INFO'!$E1438)," ",PROPER('BIÑAN INFO'!$F1438),"."," (",UPPER('BIÑAN INFO'!$H1438),")")</f>
        <v>Petalio, Eden Redondo. ()</v>
      </c>
      <c r="E1438" s="87" t="s">
        <v>866</v>
      </c>
      <c r="F1438" s="87" t="s">
        <v>371</v>
      </c>
      <c r="G1438" s="87" t="s">
        <v>867</v>
      </c>
      <c r="H1438" s="87"/>
      <c r="I1438" s="71">
        <v>0.05</v>
      </c>
      <c r="J1438" s="72">
        <v>1000.0</v>
      </c>
      <c r="K1438" s="89" t="s">
        <v>50</v>
      </c>
      <c r="L1438" s="89" t="s">
        <v>816</v>
      </c>
      <c r="M1438" s="89">
        <v>2017.0</v>
      </c>
      <c r="N1438" s="90"/>
      <c r="O1438" s="59"/>
      <c r="P1438" s="59"/>
      <c r="Q1438" s="59"/>
      <c r="R1438" s="59"/>
      <c r="S1438" s="59"/>
      <c r="T1438" s="59"/>
      <c r="U1438" s="59"/>
      <c r="V1438" s="59"/>
      <c r="W1438" s="59"/>
      <c r="X1438" s="59"/>
      <c r="Y1438" s="59"/>
      <c r="Z1438" s="59"/>
    </row>
    <row r="1439" ht="30.0" customHeight="1">
      <c r="A1439" s="68"/>
      <c r="B1439" s="86">
        <v>1453.0</v>
      </c>
      <c r="C1439" s="68"/>
      <c r="D1439" s="87" t="str">
        <f>CONCATENATE(PROPER('BIÑAN INFO'!$G1439),", ",PROPER('BIÑAN INFO'!$E1439)," ",PROPER('BIÑAN INFO'!$F1439),"."," (",UPPER('BIÑAN INFO'!$H1439),")")</f>
        <v>Perez, Benigna . ()</v>
      </c>
      <c r="E1439" s="87" t="s">
        <v>868</v>
      </c>
      <c r="F1439" s="87"/>
      <c r="G1439" s="87" t="s">
        <v>236</v>
      </c>
      <c r="H1439" s="87"/>
      <c r="I1439" s="71">
        <v>0.12</v>
      </c>
      <c r="J1439" s="72">
        <v>1000.0</v>
      </c>
      <c r="K1439" s="89"/>
      <c r="L1439" s="89"/>
      <c r="M1439" s="89"/>
      <c r="N1439" s="90"/>
      <c r="O1439" s="59"/>
      <c r="P1439" s="59"/>
      <c r="Q1439" s="59"/>
      <c r="R1439" s="59"/>
      <c r="S1439" s="59"/>
      <c r="T1439" s="59"/>
      <c r="U1439" s="59"/>
      <c r="V1439" s="59"/>
      <c r="W1439" s="59"/>
      <c r="X1439" s="59"/>
      <c r="Y1439" s="59"/>
      <c r="Z1439" s="59"/>
    </row>
    <row r="1440" ht="30.0" customHeight="1">
      <c r="A1440" s="68"/>
      <c r="B1440" s="86">
        <v>1454.0</v>
      </c>
      <c r="C1440" s="68"/>
      <c r="D1440" s="87" t="str">
        <f>CONCATENATE(PROPER('BIÑAN INFO'!$G1440),", ",PROPER('BIÑAN INFO'!$E1440)," ",PROPER('BIÑAN INFO'!$F1440),"."," (",UPPER('BIÑAN INFO'!$H1440),")")</f>
        <v>Perez, Edgardo . ()</v>
      </c>
      <c r="E1440" s="87" t="s">
        <v>869</v>
      </c>
      <c r="F1440" s="87"/>
      <c r="G1440" s="87" t="s">
        <v>236</v>
      </c>
      <c r="H1440" s="87"/>
      <c r="I1440" s="71">
        <v>0.12</v>
      </c>
      <c r="J1440" s="72">
        <v>1000.0</v>
      </c>
      <c r="K1440" s="89"/>
      <c r="L1440" s="89"/>
      <c r="M1440" s="89"/>
      <c r="N1440" s="90"/>
      <c r="O1440" s="59"/>
      <c r="P1440" s="59"/>
      <c r="Q1440" s="59"/>
      <c r="R1440" s="59"/>
      <c r="S1440" s="59"/>
      <c r="T1440" s="59"/>
      <c r="U1440" s="59"/>
      <c r="V1440" s="59"/>
      <c r="W1440" s="59"/>
      <c r="X1440" s="59"/>
      <c r="Y1440" s="59"/>
      <c r="Z1440" s="59"/>
    </row>
    <row r="1441" ht="30.0" customHeight="1">
      <c r="A1441" s="68"/>
      <c r="B1441" s="86">
        <v>1455.0</v>
      </c>
      <c r="C1441" s="68"/>
      <c r="D1441" s="87" t="str">
        <f>CONCATENATE(PROPER('BIÑAN INFO'!$G1441),", ",PROPER('BIÑAN INFO'!$E1441)," ",PROPER('BIÑAN INFO'!$F1441),"."," (",UPPER('BIÑAN INFO'!$H1441),")")</f>
        <v>Guillermo, Helen . ()</v>
      </c>
      <c r="E1441" s="87" t="s">
        <v>617</v>
      </c>
      <c r="F1441" s="87"/>
      <c r="G1441" s="87" t="s">
        <v>870</v>
      </c>
      <c r="H1441" s="87"/>
      <c r="I1441" s="71">
        <v>0.12</v>
      </c>
      <c r="J1441" s="72">
        <v>1000.0</v>
      </c>
      <c r="K1441" s="89"/>
      <c r="L1441" s="89"/>
      <c r="M1441" s="89"/>
      <c r="N1441" s="90"/>
      <c r="O1441" s="59"/>
      <c r="P1441" s="59"/>
      <c r="Q1441" s="59"/>
      <c r="R1441" s="59"/>
      <c r="S1441" s="59"/>
      <c r="T1441" s="59"/>
      <c r="U1441" s="59"/>
      <c r="V1441" s="59"/>
      <c r="W1441" s="59"/>
      <c r="X1441" s="59"/>
      <c r="Y1441" s="59"/>
      <c r="Z1441" s="59"/>
    </row>
    <row r="1442" ht="30.0" customHeight="1">
      <c r="A1442" s="68"/>
      <c r="B1442" s="86">
        <v>1456.0</v>
      </c>
      <c r="C1442" s="68"/>
      <c r="D1442" s="87" t="str">
        <f>CONCATENATE(PROPER('BIÑAN INFO'!$G1442),", ",PROPER('BIÑAN INFO'!$E1442)," ",PROPER('BIÑAN INFO'!$F1442),"."," (",UPPER('BIÑAN INFO'!$H1442),")")</f>
        <v>Mercado, Fernado . ()</v>
      </c>
      <c r="E1442" s="87" t="s">
        <v>871</v>
      </c>
      <c r="F1442" s="87"/>
      <c r="G1442" s="87" t="s">
        <v>840</v>
      </c>
      <c r="H1442" s="87"/>
      <c r="I1442" s="71">
        <v>0.12</v>
      </c>
      <c r="J1442" s="72">
        <v>1000.0</v>
      </c>
      <c r="K1442" s="89"/>
      <c r="L1442" s="89"/>
      <c r="M1442" s="89"/>
      <c r="N1442" s="90"/>
      <c r="O1442" s="59"/>
      <c r="P1442" s="59"/>
      <c r="Q1442" s="59"/>
      <c r="R1442" s="59"/>
      <c r="S1442" s="59"/>
      <c r="T1442" s="59"/>
      <c r="U1442" s="59"/>
      <c r="V1442" s="59"/>
      <c r="W1442" s="59"/>
      <c r="X1442" s="59"/>
      <c r="Y1442" s="59"/>
      <c r="Z1442" s="59"/>
    </row>
    <row r="1443" ht="30.0" customHeight="1">
      <c r="A1443" s="68"/>
      <c r="B1443" s="86">
        <v>1457.0</v>
      </c>
      <c r="C1443" s="68"/>
      <c r="D1443" s="87" t="str">
        <f>CONCATENATE(PROPER('BIÑAN INFO'!$G1443),", ",PROPER('BIÑAN INFO'!$E1443)," ",PROPER('BIÑAN INFO'!$F1443),"."," (",UPPER('BIÑAN INFO'!$H1443),")")</f>
        <v>Matanguihan, Julio . ()</v>
      </c>
      <c r="E1443" s="87" t="s">
        <v>872</v>
      </c>
      <c r="F1443" s="87"/>
      <c r="G1443" s="87" t="s">
        <v>873</v>
      </c>
      <c r="H1443" s="87"/>
      <c r="I1443" s="71">
        <v>0.12</v>
      </c>
      <c r="J1443" s="72">
        <v>1000.0</v>
      </c>
      <c r="K1443" s="89"/>
      <c r="L1443" s="89"/>
      <c r="M1443" s="89"/>
      <c r="N1443" s="90"/>
      <c r="O1443" s="59"/>
      <c r="P1443" s="59"/>
      <c r="Q1443" s="59"/>
      <c r="R1443" s="59"/>
      <c r="S1443" s="59"/>
      <c r="T1443" s="59"/>
      <c r="U1443" s="59"/>
      <c r="V1443" s="59"/>
      <c r="W1443" s="59"/>
      <c r="X1443" s="59"/>
      <c r="Y1443" s="59"/>
      <c r="Z1443" s="59"/>
    </row>
    <row r="1444" ht="30.0" customHeight="1">
      <c r="A1444" s="68"/>
      <c r="B1444" s="86">
        <v>1458.0</v>
      </c>
      <c r="C1444" s="68"/>
      <c r="D1444" s="87" t="str">
        <f>CONCATENATE(PROPER('BIÑAN INFO'!$G1444),", ",PROPER('BIÑAN INFO'!$E1444)," ",PROPER('BIÑAN INFO'!$F1444),"."," (",UPPER('BIÑAN INFO'!$H1444),")")</f>
        <v>Bandian, Mary Joy . ()</v>
      </c>
      <c r="E1444" s="87" t="s">
        <v>874</v>
      </c>
      <c r="F1444" s="87"/>
      <c r="G1444" s="87" t="s">
        <v>875</v>
      </c>
      <c r="H1444" s="87"/>
      <c r="I1444" s="71">
        <v>0.05</v>
      </c>
      <c r="J1444" s="72">
        <v>1000.0</v>
      </c>
      <c r="K1444" s="89" t="s">
        <v>93</v>
      </c>
      <c r="L1444" s="89" t="s">
        <v>480</v>
      </c>
      <c r="M1444" s="89">
        <v>2018.0</v>
      </c>
      <c r="N1444" s="90"/>
      <c r="O1444" s="59"/>
      <c r="P1444" s="59"/>
      <c r="Q1444" s="59"/>
      <c r="R1444" s="59"/>
      <c r="S1444" s="59"/>
      <c r="T1444" s="59"/>
      <c r="U1444" s="59"/>
      <c r="V1444" s="59"/>
      <c r="W1444" s="59"/>
      <c r="X1444" s="59"/>
      <c r="Y1444" s="59"/>
      <c r="Z1444" s="59"/>
    </row>
    <row r="1445" ht="30.0" customHeight="1">
      <c r="A1445" s="68"/>
      <c r="B1445" s="86">
        <v>1459.0</v>
      </c>
      <c r="C1445" s="68"/>
      <c r="D1445" s="87" t="str">
        <f>CONCATENATE(PROPER('BIÑAN INFO'!$G1445),", ",PROPER('BIÑAN INFO'!$E1445)," ",PROPER('BIÑAN INFO'!$F1445),"."," (",UPPER('BIÑAN INFO'!$H1445),")")</f>
        <v>Bulabuena, Teresita . ()</v>
      </c>
      <c r="E1445" s="87" t="s">
        <v>876</v>
      </c>
      <c r="F1445" s="87"/>
      <c r="G1445" s="87" t="s">
        <v>877</v>
      </c>
      <c r="H1445" s="87"/>
      <c r="I1445" s="71">
        <v>0.05</v>
      </c>
      <c r="J1445" s="72">
        <v>1000.0</v>
      </c>
      <c r="K1445" s="89" t="s">
        <v>50</v>
      </c>
      <c r="L1445" s="89"/>
      <c r="M1445" s="89"/>
      <c r="N1445" s="90"/>
      <c r="O1445" s="59"/>
      <c r="P1445" s="59"/>
      <c r="Q1445" s="59"/>
      <c r="R1445" s="59"/>
      <c r="S1445" s="59"/>
      <c r="T1445" s="59"/>
      <c r="U1445" s="59"/>
      <c r="V1445" s="59"/>
      <c r="W1445" s="59"/>
      <c r="X1445" s="59"/>
      <c r="Y1445" s="59"/>
      <c r="Z1445" s="59"/>
    </row>
    <row r="1446" ht="30.0" customHeight="1">
      <c r="A1446" s="68"/>
      <c r="B1446" s="86">
        <v>1460.0</v>
      </c>
      <c r="C1446" s="68"/>
      <c r="D1446" s="87" t="str">
        <f>CONCATENATE(PROPER('BIÑAN INFO'!$G1446),", ",PROPER('BIÑAN INFO'!$E1446)," ",PROPER('BIÑAN INFO'!$F1446),"."," (",UPPER('BIÑAN INFO'!$H1446),")")</f>
        <v>,  . ()</v>
      </c>
      <c r="E1446" s="87"/>
      <c r="F1446" s="87"/>
      <c r="G1446" s="87"/>
      <c r="H1446" s="87"/>
      <c r="I1446" s="71">
        <v>0.05</v>
      </c>
      <c r="J1446" s="72">
        <v>1000.0</v>
      </c>
      <c r="K1446" s="89" t="s">
        <v>878</v>
      </c>
      <c r="L1446" s="89"/>
      <c r="M1446" s="89"/>
      <c r="N1446" s="90"/>
      <c r="O1446" s="59"/>
      <c r="P1446" s="59"/>
      <c r="Q1446" s="59"/>
      <c r="R1446" s="59"/>
      <c r="S1446" s="59"/>
      <c r="T1446" s="59"/>
      <c r="U1446" s="59"/>
      <c r="V1446" s="59"/>
      <c r="W1446" s="59"/>
      <c r="X1446" s="59"/>
      <c r="Y1446" s="59"/>
      <c r="Z1446" s="59"/>
    </row>
    <row r="1447" ht="30.0" customHeight="1">
      <c r="A1447" s="68"/>
      <c r="B1447" s="86">
        <v>1461.0</v>
      </c>
      <c r="C1447" s="68"/>
      <c r="D1447" s="87" t="str">
        <f>CONCATENATE(PROPER('BIÑAN INFO'!$G1447),", ",PROPER('BIÑAN INFO'!$E1447)," ",PROPER('BIÑAN INFO'!$F1447),"."," (",UPPER('BIÑAN INFO'!$H1447),")")</f>
        <v>Alberto, Cecilia . ()</v>
      </c>
      <c r="E1447" s="87" t="s">
        <v>306</v>
      </c>
      <c r="F1447" s="87"/>
      <c r="G1447" s="87" t="s">
        <v>879</v>
      </c>
      <c r="H1447" s="87"/>
      <c r="I1447" s="71">
        <v>0.12</v>
      </c>
      <c r="J1447" s="72">
        <v>1000.0</v>
      </c>
      <c r="K1447" s="89"/>
      <c r="L1447" s="89"/>
      <c r="M1447" s="89"/>
      <c r="N1447" s="90"/>
      <c r="O1447" s="59"/>
      <c r="P1447" s="59"/>
      <c r="Q1447" s="59"/>
      <c r="R1447" s="59"/>
      <c r="S1447" s="59"/>
      <c r="T1447" s="59"/>
      <c r="U1447" s="59"/>
      <c r="V1447" s="59"/>
      <c r="W1447" s="59"/>
      <c r="X1447" s="59"/>
      <c r="Y1447" s="59"/>
      <c r="Z1447" s="59"/>
    </row>
    <row r="1448" ht="30.0" customHeight="1">
      <c r="A1448" s="68"/>
      <c r="B1448" s="86">
        <v>1462.0</v>
      </c>
      <c r="C1448" s="68"/>
      <c r="D1448" s="87" t="str">
        <f>CONCATENATE(PROPER('BIÑAN INFO'!$G1448),", ",PROPER('BIÑAN INFO'!$E1448)," ",PROPER('BIÑAN INFO'!$F1448),"."," (",UPPER('BIÑAN INFO'!$H1448),")")</f>
        <v>Aguire, Mariffe . ()</v>
      </c>
      <c r="E1448" s="87" t="s">
        <v>880</v>
      </c>
      <c r="F1448" s="87"/>
      <c r="G1448" s="87" t="s">
        <v>881</v>
      </c>
      <c r="H1448" s="87"/>
      <c r="I1448" s="71">
        <v>0.12</v>
      </c>
      <c r="J1448" s="72">
        <v>1000.0</v>
      </c>
      <c r="K1448" s="89"/>
      <c r="L1448" s="89"/>
      <c r="M1448" s="89"/>
      <c r="N1448" s="90"/>
      <c r="O1448" s="59"/>
      <c r="P1448" s="59"/>
      <c r="Q1448" s="59"/>
      <c r="R1448" s="59"/>
      <c r="S1448" s="59"/>
      <c r="T1448" s="59"/>
      <c r="U1448" s="59"/>
      <c r="V1448" s="59"/>
      <c r="W1448" s="59"/>
      <c r="X1448" s="59"/>
      <c r="Y1448" s="59"/>
      <c r="Z1448" s="59"/>
    </row>
    <row r="1449" ht="30.0" customHeight="1">
      <c r="A1449" s="68"/>
      <c r="B1449" s="86">
        <v>1463.0</v>
      </c>
      <c r="C1449" s="68"/>
      <c r="D1449" s="87" t="str">
        <f>CONCATENATE(PROPER('BIÑAN INFO'!$G1449),", ",PROPER('BIÑAN INFO'!$E1449)," ",PROPER('BIÑAN INFO'!$F1449),"."," (",UPPER('BIÑAN INFO'!$H1449),")")</f>
        <v>,  . ()</v>
      </c>
      <c r="E1449" s="87"/>
      <c r="F1449" s="87"/>
      <c r="G1449" s="87"/>
      <c r="H1449" s="87"/>
      <c r="I1449" s="71">
        <v>0.12</v>
      </c>
      <c r="J1449" s="72">
        <v>1000.0</v>
      </c>
      <c r="K1449" s="89"/>
      <c r="L1449" s="89"/>
      <c r="M1449" s="89"/>
      <c r="N1449" s="90"/>
      <c r="O1449" s="59"/>
      <c r="P1449" s="59"/>
      <c r="Q1449" s="59"/>
      <c r="R1449" s="59"/>
      <c r="S1449" s="59"/>
      <c r="T1449" s="59"/>
      <c r="U1449" s="59"/>
      <c r="V1449" s="59"/>
      <c r="W1449" s="59"/>
      <c r="X1449" s="59"/>
      <c r="Y1449" s="59"/>
      <c r="Z1449" s="59"/>
    </row>
    <row r="1450" ht="30.0" customHeight="1">
      <c r="A1450" s="68"/>
      <c r="B1450" s="86">
        <v>1464.0</v>
      </c>
      <c r="C1450" s="68"/>
      <c r="D1450" s="87" t="str">
        <f>CONCATENATE(PROPER('BIÑAN INFO'!$G1450),", ",PROPER('BIÑAN INFO'!$E1450)," ",PROPER('BIÑAN INFO'!$F1450),"."," (",UPPER('BIÑAN INFO'!$H1450),")")</f>
        <v>De Castro, Lester Alvin . ()</v>
      </c>
      <c r="E1450" s="87" t="s">
        <v>882</v>
      </c>
      <c r="F1450" s="87"/>
      <c r="G1450" s="87" t="s">
        <v>883</v>
      </c>
      <c r="H1450" s="87"/>
      <c r="I1450" s="71">
        <v>0.05</v>
      </c>
      <c r="J1450" s="72">
        <v>1000.0</v>
      </c>
      <c r="K1450" s="89" t="s">
        <v>157</v>
      </c>
      <c r="L1450" s="89"/>
      <c r="M1450" s="89"/>
      <c r="N1450" s="90"/>
      <c r="O1450" s="59"/>
      <c r="P1450" s="59"/>
      <c r="Q1450" s="59"/>
      <c r="R1450" s="59"/>
      <c r="S1450" s="59"/>
      <c r="T1450" s="59"/>
      <c r="U1450" s="59"/>
      <c r="V1450" s="59"/>
      <c r="W1450" s="59"/>
      <c r="X1450" s="59"/>
      <c r="Y1450" s="59"/>
      <c r="Z1450" s="59"/>
    </row>
    <row r="1451" ht="30.0" customHeight="1">
      <c r="A1451" s="68"/>
      <c r="B1451" s="86">
        <v>1465.0</v>
      </c>
      <c r="C1451" s="68"/>
      <c r="D1451" s="87" t="str">
        <f>CONCATENATE(PROPER('BIÑAN INFO'!$G1451),", ",PROPER('BIÑAN INFO'!$E1451)," ",PROPER('BIÑAN INFO'!$F1451),"."," (",UPPER('BIÑAN INFO'!$H1451),")")</f>
        <v>Bargariento, Heath Cliffe . ()</v>
      </c>
      <c r="E1451" s="87" t="s">
        <v>884</v>
      </c>
      <c r="F1451" s="87"/>
      <c r="G1451" s="87" t="s">
        <v>885</v>
      </c>
      <c r="H1451" s="87"/>
      <c r="I1451" s="71">
        <v>0.12</v>
      </c>
      <c r="J1451" s="72">
        <v>1000.0</v>
      </c>
      <c r="K1451" s="89"/>
      <c r="L1451" s="89"/>
      <c r="M1451" s="89"/>
      <c r="N1451" s="90"/>
      <c r="O1451" s="59"/>
      <c r="P1451" s="59"/>
      <c r="Q1451" s="59"/>
      <c r="R1451" s="59"/>
      <c r="S1451" s="59"/>
      <c r="T1451" s="59"/>
      <c r="U1451" s="59"/>
      <c r="V1451" s="59"/>
      <c r="W1451" s="59"/>
      <c r="X1451" s="59"/>
      <c r="Y1451" s="59"/>
      <c r="Z1451" s="59"/>
    </row>
    <row r="1452" ht="30.0" customHeight="1">
      <c r="A1452" s="68"/>
      <c r="B1452" s="86">
        <v>1466.0</v>
      </c>
      <c r="C1452" s="68"/>
      <c r="D1452" s="87" t="str">
        <f>CONCATENATE(PROPER('BIÑAN INFO'!$G1452),", ",PROPER('BIÑAN INFO'!$E1452)," ",PROPER('BIÑAN INFO'!$F1452),"."," (",UPPER('BIÑAN INFO'!$H1452),")")</f>
        <v>Marquez, Marlorenevin . ()</v>
      </c>
      <c r="E1452" s="87" t="s">
        <v>886</v>
      </c>
      <c r="F1452" s="87"/>
      <c r="G1452" s="87" t="s">
        <v>751</v>
      </c>
      <c r="H1452" s="87"/>
      <c r="I1452" s="71">
        <v>0.05</v>
      </c>
      <c r="J1452" s="72">
        <v>1000.0</v>
      </c>
      <c r="K1452" s="89" t="s">
        <v>50</v>
      </c>
      <c r="L1452" s="89" t="s">
        <v>465</v>
      </c>
      <c r="M1452" s="89">
        <v>2022.0</v>
      </c>
      <c r="N1452" s="90"/>
      <c r="O1452" s="59"/>
      <c r="P1452" s="59"/>
      <c r="Q1452" s="59"/>
      <c r="R1452" s="59"/>
      <c r="S1452" s="59"/>
      <c r="T1452" s="59"/>
      <c r="U1452" s="59"/>
      <c r="V1452" s="59"/>
      <c r="W1452" s="59"/>
      <c r="X1452" s="59"/>
      <c r="Y1452" s="59"/>
      <c r="Z1452" s="59"/>
    </row>
    <row r="1453" ht="30.0" customHeight="1">
      <c r="A1453" s="68"/>
      <c r="B1453" s="86">
        <v>1467.0</v>
      </c>
      <c r="C1453" s="68"/>
      <c r="D1453" s="87" t="str">
        <f>CONCATENATE(PROPER('BIÑAN INFO'!$G1453),", ",PROPER('BIÑAN INFO'!$E1453)," ",PROPER('BIÑAN INFO'!$F1453),"."," (",UPPER('BIÑAN INFO'!$H1453),")")</f>
        <v>Malinao, Janice . ()</v>
      </c>
      <c r="E1453" s="87" t="s">
        <v>887</v>
      </c>
      <c r="F1453" s="87"/>
      <c r="G1453" s="87" t="s">
        <v>888</v>
      </c>
      <c r="H1453" s="87"/>
      <c r="I1453" s="71">
        <v>0.12</v>
      </c>
      <c r="J1453" s="72">
        <v>1000.0</v>
      </c>
      <c r="K1453" s="89"/>
      <c r="L1453" s="89"/>
      <c r="M1453" s="89"/>
      <c r="N1453" s="90"/>
      <c r="O1453" s="59"/>
      <c r="P1453" s="59"/>
      <c r="Q1453" s="59"/>
      <c r="R1453" s="59"/>
      <c r="S1453" s="59"/>
      <c r="T1453" s="59"/>
      <c r="U1453" s="59"/>
      <c r="V1453" s="59"/>
      <c r="W1453" s="59"/>
      <c r="X1453" s="59"/>
      <c r="Y1453" s="59"/>
      <c r="Z1453" s="59"/>
    </row>
    <row r="1454" ht="30.0" customHeight="1">
      <c r="A1454" s="68"/>
      <c r="B1454" s="86">
        <v>1468.0</v>
      </c>
      <c r="C1454" s="68"/>
      <c r="D1454" s="87" t="str">
        <f>CONCATENATE(PROPER('BIÑAN INFO'!$G1454),", ",PROPER('BIÑAN INFO'!$E1454)," ",PROPER('BIÑAN INFO'!$F1454),"."," (",UPPER('BIÑAN INFO'!$H1454),")")</f>
        <v>Purificacion, Rio Angeles . ()</v>
      </c>
      <c r="E1454" s="87" t="s">
        <v>889</v>
      </c>
      <c r="F1454" s="87"/>
      <c r="G1454" s="87" t="s">
        <v>890</v>
      </c>
      <c r="H1454" s="87"/>
      <c r="I1454" s="71">
        <v>0.12</v>
      </c>
      <c r="J1454" s="72">
        <v>1000.0</v>
      </c>
      <c r="K1454" s="89"/>
      <c r="L1454" s="89"/>
      <c r="M1454" s="89"/>
      <c r="N1454" s="90"/>
      <c r="O1454" s="59"/>
      <c r="P1454" s="59"/>
      <c r="Q1454" s="59"/>
      <c r="R1454" s="59"/>
      <c r="S1454" s="59"/>
      <c r="T1454" s="59"/>
      <c r="U1454" s="59"/>
      <c r="V1454" s="59"/>
      <c r="W1454" s="59"/>
      <c r="X1454" s="59"/>
      <c r="Y1454" s="59"/>
      <c r="Z1454" s="59"/>
    </row>
    <row r="1455" ht="30.0" customHeight="1">
      <c r="A1455" s="68"/>
      <c r="B1455" s="86">
        <v>1469.0</v>
      </c>
      <c r="C1455" s="68"/>
      <c r="D1455" s="87" t="str">
        <f>CONCATENATE(PROPER('BIÑAN INFO'!$G1455),", ",PROPER('BIÑAN INFO'!$E1455)," ",PROPER('BIÑAN INFO'!$F1455),"."," (",UPPER('BIÑAN INFO'!$H1455),")")</f>
        <v>Villanueva, Erwin . ()</v>
      </c>
      <c r="E1455" s="87" t="s">
        <v>891</v>
      </c>
      <c r="F1455" s="87"/>
      <c r="G1455" s="87" t="s">
        <v>454</v>
      </c>
      <c r="H1455" s="87"/>
      <c r="I1455" s="71">
        <v>0.12</v>
      </c>
      <c r="J1455" s="72">
        <v>1000.0</v>
      </c>
      <c r="K1455" s="89"/>
      <c r="L1455" s="89"/>
      <c r="M1455" s="89"/>
      <c r="N1455" s="90"/>
      <c r="O1455" s="59"/>
      <c r="P1455" s="59"/>
      <c r="Q1455" s="59"/>
      <c r="R1455" s="59"/>
      <c r="S1455" s="59"/>
      <c r="T1455" s="59"/>
      <c r="U1455" s="59"/>
      <c r="V1455" s="59"/>
      <c r="W1455" s="59"/>
      <c r="X1455" s="59"/>
      <c r="Y1455" s="59"/>
      <c r="Z1455" s="59"/>
    </row>
    <row r="1456" ht="30.0" customHeight="1">
      <c r="A1456" s="68"/>
      <c r="B1456" s="86">
        <v>1470.0</v>
      </c>
      <c r="C1456" s="68"/>
      <c r="D1456" s="87" t="str">
        <f>CONCATENATE(PROPER('BIÑAN INFO'!$G1456),", ",PROPER('BIÑAN INFO'!$E1456)," ",PROPER('BIÑAN INFO'!$F1456),"."," (",UPPER('BIÑAN INFO'!$H1456),")")</f>
        <v>Tumlad, Marites . ()</v>
      </c>
      <c r="E1456" s="87" t="s">
        <v>892</v>
      </c>
      <c r="F1456" s="87"/>
      <c r="G1456" s="87" t="s">
        <v>893</v>
      </c>
      <c r="H1456" s="87"/>
      <c r="I1456" s="71">
        <v>0.12</v>
      </c>
      <c r="J1456" s="72">
        <v>1000.0</v>
      </c>
      <c r="K1456" s="89"/>
      <c r="L1456" s="89"/>
      <c r="M1456" s="89"/>
      <c r="N1456" s="90"/>
      <c r="O1456" s="59"/>
      <c r="P1456" s="59"/>
      <c r="Q1456" s="59"/>
      <c r="R1456" s="59"/>
      <c r="S1456" s="59"/>
      <c r="T1456" s="59"/>
      <c r="U1456" s="59"/>
      <c r="V1456" s="59"/>
      <c r="W1456" s="59"/>
      <c r="X1456" s="59"/>
      <c r="Y1456" s="59"/>
      <c r="Z1456" s="59"/>
    </row>
    <row r="1457" ht="30.0" customHeight="1">
      <c r="A1457" s="68"/>
      <c r="B1457" s="86">
        <v>1471.0</v>
      </c>
      <c r="C1457" s="68"/>
      <c r="D1457" s="87" t="str">
        <f>CONCATENATE(PROPER('BIÑAN INFO'!$G1457),", ",PROPER('BIÑAN INFO'!$E1457)," ",PROPER('BIÑAN INFO'!$F1457),"."," (",UPPER('BIÑAN INFO'!$H1457),")")</f>
        <v>Santos, Jessie . ()</v>
      </c>
      <c r="E1457" s="87" t="s">
        <v>116</v>
      </c>
      <c r="F1457" s="87"/>
      <c r="G1457" s="87" t="s">
        <v>204</v>
      </c>
      <c r="H1457" s="87"/>
      <c r="I1457" s="71">
        <v>0.12</v>
      </c>
      <c r="J1457" s="72">
        <v>1000.0</v>
      </c>
      <c r="K1457" s="89"/>
      <c r="L1457" s="89"/>
      <c r="M1457" s="89"/>
      <c r="N1457" s="90"/>
      <c r="O1457" s="59"/>
      <c r="P1457" s="59"/>
      <c r="Q1457" s="59"/>
      <c r="R1457" s="59"/>
      <c r="S1457" s="59"/>
      <c r="T1457" s="59"/>
      <c r="U1457" s="59"/>
      <c r="V1457" s="59"/>
      <c r="W1457" s="59"/>
      <c r="X1457" s="59"/>
      <c r="Y1457" s="59"/>
      <c r="Z1457" s="59"/>
    </row>
    <row r="1458" ht="30.0" customHeight="1">
      <c r="A1458" s="68"/>
      <c r="B1458" s="86">
        <v>1472.0</v>
      </c>
      <c r="C1458" s="68"/>
      <c r="D1458" s="87" t="str">
        <f>CONCATENATE(PROPER('BIÑAN INFO'!$G1458),", ",PROPER('BIÑAN INFO'!$E1458)," ",PROPER('BIÑAN INFO'!$F1458),"."," (",UPPER('BIÑAN INFO'!$H1458),")")</f>
        <v>,  . ()</v>
      </c>
      <c r="E1458" s="87"/>
      <c r="F1458" s="87"/>
      <c r="G1458" s="87"/>
      <c r="H1458" s="87"/>
      <c r="I1458" s="71">
        <v>0.05</v>
      </c>
      <c r="J1458" s="72">
        <v>1000.0</v>
      </c>
      <c r="K1458" s="89" t="s">
        <v>50</v>
      </c>
      <c r="L1458" s="89"/>
      <c r="M1458" s="89"/>
      <c r="N1458" s="90"/>
      <c r="O1458" s="59"/>
      <c r="P1458" s="59"/>
      <c r="Q1458" s="59"/>
      <c r="R1458" s="59"/>
      <c r="S1458" s="59"/>
      <c r="T1458" s="59"/>
      <c r="U1458" s="59"/>
      <c r="V1458" s="59"/>
      <c r="W1458" s="59"/>
      <c r="X1458" s="59"/>
      <c r="Y1458" s="59"/>
      <c r="Z1458" s="59"/>
    </row>
    <row r="1459" ht="30.0" customHeight="1">
      <c r="A1459" s="68"/>
      <c r="B1459" s="86">
        <v>1473.0</v>
      </c>
      <c r="C1459" s="68"/>
      <c r="D1459" s="87" t="str">
        <f>CONCATENATE(PROPER('BIÑAN INFO'!$G1459),", ",PROPER('BIÑAN INFO'!$E1459)," ",PROPER('BIÑAN INFO'!$F1459),"."," (",UPPER('BIÑAN INFO'!$H1459),")")</f>
        <v>Liwag, Myles Morales. ()</v>
      </c>
      <c r="E1459" s="87" t="s">
        <v>894</v>
      </c>
      <c r="F1459" s="87" t="s">
        <v>895</v>
      </c>
      <c r="G1459" s="87" t="s">
        <v>896</v>
      </c>
      <c r="H1459" s="87"/>
      <c r="I1459" s="71">
        <v>0.12</v>
      </c>
      <c r="J1459" s="72">
        <v>1000.0</v>
      </c>
      <c r="K1459" s="89"/>
      <c r="L1459" s="89"/>
      <c r="M1459" s="89"/>
      <c r="N1459" s="90"/>
      <c r="O1459" s="59"/>
      <c r="P1459" s="59"/>
      <c r="Q1459" s="59"/>
      <c r="R1459" s="59"/>
      <c r="S1459" s="59"/>
      <c r="T1459" s="59"/>
      <c r="U1459" s="59"/>
      <c r="V1459" s="59"/>
      <c r="W1459" s="59"/>
      <c r="X1459" s="59"/>
      <c r="Y1459" s="59"/>
      <c r="Z1459" s="59"/>
    </row>
    <row r="1460" ht="30.0" customHeight="1">
      <c r="A1460" s="68"/>
      <c r="B1460" s="86">
        <v>1474.0</v>
      </c>
      <c r="C1460" s="68"/>
      <c r="D1460" s="87" t="str">
        <f>CONCATENATE(PROPER('BIÑAN INFO'!$G1460),", ",PROPER('BIÑAN INFO'!$E1460)," ",PROPER('BIÑAN INFO'!$F1460),"."," (",UPPER('BIÑAN INFO'!$H1460),")")</f>
        <v>Valencia, Krizel . ()</v>
      </c>
      <c r="E1460" s="87" t="s">
        <v>897</v>
      </c>
      <c r="F1460" s="87"/>
      <c r="G1460" s="87" t="s">
        <v>898</v>
      </c>
      <c r="H1460" s="87"/>
      <c r="I1460" s="71">
        <v>0.12</v>
      </c>
      <c r="J1460" s="72">
        <v>1000.0</v>
      </c>
      <c r="K1460" s="89"/>
      <c r="L1460" s="89"/>
      <c r="M1460" s="89"/>
      <c r="N1460" s="90"/>
      <c r="O1460" s="59"/>
      <c r="P1460" s="59"/>
      <c r="Q1460" s="59"/>
      <c r="R1460" s="59"/>
      <c r="S1460" s="59"/>
      <c r="T1460" s="59"/>
      <c r="U1460" s="59"/>
      <c r="V1460" s="59"/>
      <c r="W1460" s="59"/>
      <c r="X1460" s="59"/>
      <c r="Y1460" s="59"/>
      <c r="Z1460" s="59"/>
    </row>
    <row r="1461" ht="30.0" customHeight="1">
      <c r="A1461" s="68"/>
      <c r="B1461" s="86">
        <v>1475.0</v>
      </c>
      <c r="C1461" s="68"/>
      <c r="D1461" s="87" t="str">
        <f>CONCATENATE(PROPER('BIÑAN INFO'!$G1461),", ",PROPER('BIÑAN INFO'!$E1461)," ",PROPER('BIÑAN INFO'!$F1461),"."," (",UPPER('BIÑAN INFO'!$H1461),")")</f>
        <v>Salvador, Johnver . ()</v>
      </c>
      <c r="E1461" s="87" t="s">
        <v>899</v>
      </c>
      <c r="F1461" s="87"/>
      <c r="G1461" s="87" t="s">
        <v>900</v>
      </c>
      <c r="H1461" s="87"/>
      <c r="I1461" s="71">
        <v>0.12</v>
      </c>
      <c r="J1461" s="72">
        <v>1000.0</v>
      </c>
      <c r="K1461" s="89"/>
      <c r="L1461" s="89"/>
      <c r="M1461" s="89"/>
      <c r="N1461" s="90"/>
      <c r="O1461" s="59"/>
      <c r="P1461" s="59"/>
      <c r="Q1461" s="59"/>
      <c r="R1461" s="59"/>
      <c r="S1461" s="59"/>
      <c r="T1461" s="59"/>
      <c r="U1461" s="59"/>
      <c r="V1461" s="59"/>
      <c r="W1461" s="59"/>
      <c r="X1461" s="59"/>
      <c r="Y1461" s="59"/>
      <c r="Z1461" s="59"/>
    </row>
    <row r="1462" ht="30.0" customHeight="1">
      <c r="A1462" s="68"/>
      <c r="B1462" s="86">
        <v>1476.0</v>
      </c>
      <c r="C1462" s="68"/>
      <c r="D1462" s="87" t="str">
        <f>CONCATENATE(PROPER('BIÑAN INFO'!$G1462),", ",PROPER('BIÑAN INFO'!$E1462)," ",PROPER('BIÑAN INFO'!$F1462),"."," (",UPPER('BIÑAN INFO'!$H1462),")")</f>
        <v>Calvez, Dolores . ()</v>
      </c>
      <c r="E1462" s="87" t="s">
        <v>901</v>
      </c>
      <c r="F1462" s="87"/>
      <c r="G1462" s="87" t="s">
        <v>902</v>
      </c>
      <c r="H1462" s="87"/>
      <c r="I1462" s="71">
        <v>0.12</v>
      </c>
      <c r="J1462" s="72">
        <v>1000.0</v>
      </c>
      <c r="K1462" s="89"/>
      <c r="L1462" s="89"/>
      <c r="M1462" s="89"/>
      <c r="N1462" s="90"/>
      <c r="O1462" s="59"/>
      <c r="P1462" s="59"/>
      <c r="Q1462" s="59"/>
      <c r="R1462" s="59"/>
      <c r="S1462" s="59"/>
      <c r="T1462" s="59"/>
      <c r="U1462" s="59"/>
      <c r="V1462" s="59"/>
      <c r="W1462" s="59"/>
      <c r="X1462" s="59"/>
      <c r="Y1462" s="59"/>
      <c r="Z1462" s="59"/>
    </row>
    <row r="1463" ht="30.0" customHeight="1">
      <c r="A1463" s="68"/>
      <c r="B1463" s="86">
        <v>1477.0</v>
      </c>
      <c r="C1463" s="68"/>
      <c r="D1463" s="87" t="str">
        <f>CONCATENATE(PROPER('BIÑAN INFO'!$G1463),", ",PROPER('BIÑAN INFO'!$E1463)," ",PROPER('BIÑAN INFO'!$F1463),"."," (",UPPER('BIÑAN INFO'!$H1463),")")</f>
        <v>Zimora, Jenifer . ()</v>
      </c>
      <c r="E1463" s="87" t="s">
        <v>903</v>
      </c>
      <c r="F1463" s="87"/>
      <c r="G1463" s="87" t="s">
        <v>904</v>
      </c>
      <c r="H1463" s="87"/>
      <c r="I1463" s="71">
        <v>0.12</v>
      </c>
      <c r="J1463" s="72">
        <v>1000.0</v>
      </c>
      <c r="K1463" s="89"/>
      <c r="L1463" s="89"/>
      <c r="M1463" s="89"/>
      <c r="N1463" s="90"/>
      <c r="O1463" s="59"/>
      <c r="P1463" s="59"/>
      <c r="Q1463" s="59"/>
      <c r="R1463" s="59"/>
      <c r="S1463" s="59"/>
      <c r="T1463" s="59"/>
      <c r="U1463" s="59"/>
      <c r="V1463" s="59"/>
      <c r="W1463" s="59"/>
      <c r="X1463" s="59"/>
      <c r="Y1463" s="59"/>
      <c r="Z1463" s="59"/>
    </row>
    <row r="1464" ht="30.0" customHeight="1">
      <c r="A1464" s="68"/>
      <c r="B1464" s="86">
        <v>1478.0</v>
      </c>
      <c r="C1464" s="68"/>
      <c r="D1464" s="87" t="str">
        <f>CONCATENATE(PROPER('BIÑAN INFO'!$G1464),", ",PROPER('BIÑAN INFO'!$E1464)," ",PROPER('BIÑAN INFO'!$F1464),"."," (",UPPER('BIÑAN INFO'!$H1464),")")</f>
        <v>Vicmudo, Emma . ()</v>
      </c>
      <c r="E1464" s="87" t="s">
        <v>905</v>
      </c>
      <c r="F1464" s="87"/>
      <c r="G1464" s="87" t="s">
        <v>906</v>
      </c>
      <c r="H1464" s="87"/>
      <c r="I1464" s="71">
        <v>0.12</v>
      </c>
      <c r="J1464" s="72">
        <v>1000.0</v>
      </c>
      <c r="K1464" s="89"/>
      <c r="L1464" s="89"/>
      <c r="M1464" s="89"/>
      <c r="N1464" s="90"/>
      <c r="O1464" s="59"/>
      <c r="P1464" s="59"/>
      <c r="Q1464" s="59"/>
      <c r="R1464" s="59"/>
      <c r="S1464" s="59"/>
      <c r="T1464" s="59"/>
      <c r="U1464" s="59"/>
      <c r="V1464" s="59"/>
      <c r="W1464" s="59"/>
      <c r="X1464" s="59"/>
      <c r="Y1464" s="59"/>
      <c r="Z1464" s="59"/>
    </row>
    <row r="1465" ht="30.0" customHeight="1">
      <c r="A1465" s="68"/>
      <c r="B1465" s="86">
        <v>1479.0</v>
      </c>
      <c r="C1465" s="68"/>
      <c r="D1465" s="87" t="str">
        <f>CONCATENATE(PROPER('BIÑAN INFO'!$G1465),", ",PROPER('BIÑAN INFO'!$E1465)," ",PROPER('BIÑAN INFO'!$F1465),"."," (",UPPER('BIÑAN INFO'!$H1465),")")</f>
        <v>Par, Lilia Obnamia. ()</v>
      </c>
      <c r="E1465" s="87" t="s">
        <v>659</v>
      </c>
      <c r="F1465" s="87" t="s">
        <v>907</v>
      </c>
      <c r="G1465" s="87" t="s">
        <v>908</v>
      </c>
      <c r="H1465" s="87"/>
      <c r="I1465" s="71">
        <v>0.05</v>
      </c>
      <c r="J1465" s="72">
        <v>1000.0</v>
      </c>
      <c r="K1465" s="89" t="s">
        <v>50</v>
      </c>
      <c r="L1465" s="89" t="s">
        <v>852</v>
      </c>
      <c r="M1465" s="89">
        <v>2022.0</v>
      </c>
      <c r="N1465" s="90"/>
      <c r="O1465" s="59"/>
      <c r="P1465" s="59"/>
      <c r="Q1465" s="59"/>
      <c r="R1465" s="59"/>
      <c r="S1465" s="59"/>
      <c r="T1465" s="59"/>
      <c r="U1465" s="59"/>
      <c r="V1465" s="59"/>
      <c r="W1465" s="59"/>
      <c r="X1465" s="59"/>
      <c r="Y1465" s="59"/>
      <c r="Z1465" s="59"/>
    </row>
    <row r="1466" ht="30.0" customHeight="1">
      <c r="A1466" s="68"/>
      <c r="B1466" s="86">
        <v>1480.0</v>
      </c>
      <c r="C1466" s="68"/>
      <c r="D1466" s="87" t="str">
        <f>CONCATENATE(PROPER('BIÑAN INFO'!$G1466),", ",PROPER('BIÑAN INFO'!$E1466)," ",PROPER('BIÑAN INFO'!$F1466),"."," (",UPPER('BIÑAN INFO'!$H1466),")")</f>
        <v>Mariscotes, Arian Lacerna. ()</v>
      </c>
      <c r="E1466" s="87" t="s">
        <v>909</v>
      </c>
      <c r="F1466" s="87" t="s">
        <v>910</v>
      </c>
      <c r="G1466" s="87" t="s">
        <v>651</v>
      </c>
      <c r="H1466" s="87"/>
      <c r="I1466" s="71">
        <v>0.05</v>
      </c>
      <c r="J1466" s="72">
        <v>1000.0</v>
      </c>
      <c r="K1466" s="89" t="s">
        <v>50</v>
      </c>
      <c r="L1466" s="89" t="s">
        <v>852</v>
      </c>
      <c r="M1466" s="89">
        <v>2022.0</v>
      </c>
      <c r="N1466" s="90"/>
      <c r="O1466" s="59"/>
      <c r="P1466" s="59"/>
      <c r="Q1466" s="59"/>
      <c r="R1466" s="59"/>
      <c r="S1466" s="59"/>
      <c r="T1466" s="59"/>
      <c r="U1466" s="59"/>
      <c r="V1466" s="59"/>
      <c r="W1466" s="59"/>
      <c r="X1466" s="59"/>
      <c r="Y1466" s="59"/>
      <c r="Z1466" s="59"/>
    </row>
    <row r="1467" ht="30.0" customHeight="1">
      <c r="A1467" s="68"/>
      <c r="B1467" s="86">
        <v>1481.0</v>
      </c>
      <c r="C1467" s="68"/>
      <c r="D1467" s="87" t="str">
        <f>CONCATENATE(PROPER('BIÑAN INFO'!$G1467),", ",PROPER('BIÑAN INFO'!$E1467)," ",PROPER('BIÑAN INFO'!$F1467),"."," (",UPPER('BIÑAN INFO'!$H1467),")")</f>
        <v>, Conrado Araneta. (JR)</v>
      </c>
      <c r="E1467" s="87" t="s">
        <v>911</v>
      </c>
      <c r="F1467" s="87" t="s">
        <v>418</v>
      </c>
      <c r="G1467" s="87"/>
      <c r="H1467" s="87" t="s">
        <v>629</v>
      </c>
      <c r="I1467" s="71">
        <v>0.12</v>
      </c>
      <c r="J1467" s="72">
        <v>1000.0</v>
      </c>
      <c r="K1467" s="89"/>
      <c r="L1467" s="89"/>
      <c r="M1467" s="89"/>
      <c r="N1467" s="90"/>
      <c r="O1467" s="59"/>
      <c r="P1467" s="59"/>
      <c r="Q1467" s="59"/>
      <c r="R1467" s="59"/>
      <c r="S1467" s="59"/>
      <c r="T1467" s="59"/>
      <c r="U1467" s="59"/>
      <c r="V1467" s="59"/>
      <c r="W1467" s="59"/>
      <c r="X1467" s="59"/>
      <c r="Y1467" s="59"/>
      <c r="Z1467" s="59"/>
    </row>
    <row r="1468" ht="30.0" customHeight="1">
      <c r="A1468" s="68"/>
      <c r="B1468" s="86">
        <v>1482.0</v>
      </c>
      <c r="C1468" s="68"/>
      <c r="D1468" s="87" t="str">
        <f>CONCATENATE(PROPER('BIÑAN INFO'!$G1468),", ",PROPER('BIÑAN INFO'!$E1468)," ",PROPER('BIÑAN INFO'!$F1468),"."," (",UPPER('BIÑAN INFO'!$H1468),")")</f>
        <v>,  . ()</v>
      </c>
      <c r="E1468" s="87"/>
      <c r="F1468" s="87"/>
      <c r="G1468" s="87"/>
      <c r="H1468" s="87"/>
      <c r="I1468" s="71">
        <v>0.12</v>
      </c>
      <c r="J1468" s="72">
        <v>1000.0</v>
      </c>
      <c r="K1468" s="89"/>
      <c r="L1468" s="89"/>
      <c r="M1468" s="89"/>
      <c r="N1468" s="90"/>
      <c r="O1468" s="59"/>
      <c r="P1468" s="59"/>
      <c r="Q1468" s="59"/>
      <c r="R1468" s="59"/>
      <c r="S1468" s="59"/>
      <c r="T1468" s="59"/>
      <c r="U1468" s="59"/>
      <c r="V1468" s="59"/>
      <c r="W1468" s="59"/>
      <c r="X1468" s="59"/>
      <c r="Y1468" s="59"/>
      <c r="Z1468" s="59"/>
    </row>
    <row r="1469" ht="30.0" customHeight="1">
      <c r="A1469" s="68"/>
      <c r="B1469" s="86">
        <v>1483.0</v>
      </c>
      <c r="C1469" s="68"/>
      <c r="D1469" s="87" t="str">
        <f>CONCATENATE(PROPER('BIÑAN INFO'!$G1469),", ",PROPER('BIÑAN INFO'!$E1469)," ",PROPER('BIÑAN INFO'!$F1469),"."," (",UPPER('BIÑAN INFO'!$H1469),")")</f>
        <v>,  . ()</v>
      </c>
      <c r="E1469" s="87"/>
      <c r="F1469" s="87"/>
      <c r="G1469" s="87"/>
      <c r="H1469" s="87"/>
      <c r="I1469" s="71">
        <v>0.12</v>
      </c>
      <c r="J1469" s="72">
        <v>1000.0</v>
      </c>
      <c r="K1469" s="89"/>
      <c r="L1469" s="89"/>
      <c r="M1469" s="89"/>
      <c r="N1469" s="90"/>
      <c r="O1469" s="59"/>
      <c r="P1469" s="59"/>
      <c r="Q1469" s="59"/>
      <c r="R1469" s="59"/>
      <c r="S1469" s="59"/>
      <c r="T1469" s="59"/>
      <c r="U1469" s="59"/>
      <c r="V1469" s="59"/>
      <c r="W1469" s="59"/>
      <c r="X1469" s="59"/>
      <c r="Y1469" s="59"/>
      <c r="Z1469" s="59"/>
    </row>
    <row r="1470" ht="30.0" customHeight="1">
      <c r="A1470" s="68"/>
      <c r="B1470" s="86">
        <v>1484.0</v>
      </c>
      <c r="C1470" s="68"/>
      <c r="D1470" s="87" t="str">
        <f>CONCATENATE(PROPER('BIÑAN INFO'!$G1470),", ",PROPER('BIÑAN INFO'!$E1470)," ",PROPER('BIÑAN INFO'!$F1470),"."," (",UPPER('BIÑAN INFO'!$H1470),")")</f>
        <v>,  . ()</v>
      </c>
      <c r="E1470" s="87"/>
      <c r="F1470" s="87"/>
      <c r="G1470" s="87"/>
      <c r="H1470" s="87"/>
      <c r="I1470" s="71">
        <v>0.12</v>
      </c>
      <c r="J1470" s="72">
        <v>1000.0</v>
      </c>
      <c r="K1470" s="89"/>
      <c r="L1470" s="89"/>
      <c r="M1470" s="89"/>
      <c r="N1470" s="90"/>
      <c r="O1470" s="59"/>
      <c r="P1470" s="59"/>
      <c r="Q1470" s="59"/>
      <c r="R1470" s="59"/>
      <c r="S1470" s="59"/>
      <c r="T1470" s="59"/>
      <c r="U1470" s="59"/>
      <c r="V1470" s="59"/>
      <c r="W1470" s="59"/>
      <c r="X1470" s="59"/>
      <c r="Y1470" s="59"/>
      <c r="Z1470" s="59"/>
    </row>
    <row r="1471" ht="30.0" customHeight="1">
      <c r="A1471" s="68"/>
      <c r="B1471" s="86">
        <v>1485.0</v>
      </c>
      <c r="C1471" s="68"/>
      <c r="D1471" s="87" t="str">
        <f>CONCATENATE(PROPER('BIÑAN INFO'!$G1471),", ",PROPER('BIÑAN INFO'!$E1471)," ",PROPER('BIÑAN INFO'!$F1471),"."," (",UPPER('BIÑAN INFO'!$H1471),")")</f>
        <v>De Guzman, Mary Ann . ()</v>
      </c>
      <c r="E1471" s="87" t="s">
        <v>834</v>
      </c>
      <c r="F1471" s="87"/>
      <c r="G1471" s="87" t="s">
        <v>741</v>
      </c>
      <c r="H1471" s="87"/>
      <c r="I1471" s="71">
        <v>0.12</v>
      </c>
      <c r="J1471" s="72">
        <v>1000.0</v>
      </c>
      <c r="K1471" s="89"/>
      <c r="L1471" s="89"/>
      <c r="M1471" s="89"/>
      <c r="N1471" s="90"/>
      <c r="O1471" s="59"/>
      <c r="P1471" s="59"/>
      <c r="Q1471" s="59"/>
      <c r="R1471" s="59"/>
      <c r="S1471" s="59"/>
      <c r="T1471" s="59"/>
      <c r="U1471" s="59"/>
      <c r="V1471" s="59"/>
      <c r="W1471" s="59"/>
      <c r="X1471" s="59"/>
      <c r="Y1471" s="59"/>
      <c r="Z1471" s="59"/>
    </row>
    <row r="1472" ht="30.0" customHeight="1">
      <c r="A1472" s="68"/>
      <c r="B1472" s="86">
        <v>1486.0</v>
      </c>
      <c r="C1472" s="68"/>
      <c r="D1472" s="87" t="str">
        <f>CONCATENATE(PROPER('BIÑAN INFO'!$G1472),", ",PROPER('BIÑAN INFO'!$E1472)," ",PROPER('BIÑAN INFO'!$F1472),"."," (",UPPER('BIÑAN INFO'!$H1472),")")</f>
        <v>Nalam, Joanne . ()</v>
      </c>
      <c r="E1472" s="87" t="s">
        <v>912</v>
      </c>
      <c r="F1472" s="87"/>
      <c r="G1472" s="87" t="s">
        <v>913</v>
      </c>
      <c r="H1472" s="87"/>
      <c r="I1472" s="71">
        <v>0.12</v>
      </c>
      <c r="J1472" s="72">
        <v>1000.0</v>
      </c>
      <c r="K1472" s="89"/>
      <c r="L1472" s="89"/>
      <c r="M1472" s="89"/>
      <c r="N1472" s="90"/>
      <c r="O1472" s="59"/>
      <c r="P1472" s="59"/>
      <c r="Q1472" s="59"/>
      <c r="R1472" s="59"/>
      <c r="S1472" s="59"/>
      <c r="T1472" s="59"/>
      <c r="U1472" s="59"/>
      <c r="V1472" s="59"/>
      <c r="W1472" s="59"/>
      <c r="X1472" s="59"/>
      <c r="Y1472" s="59"/>
      <c r="Z1472" s="59"/>
    </row>
    <row r="1473" ht="30.0" customHeight="1">
      <c r="A1473" s="68"/>
      <c r="B1473" s="86">
        <v>1487.0</v>
      </c>
      <c r="C1473" s="68"/>
      <c r="D1473" s="87" t="str">
        <f>CONCATENATE(PROPER('BIÑAN INFO'!$G1473),", ",PROPER('BIÑAN INFO'!$E1473)," ",PROPER('BIÑAN INFO'!$F1473),"."," (",UPPER('BIÑAN INFO'!$H1473),")")</f>
        <v>Apachay, Mary-Ann . ()</v>
      </c>
      <c r="E1473" s="87" t="s">
        <v>914</v>
      </c>
      <c r="F1473" s="87"/>
      <c r="G1473" s="87" t="s">
        <v>915</v>
      </c>
      <c r="H1473" s="87"/>
      <c r="I1473" s="71">
        <v>0.12</v>
      </c>
      <c r="J1473" s="72">
        <v>1000.0</v>
      </c>
      <c r="K1473" s="89"/>
      <c r="L1473" s="89"/>
      <c r="M1473" s="89"/>
      <c r="N1473" s="90"/>
      <c r="O1473" s="59"/>
      <c r="P1473" s="59"/>
      <c r="Q1473" s="59"/>
      <c r="R1473" s="59"/>
      <c r="S1473" s="59"/>
      <c r="T1473" s="59"/>
      <c r="U1473" s="59"/>
      <c r="V1473" s="59"/>
      <c r="W1473" s="59"/>
      <c r="X1473" s="59"/>
      <c r="Y1473" s="59"/>
      <c r="Z1473" s="59"/>
    </row>
    <row r="1474" ht="30.0" customHeight="1">
      <c r="A1474" s="68"/>
      <c r="B1474" s="86">
        <v>1488.0</v>
      </c>
      <c r="C1474" s="68"/>
      <c r="D1474" s="87" t="str">
        <f>CONCATENATE(PROPER('BIÑAN INFO'!$G1474),", ",PROPER('BIÑAN INFO'!$E1474)," ",PROPER('BIÑAN INFO'!$F1474),"."," (",UPPER('BIÑAN INFO'!$H1474),")")</f>
        <v>,  . ()</v>
      </c>
      <c r="E1474" s="87"/>
      <c r="F1474" s="87"/>
      <c r="G1474" s="87"/>
      <c r="H1474" s="87"/>
      <c r="I1474" s="71">
        <v>0.12</v>
      </c>
      <c r="J1474" s="72">
        <v>1000.0</v>
      </c>
      <c r="K1474" s="89"/>
      <c r="L1474" s="89"/>
      <c r="M1474" s="89"/>
      <c r="N1474" s="90"/>
      <c r="O1474" s="59"/>
      <c r="P1474" s="59"/>
      <c r="Q1474" s="59"/>
      <c r="R1474" s="59"/>
      <c r="S1474" s="59"/>
      <c r="T1474" s="59"/>
      <c r="U1474" s="59"/>
      <c r="V1474" s="59"/>
      <c r="W1474" s="59"/>
      <c r="X1474" s="59"/>
      <c r="Y1474" s="59"/>
      <c r="Z1474" s="59"/>
    </row>
    <row r="1475" ht="30.0" customHeight="1">
      <c r="A1475" s="68"/>
      <c r="B1475" s="86">
        <v>1489.0</v>
      </c>
      <c r="C1475" s="68"/>
      <c r="D1475" s="87" t="str">
        <f>CONCATENATE(PROPER('BIÑAN INFO'!$G1475),", ",PROPER('BIÑAN INFO'!$E1475)," ",PROPER('BIÑAN INFO'!$F1475),"."," (",UPPER('BIÑAN INFO'!$H1475),")")</f>
        <v>,  . ()</v>
      </c>
      <c r="E1475" s="87"/>
      <c r="F1475" s="87"/>
      <c r="G1475" s="87"/>
      <c r="H1475" s="87"/>
      <c r="I1475" s="71">
        <v>0.12</v>
      </c>
      <c r="J1475" s="72">
        <v>1000.0</v>
      </c>
      <c r="K1475" s="89"/>
      <c r="L1475" s="89"/>
      <c r="M1475" s="89"/>
      <c r="N1475" s="90"/>
      <c r="O1475" s="59"/>
      <c r="P1475" s="59"/>
      <c r="Q1475" s="59"/>
      <c r="R1475" s="59"/>
      <c r="S1475" s="59"/>
      <c r="T1475" s="59"/>
      <c r="U1475" s="59"/>
      <c r="V1475" s="59"/>
      <c r="W1475" s="59"/>
      <c r="X1475" s="59"/>
      <c r="Y1475" s="59"/>
      <c r="Z1475" s="59"/>
    </row>
    <row r="1476" ht="30.0" customHeight="1">
      <c r="A1476" s="68"/>
      <c r="B1476" s="86">
        <v>1490.0</v>
      </c>
      <c r="C1476" s="68"/>
      <c r="D1476" s="87" t="str">
        <f>CONCATENATE(PROPER('BIÑAN INFO'!$G1476),", ",PROPER('BIÑAN INFO'!$E1476)," ",PROPER('BIÑAN INFO'!$F1476),"."," (",UPPER('BIÑAN INFO'!$H1476),")")</f>
        <v>,  . ()</v>
      </c>
      <c r="E1476" s="87"/>
      <c r="F1476" s="87"/>
      <c r="G1476" s="87"/>
      <c r="H1476" s="87"/>
      <c r="I1476" s="71">
        <v>0.05</v>
      </c>
      <c r="J1476" s="72">
        <v>1000.0</v>
      </c>
      <c r="K1476" s="89" t="s">
        <v>916</v>
      </c>
      <c r="L1476" s="89"/>
      <c r="M1476" s="89"/>
      <c r="N1476" s="90"/>
      <c r="O1476" s="59"/>
      <c r="P1476" s="59"/>
      <c r="Q1476" s="59"/>
      <c r="R1476" s="59"/>
      <c r="S1476" s="59"/>
      <c r="T1476" s="59"/>
      <c r="U1476" s="59"/>
      <c r="V1476" s="59"/>
      <c r="W1476" s="59"/>
      <c r="X1476" s="59"/>
      <c r="Y1476" s="59"/>
      <c r="Z1476" s="59"/>
    </row>
    <row r="1477" ht="30.0" customHeight="1">
      <c r="A1477" s="68"/>
      <c r="B1477" s="86">
        <v>1491.0</v>
      </c>
      <c r="C1477" s="68"/>
      <c r="D1477" s="87" t="str">
        <f>CONCATENATE(PROPER('BIÑAN INFO'!$G1477),", ",PROPER('BIÑAN INFO'!$E1477)," ",PROPER('BIÑAN INFO'!$F1477),"."," (",UPPER('BIÑAN INFO'!$H1477),")")</f>
        <v>,  . ()</v>
      </c>
      <c r="E1477" s="87"/>
      <c r="F1477" s="87"/>
      <c r="G1477" s="87"/>
      <c r="H1477" s="87"/>
      <c r="I1477" s="71">
        <v>0.12</v>
      </c>
      <c r="J1477" s="72">
        <v>1000.0</v>
      </c>
      <c r="K1477" s="89"/>
      <c r="L1477" s="89"/>
      <c r="M1477" s="89"/>
      <c r="N1477" s="90"/>
      <c r="O1477" s="59"/>
      <c r="P1477" s="59"/>
      <c r="Q1477" s="59"/>
      <c r="R1477" s="59"/>
      <c r="S1477" s="59"/>
      <c r="T1477" s="59"/>
      <c r="U1477" s="59"/>
      <c r="V1477" s="59"/>
      <c r="W1477" s="59"/>
      <c r="X1477" s="59"/>
      <c r="Y1477" s="59"/>
      <c r="Z1477" s="59"/>
    </row>
    <row r="1478" ht="30.0" customHeight="1">
      <c r="A1478" s="68"/>
      <c r="B1478" s="86">
        <v>1492.0</v>
      </c>
      <c r="C1478" s="68"/>
      <c r="D1478" s="87" t="str">
        <f>CONCATENATE(PROPER('BIÑAN INFO'!$G1478),", ",PROPER('BIÑAN INFO'!$E1478)," ",PROPER('BIÑAN INFO'!$F1478),"."," (",UPPER('BIÑAN INFO'!$H1478),")")</f>
        <v>,  . ()</v>
      </c>
      <c r="E1478" s="87"/>
      <c r="F1478" s="87"/>
      <c r="G1478" s="87"/>
      <c r="H1478" s="87"/>
      <c r="I1478" s="71">
        <v>0.12</v>
      </c>
      <c r="J1478" s="72">
        <v>1000.0</v>
      </c>
      <c r="K1478" s="89"/>
      <c r="L1478" s="89"/>
      <c r="M1478" s="89"/>
      <c r="N1478" s="90"/>
      <c r="O1478" s="59"/>
      <c r="P1478" s="59"/>
      <c r="Q1478" s="59"/>
      <c r="R1478" s="59"/>
      <c r="S1478" s="59"/>
      <c r="T1478" s="59"/>
      <c r="U1478" s="59"/>
      <c r="V1478" s="59"/>
      <c r="W1478" s="59"/>
      <c r="X1478" s="59"/>
      <c r="Y1478" s="59"/>
      <c r="Z1478" s="59"/>
    </row>
    <row r="1479" ht="30.0" customHeight="1">
      <c r="A1479" s="68"/>
      <c r="B1479" s="86">
        <v>1493.0</v>
      </c>
      <c r="C1479" s="68"/>
      <c r="D1479" s="87" t="str">
        <f>CONCATENATE(PROPER('BIÑAN INFO'!$G1479),", ",PROPER('BIÑAN INFO'!$E1479)," ",PROPER('BIÑAN INFO'!$F1479),"."," (",UPPER('BIÑAN INFO'!$H1479),")")</f>
        <v>,  . ()</v>
      </c>
      <c r="E1479" s="87"/>
      <c r="F1479" s="87"/>
      <c r="G1479" s="87"/>
      <c r="H1479" s="87"/>
      <c r="I1479" s="71">
        <v>0.12</v>
      </c>
      <c r="J1479" s="72">
        <v>1000.0</v>
      </c>
      <c r="K1479" s="89"/>
      <c r="L1479" s="89"/>
      <c r="M1479" s="89"/>
      <c r="N1479" s="90"/>
      <c r="O1479" s="59"/>
      <c r="P1479" s="59"/>
      <c r="Q1479" s="59"/>
      <c r="R1479" s="59"/>
      <c r="S1479" s="59"/>
      <c r="T1479" s="59"/>
      <c r="U1479" s="59"/>
      <c r="V1479" s="59"/>
      <c r="W1479" s="59"/>
      <c r="X1479" s="59"/>
      <c r="Y1479" s="59"/>
      <c r="Z1479" s="59"/>
    </row>
    <row r="1480" ht="30.0" customHeight="1">
      <c r="A1480" s="68"/>
      <c r="B1480" s="86">
        <v>1494.0</v>
      </c>
      <c r="C1480" s="68"/>
      <c r="D1480" s="87" t="str">
        <f>CONCATENATE(PROPER('BIÑAN INFO'!$G1480),", ",PROPER('BIÑAN INFO'!$E1480)," ",PROPER('BIÑAN INFO'!$F1480),"."," (",UPPER('BIÑAN INFO'!$H1480),")")</f>
        <v>,  . ()</v>
      </c>
      <c r="E1480" s="87"/>
      <c r="F1480" s="87"/>
      <c r="G1480" s="87"/>
      <c r="H1480" s="87"/>
      <c r="I1480" s="71">
        <v>0.12</v>
      </c>
      <c r="J1480" s="72">
        <v>1000.0</v>
      </c>
      <c r="K1480" s="89"/>
      <c r="L1480" s="89"/>
      <c r="M1480" s="89"/>
      <c r="N1480" s="90"/>
      <c r="O1480" s="59"/>
      <c r="P1480" s="59"/>
      <c r="Q1480" s="59"/>
      <c r="R1480" s="59"/>
      <c r="S1480" s="59"/>
      <c r="T1480" s="59"/>
      <c r="U1480" s="59"/>
      <c r="V1480" s="59"/>
      <c r="W1480" s="59"/>
      <c r="X1480" s="59"/>
      <c r="Y1480" s="59"/>
      <c r="Z1480" s="59"/>
    </row>
    <row r="1481" ht="30.0" customHeight="1">
      <c r="A1481" s="68"/>
      <c r="B1481" s="86">
        <v>1495.0</v>
      </c>
      <c r="C1481" s="68"/>
      <c r="D1481" s="87" t="str">
        <f>CONCATENATE(PROPER('BIÑAN INFO'!$G1481),", ",PROPER('BIÑAN INFO'!$E1481)," ",PROPER('BIÑAN INFO'!$F1481),"."," (",UPPER('BIÑAN INFO'!$H1481),")")</f>
        <v>,  . ()</v>
      </c>
      <c r="E1481" s="87"/>
      <c r="F1481" s="87"/>
      <c r="G1481" s="87"/>
      <c r="H1481" s="87"/>
      <c r="I1481" s="71">
        <v>0.12</v>
      </c>
      <c r="J1481" s="72">
        <v>1000.0</v>
      </c>
      <c r="K1481" s="89"/>
      <c r="L1481" s="89"/>
      <c r="M1481" s="89"/>
      <c r="N1481" s="90"/>
      <c r="O1481" s="59"/>
      <c r="P1481" s="59"/>
      <c r="Q1481" s="59"/>
      <c r="R1481" s="59"/>
      <c r="S1481" s="59"/>
      <c r="T1481" s="59"/>
      <c r="U1481" s="59"/>
      <c r="V1481" s="59"/>
      <c r="W1481" s="59"/>
      <c r="X1481" s="59"/>
      <c r="Y1481" s="59"/>
      <c r="Z1481" s="59"/>
    </row>
    <row r="1482" ht="30.0" customHeight="1">
      <c r="A1482" s="68"/>
      <c r="B1482" s="86">
        <v>1496.0</v>
      </c>
      <c r="C1482" s="68"/>
      <c r="D1482" s="87" t="str">
        <f>CONCATENATE(PROPER('BIÑAN INFO'!$G1482),", ",PROPER('BIÑAN INFO'!$E1482)," ",PROPER('BIÑAN INFO'!$F1482),"."," (",UPPER('BIÑAN INFO'!$H1482),")")</f>
        <v>,  . ()</v>
      </c>
      <c r="E1482" s="87"/>
      <c r="F1482" s="87"/>
      <c r="G1482" s="87"/>
      <c r="H1482" s="87"/>
      <c r="I1482" s="71">
        <v>0.12</v>
      </c>
      <c r="J1482" s="72">
        <v>1000.0</v>
      </c>
      <c r="K1482" s="89"/>
      <c r="L1482" s="89"/>
      <c r="M1482" s="89"/>
      <c r="N1482" s="90"/>
      <c r="O1482" s="59"/>
      <c r="P1482" s="59"/>
      <c r="Q1482" s="59"/>
      <c r="R1482" s="59"/>
      <c r="S1482" s="59"/>
      <c r="T1482" s="59"/>
      <c r="U1482" s="59"/>
      <c r="V1482" s="59"/>
      <c r="W1482" s="59"/>
      <c r="X1482" s="59"/>
      <c r="Y1482" s="59"/>
      <c r="Z1482" s="59"/>
    </row>
    <row r="1483" ht="30.0" customHeight="1">
      <c r="A1483" s="68"/>
      <c r="B1483" s="86">
        <v>1497.0</v>
      </c>
      <c r="C1483" s="68"/>
      <c r="D1483" s="87" t="str">
        <f>CONCATENATE(PROPER('BIÑAN INFO'!$G1483),", ",PROPER('BIÑAN INFO'!$E1483)," ",PROPER('BIÑAN INFO'!$F1483),"."," (",UPPER('BIÑAN INFO'!$H1483),")")</f>
        <v>,  . ()</v>
      </c>
      <c r="E1483" s="87"/>
      <c r="F1483" s="87"/>
      <c r="G1483" s="87"/>
      <c r="H1483" s="87"/>
      <c r="I1483" s="71">
        <v>0.12</v>
      </c>
      <c r="J1483" s="72">
        <v>1000.0</v>
      </c>
      <c r="K1483" s="89"/>
      <c r="L1483" s="89"/>
      <c r="M1483" s="89"/>
      <c r="N1483" s="90"/>
      <c r="O1483" s="59"/>
      <c r="P1483" s="59"/>
      <c r="Q1483" s="59"/>
      <c r="R1483" s="59"/>
      <c r="S1483" s="59"/>
      <c r="T1483" s="59"/>
      <c r="U1483" s="59"/>
      <c r="V1483" s="59"/>
      <c r="W1483" s="59"/>
      <c r="X1483" s="59"/>
      <c r="Y1483" s="59"/>
      <c r="Z1483" s="59"/>
    </row>
    <row r="1484" ht="30.0" customHeight="1">
      <c r="A1484" s="68"/>
      <c r="B1484" s="86">
        <v>1498.0</v>
      </c>
      <c r="C1484" s="68"/>
      <c r="D1484" s="87" t="str">
        <f>CONCATENATE(PROPER('BIÑAN INFO'!$G1484),", ",PROPER('BIÑAN INFO'!$E1484)," ",PROPER('BIÑAN INFO'!$F1484),"."," (",UPPER('BIÑAN INFO'!$H1484),")")</f>
        <v>,  . ()</v>
      </c>
      <c r="E1484" s="87"/>
      <c r="F1484" s="87"/>
      <c r="G1484" s="87"/>
      <c r="H1484" s="87"/>
      <c r="I1484" s="71">
        <v>0.05</v>
      </c>
      <c r="J1484" s="72">
        <v>1000.0</v>
      </c>
      <c r="K1484" s="89" t="s">
        <v>93</v>
      </c>
      <c r="L1484" s="89"/>
      <c r="M1484" s="89"/>
      <c r="N1484" s="90"/>
      <c r="O1484" s="59"/>
      <c r="P1484" s="59"/>
      <c r="Q1484" s="59"/>
      <c r="R1484" s="59"/>
      <c r="S1484" s="59"/>
      <c r="T1484" s="59"/>
      <c r="U1484" s="59"/>
      <c r="V1484" s="59"/>
      <c r="W1484" s="59"/>
      <c r="X1484" s="59"/>
      <c r="Y1484" s="59"/>
      <c r="Z1484" s="59"/>
    </row>
    <row r="1485" ht="30.0" customHeight="1">
      <c r="A1485" s="68"/>
      <c r="B1485" s="86">
        <v>1499.0</v>
      </c>
      <c r="C1485" s="68"/>
      <c r="D1485" s="87" t="str">
        <f>CONCATENATE(PROPER('BIÑAN INFO'!$G1485),", ",PROPER('BIÑAN INFO'!$E1485)," ",PROPER('BIÑAN INFO'!$F1485),"."," (",UPPER('BIÑAN INFO'!$H1485),")")</f>
        <v>,  . ()</v>
      </c>
      <c r="E1485" s="87"/>
      <c r="F1485" s="87"/>
      <c r="G1485" s="87"/>
      <c r="H1485" s="87"/>
      <c r="I1485" s="71">
        <v>0.12</v>
      </c>
      <c r="J1485" s="72">
        <v>1000.0</v>
      </c>
      <c r="K1485" s="89"/>
      <c r="L1485" s="89"/>
      <c r="M1485" s="89"/>
      <c r="N1485" s="90"/>
      <c r="O1485" s="59"/>
      <c r="P1485" s="59"/>
      <c r="Q1485" s="59"/>
      <c r="R1485" s="59"/>
      <c r="S1485" s="59"/>
      <c r="T1485" s="59"/>
      <c r="U1485" s="59"/>
      <c r="V1485" s="59"/>
      <c r="W1485" s="59"/>
      <c r="X1485" s="59"/>
      <c r="Y1485" s="59"/>
      <c r="Z1485" s="59"/>
    </row>
    <row r="1486" ht="30.0" customHeight="1">
      <c r="A1486" s="68"/>
      <c r="B1486" s="86">
        <v>1500.0</v>
      </c>
      <c r="C1486" s="68"/>
      <c r="D1486" s="87" t="str">
        <f>CONCATENATE(PROPER('BIÑAN INFO'!$G1486),", ",PROPER('BIÑAN INFO'!$E1486)," ",PROPER('BIÑAN INFO'!$F1486),"."," (",UPPER('BIÑAN INFO'!$H1486),")")</f>
        <v>Panganiban, Celedonia . ()</v>
      </c>
      <c r="E1486" s="87" t="s">
        <v>917</v>
      </c>
      <c r="F1486" s="87"/>
      <c r="G1486" s="87" t="s">
        <v>918</v>
      </c>
      <c r="H1486" s="87"/>
      <c r="I1486" s="71">
        <v>0.05</v>
      </c>
      <c r="J1486" s="72">
        <v>1000.0</v>
      </c>
      <c r="K1486" s="89" t="s">
        <v>157</v>
      </c>
      <c r="L1486" s="89" t="s">
        <v>654</v>
      </c>
      <c r="M1486" s="89">
        <v>2017.0</v>
      </c>
      <c r="N1486" s="90"/>
      <c r="O1486" s="59"/>
      <c r="P1486" s="59"/>
      <c r="Q1486" s="59"/>
      <c r="R1486" s="59"/>
      <c r="S1486" s="59"/>
      <c r="T1486" s="59"/>
      <c r="U1486" s="59"/>
      <c r="V1486" s="59"/>
      <c r="W1486" s="59"/>
      <c r="X1486" s="59"/>
      <c r="Y1486" s="59"/>
      <c r="Z1486" s="59"/>
    </row>
    <row r="1487" ht="30.0" customHeight="1">
      <c r="A1487" s="68"/>
      <c r="B1487" s="86">
        <v>1501.0</v>
      </c>
      <c r="C1487" s="68"/>
      <c r="D1487" s="87" t="str">
        <f>CONCATENATE(PROPER('BIÑAN INFO'!$G1487),", ",PROPER('BIÑAN INFO'!$E1487)," ",PROPER('BIÑAN INFO'!$F1487),"."," (",UPPER('BIÑAN INFO'!$H1487),")")</f>
        <v>Boyano, Aldrin Riel Tabuyao. ()</v>
      </c>
      <c r="E1487" s="87" t="s">
        <v>919</v>
      </c>
      <c r="F1487" s="87" t="s">
        <v>920</v>
      </c>
      <c r="G1487" s="87" t="s">
        <v>921</v>
      </c>
      <c r="H1487" s="87"/>
      <c r="I1487" s="71">
        <v>0.12</v>
      </c>
      <c r="J1487" s="72">
        <v>1000.0</v>
      </c>
      <c r="K1487" s="89"/>
      <c r="L1487" s="89"/>
      <c r="M1487" s="89"/>
      <c r="N1487" s="90"/>
      <c r="O1487" s="59"/>
      <c r="P1487" s="59"/>
      <c r="Q1487" s="59"/>
      <c r="R1487" s="59"/>
      <c r="S1487" s="59"/>
      <c r="T1487" s="59"/>
      <c r="U1487" s="59"/>
      <c r="V1487" s="59"/>
      <c r="W1487" s="59"/>
      <c r="X1487" s="59"/>
      <c r="Y1487" s="59"/>
      <c r="Z1487" s="59"/>
    </row>
    <row r="1488" ht="30.0" customHeight="1">
      <c r="A1488" s="68"/>
      <c r="B1488" s="86">
        <v>1502.0</v>
      </c>
      <c r="C1488" s="68"/>
      <c r="D1488" s="87" t="str">
        <f>CONCATENATE(PROPER('BIÑAN INFO'!$G1488),", ",PROPER('BIÑAN INFO'!$E1488)," ",PROPER('BIÑAN INFO'!$F1488),"."," (",UPPER('BIÑAN INFO'!$H1488),")")</f>
        <v>,  . ()</v>
      </c>
      <c r="E1488" s="87"/>
      <c r="F1488" s="87"/>
      <c r="G1488" s="87"/>
      <c r="H1488" s="87"/>
      <c r="I1488" s="71">
        <v>0.12</v>
      </c>
      <c r="J1488" s="72">
        <v>1000.0</v>
      </c>
      <c r="K1488" s="89"/>
      <c r="L1488" s="89"/>
      <c r="M1488" s="89"/>
      <c r="N1488" s="90"/>
      <c r="O1488" s="59"/>
      <c r="P1488" s="59"/>
      <c r="Q1488" s="59"/>
      <c r="R1488" s="59"/>
      <c r="S1488" s="59"/>
      <c r="T1488" s="59"/>
      <c r="U1488" s="59"/>
      <c r="V1488" s="59"/>
      <c r="W1488" s="59"/>
      <c r="X1488" s="59"/>
      <c r="Y1488" s="59"/>
      <c r="Z1488" s="59"/>
    </row>
    <row r="1489" ht="30.0" customHeight="1">
      <c r="A1489" s="68"/>
      <c r="B1489" s="86">
        <v>1503.0</v>
      </c>
      <c r="C1489" s="68"/>
      <c r="D1489" s="87" t="str">
        <f>CONCATENATE(PROPER('BIÑAN INFO'!$G1489),", ",PROPER('BIÑAN INFO'!$E1489)," ",PROPER('BIÑAN INFO'!$F1489),"."," (",UPPER('BIÑAN INFO'!$H1489),")")</f>
        <v>Diña, Marites R. ()</v>
      </c>
      <c r="E1489" s="87" t="s">
        <v>892</v>
      </c>
      <c r="F1489" s="87" t="s">
        <v>260</v>
      </c>
      <c r="G1489" s="87" t="s">
        <v>922</v>
      </c>
      <c r="H1489" s="87"/>
      <c r="I1489" s="71">
        <v>0.12</v>
      </c>
      <c r="J1489" s="72">
        <v>1000.0</v>
      </c>
      <c r="K1489" s="89"/>
      <c r="L1489" s="89"/>
      <c r="M1489" s="89"/>
      <c r="N1489" s="90"/>
      <c r="O1489" s="59"/>
      <c r="P1489" s="59"/>
      <c r="Q1489" s="59"/>
      <c r="R1489" s="59"/>
      <c r="S1489" s="59"/>
      <c r="T1489" s="59"/>
      <c r="U1489" s="59"/>
      <c r="V1489" s="59"/>
      <c r="W1489" s="59"/>
      <c r="X1489" s="59"/>
      <c r="Y1489" s="59"/>
      <c r="Z1489" s="59"/>
    </row>
    <row r="1490" ht="30.0" customHeight="1">
      <c r="A1490" s="68"/>
      <c r="B1490" s="86">
        <v>1504.0</v>
      </c>
      <c r="C1490" s="68"/>
      <c r="D1490" s="87" t="str">
        <f>CONCATENATE(PROPER('BIÑAN INFO'!$G1490),", ",PROPER('BIÑAN INFO'!$E1490)," ",PROPER('BIÑAN INFO'!$F1490),"."," (",UPPER('BIÑAN INFO'!$H1490),")")</f>
        <v>,  . ()</v>
      </c>
      <c r="E1490" s="87"/>
      <c r="F1490" s="87"/>
      <c r="G1490" s="87"/>
      <c r="H1490" s="87"/>
      <c r="I1490" s="71">
        <v>0.05</v>
      </c>
      <c r="J1490" s="72">
        <v>1000.0</v>
      </c>
      <c r="K1490" s="89" t="s">
        <v>50</v>
      </c>
      <c r="L1490" s="89"/>
      <c r="M1490" s="89"/>
      <c r="N1490" s="90"/>
      <c r="O1490" s="59"/>
      <c r="P1490" s="59"/>
      <c r="Q1490" s="59"/>
      <c r="R1490" s="59"/>
      <c r="S1490" s="59"/>
      <c r="T1490" s="59"/>
      <c r="U1490" s="59"/>
      <c r="V1490" s="59"/>
      <c r="W1490" s="59"/>
      <c r="X1490" s="59"/>
      <c r="Y1490" s="59"/>
      <c r="Z1490" s="59"/>
    </row>
    <row r="1491" ht="30.0" customHeight="1">
      <c r="A1491" s="68"/>
      <c r="B1491" s="86">
        <v>1505.0</v>
      </c>
      <c r="C1491" s="68"/>
      <c r="D1491" s="87" t="str">
        <f>CONCATENATE(PROPER('BIÑAN INFO'!$G1491),", ",PROPER('BIÑAN INFO'!$E1491)," ",PROPER('BIÑAN INFO'!$F1491),"."," (",UPPER('BIÑAN INFO'!$H1491),")")</f>
        <v>,  . ()</v>
      </c>
      <c r="E1491" s="87"/>
      <c r="F1491" s="87"/>
      <c r="G1491" s="87"/>
      <c r="H1491" s="87"/>
      <c r="I1491" s="71">
        <v>0.12</v>
      </c>
      <c r="J1491" s="72">
        <v>1000.0</v>
      </c>
      <c r="K1491" s="89"/>
      <c r="L1491" s="89"/>
      <c r="M1491" s="89"/>
      <c r="N1491" s="90"/>
      <c r="O1491" s="59"/>
      <c r="P1491" s="59"/>
      <c r="Q1491" s="59"/>
      <c r="R1491" s="59"/>
      <c r="S1491" s="59"/>
      <c r="T1491" s="59"/>
      <c r="U1491" s="59"/>
      <c r="V1491" s="59"/>
      <c r="W1491" s="59"/>
      <c r="X1491" s="59"/>
      <c r="Y1491" s="59"/>
      <c r="Z1491" s="59"/>
    </row>
    <row r="1492" ht="30.0" customHeight="1">
      <c r="A1492" s="68"/>
      <c r="B1492" s="86">
        <v>1506.0</v>
      </c>
      <c r="C1492" s="68"/>
      <c r="D1492" s="87" t="str">
        <f>CONCATENATE(PROPER('BIÑAN INFO'!$G1492),", ",PROPER('BIÑAN INFO'!$E1492)," ",PROPER('BIÑAN INFO'!$F1492),"."," (",UPPER('BIÑAN INFO'!$H1492),")")</f>
        <v>,  . ()</v>
      </c>
      <c r="E1492" s="87"/>
      <c r="F1492" s="87"/>
      <c r="G1492" s="87"/>
      <c r="H1492" s="87"/>
      <c r="I1492" s="71">
        <v>0.12</v>
      </c>
      <c r="J1492" s="72">
        <v>1000.0</v>
      </c>
      <c r="K1492" s="89"/>
      <c r="L1492" s="89"/>
      <c r="M1492" s="89"/>
      <c r="N1492" s="90"/>
      <c r="O1492" s="59"/>
      <c r="P1492" s="59"/>
      <c r="Q1492" s="59"/>
      <c r="R1492" s="59"/>
      <c r="S1492" s="59"/>
      <c r="T1492" s="59"/>
      <c r="U1492" s="59"/>
      <c r="V1492" s="59"/>
      <c r="W1492" s="59"/>
      <c r="X1492" s="59"/>
      <c r="Y1492" s="59"/>
      <c r="Z1492" s="59"/>
    </row>
    <row r="1493" ht="30.0" customHeight="1">
      <c r="A1493" s="68"/>
      <c r="B1493" s="86">
        <v>1507.0</v>
      </c>
      <c r="C1493" s="68"/>
      <c r="D1493" s="87" t="str">
        <f>CONCATENATE(PROPER('BIÑAN INFO'!$G1493),", ",PROPER('BIÑAN INFO'!$E1493)," ",PROPER('BIÑAN INFO'!$F1493),"."," (",UPPER('BIÑAN INFO'!$H1493),")")</f>
        <v>,  . ()</v>
      </c>
      <c r="E1493" s="87"/>
      <c r="F1493" s="87"/>
      <c r="G1493" s="87"/>
      <c r="H1493" s="87"/>
      <c r="I1493" s="71">
        <v>0.12</v>
      </c>
      <c r="J1493" s="72">
        <v>1000.0</v>
      </c>
      <c r="K1493" s="89"/>
      <c r="L1493" s="89"/>
      <c r="M1493" s="89"/>
      <c r="N1493" s="90"/>
      <c r="O1493" s="59"/>
      <c r="P1493" s="59"/>
      <c r="Q1493" s="59"/>
      <c r="R1493" s="59"/>
      <c r="S1493" s="59"/>
      <c r="T1493" s="59"/>
      <c r="U1493" s="59"/>
      <c r="V1493" s="59"/>
      <c r="W1493" s="59"/>
      <c r="X1493" s="59"/>
      <c r="Y1493" s="59"/>
      <c r="Z1493" s="59"/>
    </row>
    <row r="1494" ht="30.0" customHeight="1">
      <c r="A1494" s="68"/>
      <c r="B1494" s="86">
        <v>1508.0</v>
      </c>
      <c r="C1494" s="68"/>
      <c r="D1494" s="87" t="str">
        <f>CONCATENATE(PROPER('BIÑAN INFO'!$G1494),", ",PROPER('BIÑAN INFO'!$E1494)," ",PROPER('BIÑAN INFO'!$F1494),"."," (",UPPER('BIÑAN INFO'!$H1494),")")</f>
        <v>Cotoner, Bell Gem Rachel . ()</v>
      </c>
      <c r="E1494" s="87" t="s">
        <v>923</v>
      </c>
      <c r="F1494" s="87"/>
      <c r="G1494" s="87" t="s">
        <v>924</v>
      </c>
      <c r="H1494" s="87"/>
      <c r="I1494" s="71">
        <v>0.12</v>
      </c>
      <c r="J1494" s="72">
        <v>1000.0</v>
      </c>
      <c r="K1494" s="89"/>
      <c r="L1494" s="89"/>
      <c r="M1494" s="89"/>
      <c r="N1494" s="90"/>
      <c r="O1494" s="59"/>
      <c r="P1494" s="59"/>
      <c r="Q1494" s="59"/>
      <c r="R1494" s="59"/>
      <c r="S1494" s="59"/>
      <c r="T1494" s="59"/>
      <c r="U1494" s="59"/>
      <c r="V1494" s="59"/>
      <c r="W1494" s="59"/>
      <c r="X1494" s="59"/>
      <c r="Y1494" s="59"/>
      <c r="Z1494" s="59"/>
    </row>
    <row r="1495" ht="30.0" customHeight="1">
      <c r="A1495" s="68"/>
      <c r="B1495" s="86">
        <v>1509.0</v>
      </c>
      <c r="C1495" s="68"/>
      <c r="D1495" s="87" t="str">
        <f>CONCATENATE(PROPER('BIÑAN INFO'!$G1495),", ",PROPER('BIÑAN INFO'!$E1495)," ",PROPER('BIÑAN INFO'!$F1495),"."," (",UPPER('BIÑAN INFO'!$H1495),")")</f>
        <v>Dictado, Ronnalyn . ()</v>
      </c>
      <c r="E1495" s="87" t="s">
        <v>925</v>
      </c>
      <c r="F1495" s="87"/>
      <c r="G1495" s="87" t="s">
        <v>926</v>
      </c>
      <c r="H1495" s="87"/>
      <c r="I1495" s="71">
        <v>0.05</v>
      </c>
      <c r="J1495" s="72">
        <v>1000.0</v>
      </c>
      <c r="K1495" s="89" t="s">
        <v>50</v>
      </c>
      <c r="L1495" s="89"/>
      <c r="M1495" s="89"/>
      <c r="N1495" s="90"/>
      <c r="O1495" s="59"/>
      <c r="P1495" s="59"/>
      <c r="Q1495" s="59"/>
      <c r="R1495" s="59"/>
      <c r="S1495" s="59"/>
      <c r="T1495" s="59"/>
      <c r="U1495" s="59"/>
      <c r="V1495" s="59"/>
      <c r="W1495" s="59"/>
      <c r="X1495" s="59"/>
      <c r="Y1495" s="59"/>
      <c r="Z1495" s="59"/>
    </row>
    <row r="1496" ht="30.0" customHeight="1">
      <c r="A1496" s="68"/>
      <c r="B1496" s="86">
        <v>1510.0</v>
      </c>
      <c r="C1496" s="68"/>
      <c r="D1496" s="87" t="str">
        <f>CONCATENATE(PROPER('BIÑAN INFO'!$G1496),", ",PROPER('BIÑAN INFO'!$E1496)," ",PROPER('BIÑAN INFO'!$F1496),"."," (",UPPER('BIÑAN INFO'!$H1496),")")</f>
        <v>Espiña, Abcheranisel . ()</v>
      </c>
      <c r="E1496" s="87" t="s">
        <v>927</v>
      </c>
      <c r="F1496" s="87"/>
      <c r="G1496" s="87" t="s">
        <v>928</v>
      </c>
      <c r="H1496" s="87"/>
      <c r="I1496" s="71">
        <v>0.12</v>
      </c>
      <c r="J1496" s="72">
        <v>1000.0</v>
      </c>
      <c r="K1496" s="89"/>
      <c r="L1496" s="89"/>
      <c r="M1496" s="89"/>
      <c r="N1496" s="90"/>
      <c r="O1496" s="59"/>
      <c r="P1496" s="59"/>
      <c r="Q1496" s="59"/>
      <c r="R1496" s="59"/>
      <c r="S1496" s="59"/>
      <c r="T1496" s="59"/>
      <c r="U1496" s="59"/>
      <c r="V1496" s="59"/>
      <c r="W1496" s="59"/>
      <c r="X1496" s="59"/>
      <c r="Y1496" s="59"/>
      <c r="Z1496" s="59"/>
    </row>
    <row r="1497" ht="30.0" customHeight="1">
      <c r="A1497" s="68"/>
      <c r="B1497" s="86">
        <v>1511.0</v>
      </c>
      <c r="C1497" s="68"/>
      <c r="D1497" s="87" t="str">
        <f>CONCATENATE(PROPER('BIÑAN INFO'!$G1497),", ",PROPER('BIÑAN INFO'!$E1497)," ",PROPER('BIÑAN INFO'!$F1497),"."," (",UPPER('BIÑAN INFO'!$H1497),")")</f>
        <v>Justiniani, Kelly . ()</v>
      </c>
      <c r="E1497" s="87" t="s">
        <v>929</v>
      </c>
      <c r="F1497" s="87"/>
      <c r="G1497" s="87" t="s">
        <v>930</v>
      </c>
      <c r="H1497" s="87"/>
      <c r="I1497" s="71">
        <v>0.12</v>
      </c>
      <c r="J1497" s="72">
        <v>1000.0</v>
      </c>
      <c r="K1497" s="89"/>
      <c r="L1497" s="89"/>
      <c r="M1497" s="89"/>
      <c r="N1497" s="90"/>
      <c r="O1497" s="59"/>
      <c r="P1497" s="59"/>
      <c r="Q1497" s="59"/>
      <c r="R1497" s="59"/>
      <c r="S1497" s="59"/>
      <c r="T1497" s="59"/>
      <c r="U1497" s="59"/>
      <c r="V1497" s="59"/>
      <c r="W1497" s="59"/>
      <c r="X1497" s="59"/>
      <c r="Y1497" s="59"/>
      <c r="Z1497" s="59"/>
    </row>
    <row r="1498" ht="30.0" customHeight="1">
      <c r="A1498" s="68"/>
      <c r="B1498" s="86">
        <v>1512.0</v>
      </c>
      <c r="C1498" s="68"/>
      <c r="D1498" s="87" t="str">
        <f>CONCATENATE(PROPER('BIÑAN INFO'!$G1498),", ",PROPER('BIÑAN INFO'!$E1498)," ",PROPER('BIÑAN INFO'!$F1498),"."," (",UPPER('BIÑAN INFO'!$H1498),")")</f>
        <v>Angulo, Rachel . ()</v>
      </c>
      <c r="E1498" s="87" t="s">
        <v>931</v>
      </c>
      <c r="F1498" s="87"/>
      <c r="G1498" s="87" t="s">
        <v>932</v>
      </c>
      <c r="H1498" s="87"/>
      <c r="I1498" s="71">
        <v>0.05</v>
      </c>
      <c r="J1498" s="72">
        <v>1000.0</v>
      </c>
      <c r="K1498" s="89" t="s">
        <v>50</v>
      </c>
      <c r="L1498" s="89"/>
      <c r="M1498" s="89"/>
      <c r="N1498" s="90"/>
      <c r="O1498" s="59"/>
      <c r="P1498" s="59"/>
      <c r="Q1498" s="59"/>
      <c r="R1498" s="59"/>
      <c r="S1498" s="59"/>
      <c r="T1498" s="59"/>
      <c r="U1498" s="59"/>
      <c r="V1498" s="59"/>
      <c r="W1498" s="59"/>
      <c r="X1498" s="59"/>
      <c r="Y1498" s="59"/>
      <c r="Z1498" s="59"/>
    </row>
    <row r="1499" ht="30.0" customHeight="1">
      <c r="A1499" s="68"/>
      <c r="B1499" s="86">
        <v>1513.0</v>
      </c>
      <c r="C1499" s="68"/>
      <c r="D1499" s="87" t="str">
        <f>CONCATENATE(PROPER('BIÑAN INFO'!$G1499),", ",PROPER('BIÑAN INFO'!$E1499)," ",PROPER('BIÑAN INFO'!$F1499),"."," (",UPPER('BIÑAN INFO'!$H1499),")")</f>
        <v>,  . ()</v>
      </c>
      <c r="E1499" s="87"/>
      <c r="F1499" s="87"/>
      <c r="G1499" s="87"/>
      <c r="H1499" s="87"/>
      <c r="I1499" s="71">
        <v>0.12</v>
      </c>
      <c r="J1499" s="72">
        <v>1000.0</v>
      </c>
      <c r="K1499" s="89"/>
      <c r="L1499" s="89"/>
      <c r="M1499" s="89"/>
      <c r="N1499" s="90"/>
      <c r="O1499" s="59"/>
      <c r="P1499" s="59"/>
      <c r="Q1499" s="59"/>
      <c r="R1499" s="59"/>
      <c r="S1499" s="59"/>
      <c r="T1499" s="59"/>
      <c r="U1499" s="59"/>
      <c r="V1499" s="59"/>
      <c r="W1499" s="59"/>
      <c r="X1499" s="59"/>
      <c r="Y1499" s="59"/>
      <c r="Z1499" s="59"/>
    </row>
    <row r="1500" ht="30.0" customHeight="1">
      <c r="A1500" s="68"/>
      <c r="B1500" s="86">
        <v>1514.0</v>
      </c>
      <c r="C1500" s="68"/>
      <c r="D1500" s="87" t="str">
        <f>CONCATENATE(PROPER('BIÑAN INFO'!$G1500),", ",PROPER('BIÑAN INFO'!$E1500)," ",PROPER('BIÑAN INFO'!$F1500),"."," (",UPPER('BIÑAN INFO'!$H1500),")")</f>
        <v>,  . ()</v>
      </c>
      <c r="E1500" s="87"/>
      <c r="F1500" s="87"/>
      <c r="G1500" s="87"/>
      <c r="H1500" s="87"/>
      <c r="I1500" s="71">
        <v>0.12</v>
      </c>
      <c r="J1500" s="72">
        <v>1000.0</v>
      </c>
      <c r="K1500" s="89"/>
      <c r="L1500" s="89"/>
      <c r="M1500" s="89"/>
      <c r="N1500" s="90"/>
      <c r="O1500" s="59"/>
      <c r="P1500" s="59"/>
      <c r="Q1500" s="59"/>
      <c r="R1500" s="59"/>
      <c r="S1500" s="59"/>
      <c r="T1500" s="59"/>
      <c r="U1500" s="59"/>
      <c r="V1500" s="59"/>
      <c r="W1500" s="59"/>
      <c r="X1500" s="59"/>
      <c r="Y1500" s="59"/>
      <c r="Z1500" s="59"/>
    </row>
    <row r="1501" ht="30.0" customHeight="1">
      <c r="A1501" s="68"/>
      <c r="B1501" s="86">
        <v>1515.0</v>
      </c>
      <c r="C1501" s="68"/>
      <c r="D1501" s="87" t="str">
        <f>CONCATENATE(PROPER('BIÑAN INFO'!$G1501),", ",PROPER('BIÑAN INFO'!$E1501)," ",PROPER('BIÑAN INFO'!$F1501),"."," (",UPPER('BIÑAN INFO'!$H1501),")")</f>
        <v>,  . ()</v>
      </c>
      <c r="E1501" s="87"/>
      <c r="F1501" s="87"/>
      <c r="G1501" s="87"/>
      <c r="H1501" s="87"/>
      <c r="I1501" s="71">
        <v>0.05</v>
      </c>
      <c r="J1501" s="72">
        <v>1000.0</v>
      </c>
      <c r="K1501" s="89" t="s">
        <v>50</v>
      </c>
      <c r="L1501" s="89"/>
      <c r="M1501" s="89"/>
      <c r="N1501" s="90"/>
      <c r="O1501" s="59"/>
      <c r="P1501" s="59"/>
      <c r="Q1501" s="59"/>
      <c r="R1501" s="59"/>
      <c r="S1501" s="59"/>
      <c r="T1501" s="59"/>
      <c r="U1501" s="59"/>
      <c r="V1501" s="59"/>
      <c r="W1501" s="59"/>
      <c r="X1501" s="59"/>
      <c r="Y1501" s="59"/>
      <c r="Z1501" s="59"/>
    </row>
    <row r="1502" ht="30.0" customHeight="1">
      <c r="A1502" s="68"/>
      <c r="B1502" s="86">
        <v>1516.0</v>
      </c>
      <c r="C1502" s="68"/>
      <c r="D1502" s="87" t="str">
        <f>CONCATENATE(PROPER('BIÑAN INFO'!$G1502),", ",PROPER('BIÑAN INFO'!$E1502)," ",PROPER('BIÑAN INFO'!$F1502),"."," (",UPPER('BIÑAN INFO'!$H1502),")")</f>
        <v>,  . ()</v>
      </c>
      <c r="E1502" s="87"/>
      <c r="F1502" s="87"/>
      <c r="G1502" s="87"/>
      <c r="H1502" s="87"/>
      <c r="I1502" s="71">
        <v>0.12</v>
      </c>
      <c r="J1502" s="72">
        <v>1000.0</v>
      </c>
      <c r="K1502" s="89"/>
      <c r="L1502" s="89"/>
      <c r="M1502" s="89"/>
      <c r="N1502" s="90"/>
      <c r="O1502" s="59"/>
      <c r="P1502" s="59"/>
      <c r="Q1502" s="59"/>
      <c r="R1502" s="59"/>
      <c r="S1502" s="59"/>
      <c r="T1502" s="59"/>
      <c r="U1502" s="59"/>
      <c r="V1502" s="59"/>
      <c r="W1502" s="59"/>
      <c r="X1502" s="59"/>
      <c r="Y1502" s="59"/>
      <c r="Z1502" s="59"/>
    </row>
    <row r="1503" ht="30.0" customHeight="1">
      <c r="A1503" s="68"/>
      <c r="B1503" s="86">
        <v>1517.0</v>
      </c>
      <c r="C1503" s="68"/>
      <c r="D1503" s="87" t="str">
        <f>CONCATENATE(PROPER('BIÑAN INFO'!$G1503),", ",PROPER('BIÑAN INFO'!$E1503)," ",PROPER('BIÑAN INFO'!$F1503),"."," (",UPPER('BIÑAN INFO'!$H1503),")")</f>
        <v>,  . ()</v>
      </c>
      <c r="E1503" s="87"/>
      <c r="F1503" s="87"/>
      <c r="G1503" s="87"/>
      <c r="H1503" s="87"/>
      <c r="I1503" s="71">
        <v>0.05</v>
      </c>
      <c r="J1503" s="72">
        <v>1000.0</v>
      </c>
      <c r="K1503" s="89" t="s">
        <v>50</v>
      </c>
      <c r="L1503" s="89"/>
      <c r="M1503" s="89"/>
      <c r="N1503" s="90"/>
      <c r="O1503" s="59"/>
      <c r="P1503" s="59"/>
      <c r="Q1503" s="59"/>
      <c r="R1503" s="59"/>
      <c r="S1503" s="59"/>
      <c r="T1503" s="59"/>
      <c r="U1503" s="59"/>
      <c r="V1503" s="59"/>
      <c r="W1503" s="59"/>
      <c r="X1503" s="59"/>
      <c r="Y1503" s="59"/>
      <c r="Z1503" s="59"/>
    </row>
    <row r="1504" ht="30.0" customHeight="1">
      <c r="A1504" s="68"/>
      <c r="B1504" s="86">
        <v>1518.0</v>
      </c>
      <c r="C1504" s="68"/>
      <c r="D1504" s="87" t="str">
        <f>CONCATENATE(PROPER('BIÑAN INFO'!$G1504),", ",PROPER('BIÑAN INFO'!$E1504)," ",PROPER('BIÑAN INFO'!$F1504),"."," (",UPPER('BIÑAN INFO'!$H1504),")")</f>
        <v>,  . ()</v>
      </c>
      <c r="E1504" s="87"/>
      <c r="F1504" s="87"/>
      <c r="G1504" s="87"/>
      <c r="H1504" s="87"/>
      <c r="I1504" s="71">
        <v>0.12</v>
      </c>
      <c r="J1504" s="72">
        <v>1000.0</v>
      </c>
      <c r="K1504" s="89"/>
      <c r="L1504" s="89"/>
      <c r="M1504" s="89"/>
      <c r="N1504" s="90"/>
      <c r="O1504" s="59"/>
      <c r="P1504" s="59"/>
      <c r="Q1504" s="59"/>
      <c r="R1504" s="59"/>
      <c r="S1504" s="59"/>
      <c r="T1504" s="59"/>
      <c r="U1504" s="59"/>
      <c r="V1504" s="59"/>
      <c r="W1504" s="59"/>
      <c r="X1504" s="59"/>
      <c r="Y1504" s="59"/>
      <c r="Z1504" s="59"/>
    </row>
    <row r="1505" ht="30.0" customHeight="1">
      <c r="A1505" s="68"/>
      <c r="B1505" s="86">
        <v>1519.0</v>
      </c>
      <c r="C1505" s="68"/>
      <c r="D1505" s="87" t="str">
        <f>CONCATENATE(PROPER('BIÑAN INFO'!$G1505),", ",PROPER('BIÑAN INFO'!$E1505)," ",PROPER('BIÑAN INFO'!$F1505),"."," (",UPPER('BIÑAN INFO'!$H1505),")")</f>
        <v>,  . ()</v>
      </c>
      <c r="E1505" s="87"/>
      <c r="F1505" s="87"/>
      <c r="G1505" s="87"/>
      <c r="H1505" s="87"/>
      <c r="I1505" s="71">
        <v>0.12</v>
      </c>
      <c r="J1505" s="72">
        <v>1000.0</v>
      </c>
      <c r="K1505" s="89"/>
      <c r="L1505" s="89"/>
      <c r="M1505" s="89"/>
      <c r="N1505" s="90"/>
      <c r="O1505" s="59"/>
      <c r="P1505" s="59"/>
      <c r="Q1505" s="59"/>
      <c r="R1505" s="59"/>
      <c r="S1505" s="59"/>
      <c r="T1505" s="59"/>
      <c r="U1505" s="59"/>
      <c r="V1505" s="59"/>
      <c r="W1505" s="59"/>
      <c r="X1505" s="59"/>
      <c r="Y1505" s="59"/>
      <c r="Z1505" s="59"/>
    </row>
    <row r="1506" ht="30.0" customHeight="1">
      <c r="A1506" s="68"/>
      <c r="B1506" s="86">
        <v>1520.0</v>
      </c>
      <c r="C1506" s="68"/>
      <c r="D1506" s="87" t="str">
        <f>CONCATENATE(PROPER('BIÑAN INFO'!$G1506),", ",PROPER('BIÑAN INFO'!$E1506)," ",PROPER('BIÑAN INFO'!$F1506),"."," (",UPPER('BIÑAN INFO'!$H1506),")")</f>
        <v>Fernadez, Lovely Resefaith . ()</v>
      </c>
      <c r="E1506" s="87" t="s">
        <v>933</v>
      </c>
      <c r="F1506" s="87"/>
      <c r="G1506" s="87" t="s">
        <v>934</v>
      </c>
      <c r="H1506" s="87"/>
      <c r="I1506" s="71">
        <v>0.12</v>
      </c>
      <c r="J1506" s="72">
        <v>1000.0</v>
      </c>
      <c r="K1506" s="89"/>
      <c r="L1506" s="89"/>
      <c r="M1506" s="89"/>
      <c r="N1506" s="90"/>
      <c r="O1506" s="59"/>
      <c r="P1506" s="59"/>
      <c r="Q1506" s="59"/>
      <c r="R1506" s="59"/>
      <c r="S1506" s="59"/>
      <c r="T1506" s="59"/>
      <c r="U1506" s="59"/>
      <c r="V1506" s="59"/>
      <c r="W1506" s="59"/>
      <c r="X1506" s="59"/>
      <c r="Y1506" s="59"/>
      <c r="Z1506" s="59"/>
    </row>
    <row r="1507" ht="30.0" customHeight="1">
      <c r="A1507" s="68"/>
      <c r="B1507" s="86">
        <v>1521.0</v>
      </c>
      <c r="C1507" s="68"/>
      <c r="D1507" s="87" t="str">
        <f>CONCATENATE(PROPER('BIÑAN INFO'!$G1507),", ",PROPER('BIÑAN INFO'!$E1507)," ",PROPER('BIÑAN INFO'!$F1507),"."," (",UPPER('BIÑAN INFO'!$H1507),")")</f>
        <v>,  . ()</v>
      </c>
      <c r="E1507" s="87"/>
      <c r="F1507" s="87"/>
      <c r="G1507" s="87"/>
      <c r="H1507" s="87"/>
      <c r="I1507" s="71">
        <v>0.12</v>
      </c>
      <c r="J1507" s="72">
        <v>1000.0</v>
      </c>
      <c r="K1507" s="89"/>
      <c r="L1507" s="89"/>
      <c r="M1507" s="89"/>
      <c r="N1507" s="90"/>
      <c r="O1507" s="59"/>
      <c r="P1507" s="59"/>
      <c r="Q1507" s="59"/>
      <c r="R1507" s="59"/>
      <c r="S1507" s="59"/>
      <c r="T1507" s="59"/>
      <c r="U1507" s="59"/>
      <c r="V1507" s="59"/>
      <c r="W1507" s="59"/>
      <c r="X1507" s="59"/>
      <c r="Y1507" s="59"/>
      <c r="Z1507" s="59"/>
    </row>
    <row r="1508" ht="30.0" customHeight="1">
      <c r="A1508" s="68"/>
      <c r="B1508" s="86">
        <v>1522.0</v>
      </c>
      <c r="C1508" s="68"/>
      <c r="D1508" s="87" t="str">
        <f>CONCATENATE(PROPER('BIÑAN INFO'!$G1508),", ",PROPER('BIÑAN INFO'!$E1508)," ",PROPER('BIÑAN INFO'!$F1508),"."," (",UPPER('BIÑAN INFO'!$H1508),")")</f>
        <v>,  . ()</v>
      </c>
      <c r="E1508" s="87"/>
      <c r="F1508" s="87"/>
      <c r="G1508" s="87"/>
      <c r="H1508" s="87"/>
      <c r="I1508" s="71">
        <v>0.12</v>
      </c>
      <c r="J1508" s="72">
        <v>1000.0</v>
      </c>
      <c r="K1508" s="89"/>
      <c r="L1508" s="89"/>
      <c r="M1508" s="89"/>
      <c r="N1508" s="90"/>
      <c r="O1508" s="59"/>
      <c r="P1508" s="59"/>
      <c r="Q1508" s="59"/>
      <c r="R1508" s="59"/>
      <c r="S1508" s="59"/>
      <c r="T1508" s="59"/>
      <c r="U1508" s="59"/>
      <c r="V1508" s="59"/>
      <c r="W1508" s="59"/>
      <c r="X1508" s="59"/>
      <c r="Y1508" s="59"/>
      <c r="Z1508" s="59"/>
    </row>
    <row r="1509" ht="30.0" customHeight="1">
      <c r="A1509" s="68"/>
      <c r="B1509" s="86">
        <v>1523.0</v>
      </c>
      <c r="C1509" s="68"/>
      <c r="D1509" s="87" t="str">
        <f>CONCATENATE(PROPER('BIÑAN INFO'!$G1509),", ",PROPER('BIÑAN INFO'!$E1509)," ",PROPER('BIÑAN INFO'!$F1509),"."," (",UPPER('BIÑAN INFO'!$H1509),")")</f>
        <v>Bustamante, Felimon . ()</v>
      </c>
      <c r="E1509" s="87" t="s">
        <v>935</v>
      </c>
      <c r="F1509" s="87"/>
      <c r="G1509" s="87" t="s">
        <v>936</v>
      </c>
      <c r="H1509" s="87"/>
      <c r="I1509" s="71">
        <v>0.12</v>
      </c>
      <c r="J1509" s="72">
        <v>1000.0</v>
      </c>
      <c r="K1509" s="89"/>
      <c r="L1509" s="89"/>
      <c r="M1509" s="89"/>
      <c r="N1509" s="90"/>
      <c r="O1509" s="59"/>
      <c r="P1509" s="59"/>
      <c r="Q1509" s="59"/>
      <c r="R1509" s="59"/>
      <c r="S1509" s="59"/>
      <c r="T1509" s="59"/>
      <c r="U1509" s="59"/>
      <c r="V1509" s="59"/>
      <c r="W1509" s="59"/>
      <c r="X1509" s="59"/>
      <c r="Y1509" s="59"/>
      <c r="Z1509" s="59"/>
    </row>
    <row r="1510" ht="30.0" customHeight="1">
      <c r="A1510" s="68"/>
      <c r="B1510" s="86">
        <v>1524.0</v>
      </c>
      <c r="C1510" s="68"/>
      <c r="D1510" s="87" t="str">
        <f>CONCATENATE(PROPER('BIÑAN INFO'!$G1510),", ",PROPER('BIÑAN INFO'!$E1510)," ",PROPER('BIÑAN INFO'!$F1510),"."," (",UPPER('BIÑAN INFO'!$H1510),")")</f>
        <v>Tumulak, Miqueas . ()</v>
      </c>
      <c r="E1510" s="87" t="s">
        <v>937</v>
      </c>
      <c r="F1510" s="87"/>
      <c r="G1510" s="87" t="s">
        <v>938</v>
      </c>
      <c r="H1510" s="87"/>
      <c r="I1510" s="71">
        <v>0.12</v>
      </c>
      <c r="J1510" s="72">
        <v>1000.0</v>
      </c>
      <c r="K1510" s="89"/>
      <c r="L1510" s="89"/>
      <c r="M1510" s="89"/>
      <c r="N1510" s="90"/>
      <c r="O1510" s="59"/>
      <c r="P1510" s="59"/>
      <c r="Q1510" s="59"/>
      <c r="R1510" s="59"/>
      <c r="S1510" s="59"/>
      <c r="T1510" s="59"/>
      <c r="U1510" s="59"/>
      <c r="V1510" s="59"/>
      <c r="W1510" s="59"/>
      <c r="X1510" s="59"/>
      <c r="Y1510" s="59"/>
      <c r="Z1510" s="59"/>
    </row>
    <row r="1511" ht="30.0" customHeight="1">
      <c r="A1511" s="68"/>
      <c r="B1511" s="86">
        <v>1525.0</v>
      </c>
      <c r="C1511" s="68"/>
      <c r="D1511" s="87" t="str">
        <f>CONCATENATE(PROPER('BIÑAN INFO'!$G1511),", ",PROPER('BIÑAN INFO'!$E1511)," ",PROPER('BIÑAN INFO'!$F1511),"."," (",UPPER('BIÑAN INFO'!$H1511),")")</f>
        <v>,  . ()</v>
      </c>
      <c r="E1511" s="87"/>
      <c r="F1511" s="87"/>
      <c r="G1511" s="87"/>
      <c r="H1511" s="87"/>
      <c r="I1511" s="71">
        <v>0.12</v>
      </c>
      <c r="J1511" s="72">
        <v>1000.0</v>
      </c>
      <c r="K1511" s="89"/>
      <c r="L1511" s="89"/>
      <c r="M1511" s="89"/>
      <c r="N1511" s="90"/>
      <c r="O1511" s="59"/>
      <c r="P1511" s="59"/>
      <c r="Q1511" s="59"/>
      <c r="R1511" s="59"/>
      <c r="S1511" s="59"/>
      <c r="T1511" s="59"/>
      <c r="U1511" s="59"/>
      <c r="V1511" s="59"/>
      <c r="W1511" s="59"/>
      <c r="X1511" s="59"/>
      <c r="Y1511" s="59"/>
      <c r="Z1511" s="59"/>
    </row>
    <row r="1512" ht="30.0" customHeight="1">
      <c r="A1512" s="68"/>
      <c r="B1512" s="86">
        <v>1526.0</v>
      </c>
      <c r="C1512" s="68"/>
      <c r="D1512" s="87" t="str">
        <f>CONCATENATE(PROPER('BIÑAN INFO'!$G1512),", ",PROPER('BIÑAN INFO'!$E1512)," ",PROPER('BIÑAN INFO'!$F1512),"."," (",UPPER('BIÑAN INFO'!$H1512),")")</f>
        <v>,  . ()</v>
      </c>
      <c r="E1512" s="87"/>
      <c r="F1512" s="87"/>
      <c r="G1512" s="87"/>
      <c r="H1512" s="87"/>
      <c r="I1512" s="71">
        <v>0.12</v>
      </c>
      <c r="J1512" s="72">
        <v>1000.0</v>
      </c>
      <c r="K1512" s="89"/>
      <c r="L1512" s="89"/>
      <c r="M1512" s="89"/>
      <c r="N1512" s="90"/>
      <c r="O1512" s="59"/>
      <c r="P1512" s="59"/>
      <c r="Q1512" s="59"/>
      <c r="R1512" s="59"/>
      <c r="S1512" s="59"/>
      <c r="T1512" s="59"/>
      <c r="U1512" s="59"/>
      <c r="V1512" s="59"/>
      <c r="W1512" s="59"/>
      <c r="X1512" s="59"/>
      <c r="Y1512" s="59"/>
      <c r="Z1512" s="59"/>
    </row>
    <row r="1513" ht="30.0" customHeight="1">
      <c r="A1513" s="68"/>
      <c r="B1513" s="86">
        <v>1527.0</v>
      </c>
      <c r="C1513" s="68"/>
      <c r="D1513" s="87" t="str">
        <f>CONCATENATE(PROPER('BIÑAN INFO'!$G1513),", ",PROPER('BIÑAN INFO'!$E1513)," ",PROPER('BIÑAN INFO'!$F1513),"."," (",UPPER('BIÑAN INFO'!$H1513),")")</f>
        <v>,  . ()</v>
      </c>
      <c r="E1513" s="87"/>
      <c r="F1513" s="87"/>
      <c r="G1513" s="87"/>
      <c r="H1513" s="87"/>
      <c r="I1513" s="71">
        <v>0.12</v>
      </c>
      <c r="J1513" s="72">
        <v>1000.0</v>
      </c>
      <c r="K1513" s="89"/>
      <c r="L1513" s="89"/>
      <c r="M1513" s="89"/>
      <c r="N1513" s="90"/>
      <c r="O1513" s="59"/>
      <c r="P1513" s="59"/>
      <c r="Q1513" s="59"/>
      <c r="R1513" s="59"/>
      <c r="S1513" s="59"/>
      <c r="T1513" s="59"/>
      <c r="U1513" s="59"/>
      <c r="V1513" s="59"/>
      <c r="W1513" s="59"/>
      <c r="X1513" s="59"/>
      <c r="Y1513" s="59"/>
      <c r="Z1513" s="59"/>
    </row>
    <row r="1514" ht="30.0" customHeight="1">
      <c r="A1514" s="68"/>
      <c r="B1514" s="86">
        <v>1528.0</v>
      </c>
      <c r="C1514" s="68"/>
      <c r="D1514" s="87" t="str">
        <f>CONCATENATE(PROPER('BIÑAN INFO'!$G1514),", ",PROPER('BIÑAN INFO'!$E1514)," ",PROPER('BIÑAN INFO'!$F1514),"."," (",UPPER('BIÑAN INFO'!$H1514),")")</f>
        <v>Gonzales, Warlito . ()</v>
      </c>
      <c r="E1514" s="87" t="s">
        <v>939</v>
      </c>
      <c r="F1514" s="87"/>
      <c r="G1514" s="87" t="s">
        <v>394</v>
      </c>
      <c r="H1514" s="87"/>
      <c r="I1514" s="71">
        <v>0.12</v>
      </c>
      <c r="J1514" s="72">
        <v>1000.0</v>
      </c>
      <c r="K1514" s="89"/>
      <c r="L1514" s="89"/>
      <c r="M1514" s="89"/>
      <c r="N1514" s="90"/>
      <c r="O1514" s="59"/>
      <c r="P1514" s="59"/>
      <c r="Q1514" s="59"/>
      <c r="R1514" s="59"/>
      <c r="S1514" s="59"/>
      <c r="T1514" s="59"/>
      <c r="U1514" s="59"/>
      <c r="V1514" s="59"/>
      <c r="W1514" s="59"/>
      <c r="X1514" s="59"/>
      <c r="Y1514" s="59"/>
      <c r="Z1514" s="59"/>
    </row>
    <row r="1515" ht="30.0" customHeight="1">
      <c r="A1515" s="68"/>
      <c r="B1515" s="86">
        <v>1529.0</v>
      </c>
      <c r="C1515" s="68"/>
      <c r="D1515" s="87" t="str">
        <f>CONCATENATE(PROPER('BIÑAN INFO'!$G1515),", ",PROPER('BIÑAN INFO'!$E1515)," ",PROPER('BIÑAN INFO'!$F1515),"."," (",UPPER('BIÑAN INFO'!$H1515),")")</f>
        <v>,  . ()</v>
      </c>
      <c r="E1515" s="87"/>
      <c r="F1515" s="87"/>
      <c r="G1515" s="87"/>
      <c r="H1515" s="87"/>
      <c r="I1515" s="71">
        <v>0.12</v>
      </c>
      <c r="J1515" s="72">
        <v>1000.0</v>
      </c>
      <c r="K1515" s="89"/>
      <c r="L1515" s="89"/>
      <c r="M1515" s="89"/>
      <c r="N1515" s="90"/>
      <c r="O1515" s="59"/>
      <c r="P1515" s="59"/>
      <c r="Q1515" s="59"/>
      <c r="R1515" s="59"/>
      <c r="S1515" s="59"/>
      <c r="T1515" s="59"/>
      <c r="U1515" s="59"/>
      <c r="V1515" s="59"/>
      <c r="W1515" s="59"/>
      <c r="X1515" s="59"/>
      <c r="Y1515" s="59"/>
      <c r="Z1515" s="59"/>
    </row>
    <row r="1516" ht="30.0" customHeight="1">
      <c r="A1516" s="68"/>
      <c r="B1516" s="86">
        <v>1530.0</v>
      </c>
      <c r="C1516" s="68"/>
      <c r="D1516" s="87" t="str">
        <f>CONCATENATE(PROPER('BIÑAN INFO'!$G1516),", ",PROPER('BIÑAN INFO'!$E1516)," ",PROPER('BIÑAN INFO'!$F1516),"."," (",UPPER('BIÑAN INFO'!$H1516),")")</f>
        <v>,  . ()</v>
      </c>
      <c r="E1516" s="87"/>
      <c r="F1516" s="87"/>
      <c r="G1516" s="87"/>
      <c r="H1516" s="87"/>
      <c r="I1516" s="71">
        <v>0.12</v>
      </c>
      <c r="J1516" s="72">
        <v>1000.0</v>
      </c>
      <c r="K1516" s="89"/>
      <c r="L1516" s="89"/>
      <c r="M1516" s="89"/>
      <c r="N1516" s="90"/>
      <c r="O1516" s="59"/>
      <c r="P1516" s="59"/>
      <c r="Q1516" s="59"/>
      <c r="R1516" s="59"/>
      <c r="S1516" s="59"/>
      <c r="T1516" s="59"/>
      <c r="U1516" s="59"/>
      <c r="V1516" s="59"/>
      <c r="W1516" s="59"/>
      <c r="X1516" s="59"/>
      <c r="Y1516" s="59"/>
      <c r="Z1516" s="59"/>
    </row>
    <row r="1517" ht="30.0" customHeight="1">
      <c r="A1517" s="68"/>
      <c r="B1517" s="86">
        <v>1531.0</v>
      </c>
      <c r="C1517" s="68"/>
      <c r="D1517" s="87" t="str">
        <f>CONCATENATE(PROPER('BIÑAN INFO'!$G1517),", ",PROPER('BIÑAN INFO'!$E1517)," ",PROPER('BIÑAN INFO'!$F1517),"."," (",UPPER('BIÑAN INFO'!$H1517),")")</f>
        <v>,  . ()</v>
      </c>
      <c r="E1517" s="87"/>
      <c r="F1517" s="87"/>
      <c r="G1517" s="87"/>
      <c r="H1517" s="87"/>
      <c r="I1517" s="71">
        <v>0.12</v>
      </c>
      <c r="J1517" s="72">
        <v>1000.0</v>
      </c>
      <c r="K1517" s="89"/>
      <c r="L1517" s="89"/>
      <c r="M1517" s="89"/>
      <c r="N1517" s="90"/>
      <c r="O1517" s="59"/>
      <c r="P1517" s="59"/>
      <c r="Q1517" s="59"/>
      <c r="R1517" s="59"/>
      <c r="S1517" s="59"/>
      <c r="T1517" s="59"/>
      <c r="U1517" s="59"/>
      <c r="V1517" s="59"/>
      <c r="W1517" s="59"/>
      <c r="X1517" s="59"/>
      <c r="Y1517" s="59"/>
      <c r="Z1517" s="59"/>
    </row>
    <row r="1518" ht="30.0" customHeight="1">
      <c r="A1518" s="68"/>
      <c r="B1518" s="86">
        <v>1532.0</v>
      </c>
      <c r="C1518" s="68"/>
      <c r="D1518" s="87" t="str">
        <f>CONCATENATE(PROPER('BIÑAN INFO'!$G1518),", ",PROPER('BIÑAN INFO'!$E1518)," ",PROPER('BIÑAN INFO'!$F1518),"."," (",UPPER('BIÑAN INFO'!$H1518),")")</f>
        <v>Dimaunahan, Rosalinda . ()</v>
      </c>
      <c r="E1518" s="87" t="s">
        <v>940</v>
      </c>
      <c r="F1518" s="87"/>
      <c r="G1518" s="87" t="s">
        <v>941</v>
      </c>
      <c r="H1518" s="87"/>
      <c r="I1518" s="71">
        <v>0.12</v>
      </c>
      <c r="J1518" s="72">
        <v>1000.0</v>
      </c>
      <c r="K1518" s="89"/>
      <c r="L1518" s="89"/>
      <c r="M1518" s="89"/>
      <c r="N1518" s="90"/>
      <c r="O1518" s="59"/>
      <c r="P1518" s="59"/>
      <c r="Q1518" s="59"/>
      <c r="R1518" s="59"/>
      <c r="S1518" s="59"/>
      <c r="T1518" s="59"/>
      <c r="U1518" s="59"/>
      <c r="V1518" s="59"/>
      <c r="W1518" s="59"/>
      <c r="X1518" s="59"/>
      <c r="Y1518" s="59"/>
      <c r="Z1518" s="59"/>
    </row>
    <row r="1519" ht="30.0" customHeight="1">
      <c r="A1519" s="68"/>
      <c r="B1519" s="86">
        <v>1533.0</v>
      </c>
      <c r="C1519" s="68"/>
      <c r="D1519" s="87" t="str">
        <f>CONCATENATE(PROPER('BIÑAN INFO'!$G1519),", ",PROPER('BIÑAN INFO'!$E1519)," ",PROPER('BIÑAN INFO'!$F1519),"."," (",UPPER('BIÑAN INFO'!$H1519),")")</f>
        <v>Cladera, Jimson . ()</v>
      </c>
      <c r="E1519" s="87" t="s">
        <v>942</v>
      </c>
      <c r="F1519" s="87"/>
      <c r="G1519" s="87" t="s">
        <v>943</v>
      </c>
      <c r="H1519" s="87"/>
      <c r="I1519" s="71">
        <v>0.12</v>
      </c>
      <c r="J1519" s="72">
        <v>1000.0</v>
      </c>
      <c r="K1519" s="89"/>
      <c r="L1519" s="89"/>
      <c r="M1519" s="89"/>
      <c r="N1519" s="90"/>
      <c r="O1519" s="59"/>
      <c r="P1519" s="59"/>
      <c r="Q1519" s="59"/>
      <c r="R1519" s="59"/>
      <c r="S1519" s="59"/>
      <c r="T1519" s="59"/>
      <c r="U1519" s="59"/>
      <c r="V1519" s="59"/>
      <c r="W1519" s="59"/>
      <c r="X1519" s="59"/>
      <c r="Y1519" s="59"/>
      <c r="Z1519" s="59"/>
    </row>
    <row r="1520" ht="30.0" customHeight="1">
      <c r="A1520" s="68"/>
      <c r="B1520" s="86">
        <v>1534.0</v>
      </c>
      <c r="C1520" s="68"/>
      <c r="D1520" s="87" t="str">
        <f>CONCATENATE(PROPER('BIÑAN INFO'!$G1520),", ",PROPER('BIÑAN INFO'!$E1520)," ",PROPER('BIÑAN INFO'!$F1520),"."," (",UPPER('BIÑAN INFO'!$H1520),")")</f>
        <v>Godito, Aquilina . ()</v>
      </c>
      <c r="E1520" s="87" t="s">
        <v>944</v>
      </c>
      <c r="F1520" s="87"/>
      <c r="G1520" s="87" t="s">
        <v>945</v>
      </c>
      <c r="H1520" s="87"/>
      <c r="I1520" s="71">
        <v>0.05</v>
      </c>
      <c r="J1520" s="72">
        <v>1000.0</v>
      </c>
      <c r="K1520" s="89" t="s">
        <v>946</v>
      </c>
      <c r="L1520" s="89"/>
      <c r="M1520" s="89"/>
      <c r="N1520" s="90"/>
      <c r="O1520" s="59"/>
      <c r="P1520" s="59"/>
      <c r="Q1520" s="59"/>
      <c r="R1520" s="59"/>
      <c r="S1520" s="59"/>
      <c r="T1520" s="59"/>
      <c r="U1520" s="59"/>
      <c r="V1520" s="59"/>
      <c r="W1520" s="59"/>
      <c r="X1520" s="59"/>
      <c r="Y1520" s="59"/>
      <c r="Z1520" s="59"/>
    </row>
    <row r="1521" ht="30.0" customHeight="1">
      <c r="A1521" s="68"/>
      <c r="B1521" s="86">
        <v>1535.0</v>
      </c>
      <c r="C1521" s="68"/>
      <c r="D1521" s="87" t="str">
        <f>CONCATENATE(PROPER('BIÑAN INFO'!$G1521),", ",PROPER('BIÑAN INFO'!$E1521)," ",PROPER('BIÑAN INFO'!$F1521),"."," (",UPPER('BIÑAN INFO'!$H1521),")")</f>
        <v>Santiago, Mark Val . ()</v>
      </c>
      <c r="E1521" s="87" t="s">
        <v>947</v>
      </c>
      <c r="F1521" s="87"/>
      <c r="G1521" s="87" t="s">
        <v>948</v>
      </c>
      <c r="H1521" s="87"/>
      <c r="I1521" s="71">
        <v>0.12</v>
      </c>
      <c r="J1521" s="72">
        <v>1000.0</v>
      </c>
      <c r="K1521" s="89"/>
      <c r="L1521" s="89"/>
      <c r="M1521" s="89"/>
      <c r="N1521" s="90"/>
      <c r="O1521" s="59"/>
      <c r="P1521" s="59"/>
      <c r="Q1521" s="59"/>
      <c r="R1521" s="59"/>
      <c r="S1521" s="59"/>
      <c r="T1521" s="59"/>
      <c r="U1521" s="59"/>
      <c r="V1521" s="59"/>
      <c r="W1521" s="59"/>
      <c r="X1521" s="59"/>
      <c r="Y1521" s="59"/>
      <c r="Z1521" s="59"/>
    </row>
    <row r="1522" ht="30.0" customHeight="1">
      <c r="A1522" s="68"/>
      <c r="B1522" s="86">
        <v>1536.0</v>
      </c>
      <c r="C1522" s="68"/>
      <c r="D1522" s="87" t="str">
        <f>CONCATENATE(PROPER('BIÑAN INFO'!$G1522),", ",PROPER('BIÑAN INFO'!$E1522)," ",PROPER('BIÑAN INFO'!$F1522),"."," (",UPPER('BIÑAN INFO'!$H1522),")")</f>
        <v>Alfonso, Azucena . ()</v>
      </c>
      <c r="E1522" s="87" t="s">
        <v>602</v>
      </c>
      <c r="F1522" s="87"/>
      <c r="G1522" s="87" t="s">
        <v>572</v>
      </c>
      <c r="H1522" s="87"/>
      <c r="I1522" s="71">
        <v>0.12</v>
      </c>
      <c r="J1522" s="72">
        <v>1000.0</v>
      </c>
      <c r="K1522" s="89"/>
      <c r="L1522" s="89"/>
      <c r="M1522" s="89"/>
      <c r="N1522" s="90"/>
      <c r="O1522" s="59"/>
      <c r="P1522" s="59"/>
      <c r="Q1522" s="59"/>
      <c r="R1522" s="59"/>
      <c r="S1522" s="59"/>
      <c r="T1522" s="59"/>
      <c r="U1522" s="59"/>
      <c r="V1522" s="59"/>
      <c r="W1522" s="59"/>
      <c r="X1522" s="59"/>
      <c r="Y1522" s="59"/>
      <c r="Z1522" s="59"/>
    </row>
    <row r="1523" ht="30.0" customHeight="1">
      <c r="A1523" s="68"/>
      <c r="B1523" s="86">
        <v>1537.0</v>
      </c>
      <c r="C1523" s="68"/>
      <c r="D1523" s="87" t="str">
        <f>CONCATENATE(PROPER('BIÑAN INFO'!$G1523),", ",PROPER('BIÑAN INFO'!$E1523)," ",PROPER('BIÑAN INFO'!$F1523),"."," (",UPPER('BIÑAN INFO'!$H1523),")")</f>
        <v>Manejero, Manuel . ()</v>
      </c>
      <c r="E1523" s="87" t="s">
        <v>507</v>
      </c>
      <c r="F1523" s="87"/>
      <c r="G1523" s="87" t="s">
        <v>949</v>
      </c>
      <c r="H1523" s="87"/>
      <c r="I1523" s="71">
        <v>0.12</v>
      </c>
      <c r="J1523" s="72">
        <v>1000.0</v>
      </c>
      <c r="K1523" s="89"/>
      <c r="L1523" s="89"/>
      <c r="M1523" s="89"/>
      <c r="N1523" s="90"/>
      <c r="O1523" s="59"/>
      <c r="P1523" s="59"/>
      <c r="Q1523" s="59"/>
      <c r="R1523" s="59"/>
      <c r="S1523" s="59"/>
      <c r="T1523" s="59"/>
      <c r="U1523" s="59"/>
      <c r="V1523" s="59"/>
      <c r="W1523" s="59"/>
      <c r="X1523" s="59"/>
      <c r="Y1523" s="59"/>
      <c r="Z1523" s="59"/>
    </row>
    <row r="1524" ht="30.0" customHeight="1">
      <c r="A1524" s="68"/>
      <c r="B1524" s="86">
        <v>1538.0</v>
      </c>
      <c r="C1524" s="68"/>
      <c r="D1524" s="87" t="str">
        <f>CONCATENATE(PROPER('BIÑAN INFO'!$G1524),", ",PROPER('BIÑAN INFO'!$E1524)," ",PROPER('BIÑAN INFO'!$F1524),"."," (",UPPER('BIÑAN INFO'!$H1524),")")</f>
        <v>,  . ()</v>
      </c>
      <c r="E1524" s="87"/>
      <c r="F1524" s="87"/>
      <c r="G1524" s="87"/>
      <c r="H1524" s="87"/>
      <c r="I1524" s="71">
        <v>0.12</v>
      </c>
      <c r="J1524" s="72">
        <v>1000.0</v>
      </c>
      <c r="K1524" s="89"/>
      <c r="L1524" s="89"/>
      <c r="M1524" s="89"/>
      <c r="N1524" s="90"/>
      <c r="O1524" s="59"/>
      <c r="P1524" s="59"/>
      <c r="Q1524" s="59"/>
      <c r="R1524" s="59"/>
      <c r="S1524" s="59"/>
      <c r="T1524" s="59"/>
      <c r="U1524" s="59"/>
      <c r="V1524" s="59"/>
      <c r="W1524" s="59"/>
      <c r="X1524" s="59"/>
      <c r="Y1524" s="59"/>
      <c r="Z1524" s="59"/>
    </row>
    <row r="1525" ht="30.0" customHeight="1">
      <c r="A1525" s="68"/>
      <c r="B1525" s="86">
        <v>1539.0</v>
      </c>
      <c r="C1525" s="68"/>
      <c r="D1525" s="87" t="str">
        <f>CONCATENATE(PROPER('BIÑAN INFO'!$G1525),", ",PROPER('BIÑAN INFO'!$E1525)," ",PROPER('BIÑAN INFO'!$F1525),"."," (",UPPER('BIÑAN INFO'!$H1525),")")</f>
        <v>,  . ()</v>
      </c>
      <c r="E1525" s="87"/>
      <c r="F1525" s="87"/>
      <c r="G1525" s="87"/>
      <c r="H1525" s="87"/>
      <c r="I1525" s="71">
        <v>0.12</v>
      </c>
      <c r="J1525" s="72">
        <v>1000.0</v>
      </c>
      <c r="K1525" s="89"/>
      <c r="L1525" s="89"/>
      <c r="M1525" s="89"/>
      <c r="N1525" s="90"/>
      <c r="O1525" s="59"/>
      <c r="P1525" s="59"/>
      <c r="Q1525" s="59"/>
      <c r="R1525" s="59"/>
      <c r="S1525" s="59"/>
      <c r="T1525" s="59"/>
      <c r="U1525" s="59"/>
      <c r="V1525" s="59"/>
      <c r="W1525" s="59"/>
      <c r="X1525" s="59"/>
      <c r="Y1525" s="59"/>
      <c r="Z1525" s="59"/>
    </row>
    <row r="1526" ht="30.0" customHeight="1">
      <c r="A1526" s="68"/>
      <c r="B1526" s="86">
        <v>1540.0</v>
      </c>
      <c r="C1526" s="68"/>
      <c r="D1526" s="87" t="str">
        <f>CONCATENATE(PROPER('BIÑAN INFO'!$G1526),", ",PROPER('BIÑAN INFO'!$E1526)," ",PROPER('BIÑAN INFO'!$F1526),"."," (",UPPER('BIÑAN INFO'!$H1526),")")</f>
        <v>,  . ()</v>
      </c>
      <c r="E1526" s="87"/>
      <c r="F1526" s="87"/>
      <c r="G1526" s="87"/>
      <c r="H1526" s="87"/>
      <c r="I1526" s="71">
        <v>0.12</v>
      </c>
      <c r="J1526" s="72">
        <v>1000.0</v>
      </c>
      <c r="K1526" s="89"/>
      <c r="L1526" s="89"/>
      <c r="M1526" s="89"/>
      <c r="N1526" s="90"/>
      <c r="O1526" s="59"/>
      <c r="P1526" s="59"/>
      <c r="Q1526" s="59"/>
      <c r="R1526" s="59"/>
      <c r="S1526" s="59"/>
      <c r="T1526" s="59"/>
      <c r="U1526" s="59"/>
      <c r="V1526" s="59"/>
      <c r="W1526" s="59"/>
      <c r="X1526" s="59"/>
      <c r="Y1526" s="59"/>
      <c r="Z1526" s="59"/>
    </row>
  </sheetData>
  <mergeCells count="2">
    <mergeCell ref="A1:C1"/>
    <mergeCell ref="D1:H1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>
      <pane xSplit="11.0" ySplit="2.0" topLeftCell="L3" activePane="bottomRight" state="frozen"/>
      <selection activeCell="L1" sqref="L1" pane="topRight"/>
      <selection activeCell="A3" sqref="A3" pane="bottomLeft"/>
      <selection activeCell="L3" sqref="L3" pane="bottomRight"/>
    </sheetView>
  </sheetViews>
  <sheetFormatPr customHeight="1" defaultColWidth="14.43" defaultRowHeight="15.0"/>
  <cols>
    <col customWidth="1" min="1" max="3" width="11.57"/>
    <col customWidth="1" min="4" max="4" width="35.71"/>
    <col customWidth="1" min="5" max="5" width="30.71"/>
    <col customWidth="1" min="6" max="6" width="23.14"/>
    <col customWidth="1" min="7" max="7" width="20.57"/>
    <col customWidth="1" min="8" max="8" width="5.71"/>
    <col customWidth="1" min="9" max="10" width="10.71"/>
    <col customWidth="1" min="11" max="13" width="13.71"/>
    <col customWidth="1" min="14" max="14" width="20.71"/>
  </cols>
  <sheetData>
    <row r="1" ht="30.0" customHeight="1">
      <c r="A1" s="52" t="s">
        <v>16</v>
      </c>
      <c r="B1" s="53"/>
      <c r="C1" s="54"/>
      <c r="D1" s="55" t="s">
        <v>17</v>
      </c>
      <c r="E1" s="53"/>
      <c r="F1" s="53"/>
      <c r="G1" s="53"/>
      <c r="H1" s="54"/>
      <c r="I1" s="56">
        <v>0.05</v>
      </c>
      <c r="J1" s="57" t="s">
        <v>18</v>
      </c>
      <c r="K1" s="58"/>
      <c r="L1" s="58"/>
      <c r="M1" s="58"/>
      <c r="N1" s="58"/>
    </row>
    <row r="2" ht="30.0" customHeight="1">
      <c r="A2" s="60" t="s">
        <v>19</v>
      </c>
      <c r="B2" s="60" t="s">
        <v>20</v>
      </c>
      <c r="C2" s="60" t="s">
        <v>21</v>
      </c>
      <c r="D2" s="61" t="s">
        <v>22</v>
      </c>
      <c r="E2" s="61" t="s">
        <v>23</v>
      </c>
      <c r="F2" s="61" t="s">
        <v>24</v>
      </c>
      <c r="G2" s="61" t="s">
        <v>25</v>
      </c>
      <c r="H2" s="62" t="s">
        <v>26</v>
      </c>
      <c r="I2" s="63" t="s">
        <v>27</v>
      </c>
      <c r="J2" s="64" t="s">
        <v>28</v>
      </c>
      <c r="K2" s="65" t="s">
        <v>29</v>
      </c>
      <c r="L2" s="65" t="s">
        <v>30</v>
      </c>
      <c r="M2" s="65" t="s">
        <v>31</v>
      </c>
      <c r="N2" s="66" t="s">
        <v>12</v>
      </c>
    </row>
    <row r="3" ht="30.0" hidden="1" customHeight="1">
      <c r="A3" s="68">
        <v>0.0</v>
      </c>
      <c r="B3" s="60"/>
      <c r="C3" s="60"/>
      <c r="D3" s="69" t="str">
        <f>CONCATENATE(PROPER('DASMA INFO'!$G3),", ",PROPER('DASMA INFO'!$E3)," ",PROPER('DASMA INFO'!$F3),"."," (",UPPER('DASMA INFO'!$H3),")")</f>
        <v>Ren A Mark, Dasma Branch. ()</v>
      </c>
      <c r="E3" s="70" t="s">
        <v>950</v>
      </c>
      <c r="F3" s="70" t="s">
        <v>951</v>
      </c>
      <c r="G3" s="70" t="s">
        <v>952</v>
      </c>
      <c r="H3" s="62"/>
      <c r="I3" s="92"/>
      <c r="J3" s="93"/>
      <c r="K3" s="65"/>
      <c r="L3" s="65"/>
      <c r="M3" s="65"/>
      <c r="N3" s="66"/>
    </row>
    <row r="4" ht="30.0" hidden="1" customHeight="1">
      <c r="A4" s="68">
        <v>1.0</v>
      </c>
      <c r="B4" s="68"/>
      <c r="C4" s="68"/>
      <c r="D4" s="69" t="str">
        <f>CONCATENATE(PROPER('DASMA INFO'!$G4),", ",PROPER('DASMA INFO'!$E4)," ",PROPER('DASMA INFO'!$F4),"."," (",UPPER('DASMA INFO'!$H4),")")</f>
        <v>Mesina, Emmanuel A. ()</v>
      </c>
      <c r="E4" s="70" t="s">
        <v>107</v>
      </c>
      <c r="F4" s="70" t="s">
        <v>427</v>
      </c>
      <c r="G4" s="70" t="s">
        <v>108</v>
      </c>
      <c r="H4" s="69"/>
      <c r="I4" s="92">
        <v>0.05</v>
      </c>
      <c r="J4" s="93">
        <v>1000.0</v>
      </c>
      <c r="K4" s="73" t="s">
        <v>953</v>
      </c>
      <c r="L4" s="73"/>
      <c r="M4" s="73"/>
      <c r="N4" s="74"/>
    </row>
    <row r="5" ht="30.0" hidden="1" customHeight="1">
      <c r="A5" s="68">
        <v>2.0</v>
      </c>
      <c r="B5" s="68"/>
      <c r="C5" s="68"/>
      <c r="D5" s="69" t="str">
        <f>CONCATENATE(PROPER('DASMA INFO'!$G5),", ",PROPER('DASMA INFO'!$E5)," ",PROPER('DASMA INFO'!$F5),"."," (",UPPER('DASMA INFO'!$H5),")")</f>
        <v>Saladar, Nido . ()</v>
      </c>
      <c r="E5" s="70" t="s">
        <v>954</v>
      </c>
      <c r="F5" s="70"/>
      <c r="G5" s="70" t="s">
        <v>955</v>
      </c>
      <c r="H5" s="69"/>
      <c r="I5" s="92">
        <v>0.05</v>
      </c>
      <c r="J5" s="93">
        <v>1000.0</v>
      </c>
      <c r="K5" s="73"/>
      <c r="L5" s="73"/>
      <c r="M5" s="73"/>
      <c r="N5" s="74"/>
    </row>
    <row r="6" ht="30.0" hidden="1" customHeight="1">
      <c r="A6" s="68">
        <v>3.0</v>
      </c>
      <c r="B6" s="68"/>
      <c r="C6" s="68"/>
      <c r="D6" s="69" t="str">
        <f>CONCATENATE(PROPER('DASMA INFO'!$G6),", ",PROPER('DASMA INFO'!$E6)," ",PROPER('DASMA INFO'!$F6),"."," (",UPPER('DASMA INFO'!$H6),")")</f>
        <v>Alcuaran, Pablito . ()</v>
      </c>
      <c r="E6" s="70" t="s">
        <v>956</v>
      </c>
      <c r="F6" s="70"/>
      <c r="G6" s="69" t="s">
        <v>957</v>
      </c>
      <c r="H6" s="69"/>
      <c r="I6" s="92">
        <v>0.05</v>
      </c>
      <c r="J6" s="93">
        <v>1000.0</v>
      </c>
      <c r="K6" s="73"/>
      <c r="L6" s="73"/>
      <c r="M6" s="73"/>
      <c r="N6" s="74"/>
    </row>
    <row r="7" ht="30.0" hidden="1" customHeight="1">
      <c r="A7" s="68">
        <v>7.0</v>
      </c>
      <c r="B7" s="68"/>
      <c r="C7" s="68"/>
      <c r="D7" s="69" t="str">
        <f>CONCATENATE(PROPER('DASMA INFO'!$G7),", ",PROPER('DASMA INFO'!$E7)," ",PROPER('DASMA INFO'!$F7),"."," (",UPPER('DASMA INFO'!$H7),")")</f>
        <v>Bermundo, Leandro Jivan C. ()</v>
      </c>
      <c r="E7" s="70" t="s">
        <v>958</v>
      </c>
      <c r="F7" s="70" t="s">
        <v>318</v>
      </c>
      <c r="G7" s="70" t="s">
        <v>959</v>
      </c>
      <c r="H7" s="70"/>
      <c r="I7" s="92">
        <v>0.05</v>
      </c>
      <c r="J7" s="93">
        <v>1000.0</v>
      </c>
      <c r="K7" s="73" t="s">
        <v>960</v>
      </c>
      <c r="L7" s="73"/>
      <c r="M7" s="73"/>
      <c r="N7" s="74"/>
    </row>
    <row r="8" ht="30.0" hidden="1" customHeight="1">
      <c r="A8" s="68">
        <v>8.0</v>
      </c>
      <c r="B8" s="68"/>
      <c r="C8" s="68"/>
      <c r="D8" s="69" t="str">
        <f>CONCATENATE(PROPER('DASMA INFO'!$G8),", ",PROPER('DASMA INFO'!$E8)," ",PROPER('DASMA INFO'!$F8),"."," (",UPPER('DASMA INFO'!$H8),")")</f>
        <v>Pastorpide, Yolanda S. ()</v>
      </c>
      <c r="E8" s="70" t="s">
        <v>961</v>
      </c>
      <c r="F8" s="70" t="s">
        <v>342</v>
      </c>
      <c r="G8" s="70" t="s">
        <v>962</v>
      </c>
      <c r="H8" s="69"/>
      <c r="I8" s="92">
        <v>0.05</v>
      </c>
      <c r="J8" s="93">
        <v>1000.0</v>
      </c>
      <c r="K8" s="73" t="s">
        <v>963</v>
      </c>
      <c r="L8" s="73"/>
      <c r="M8" s="73"/>
      <c r="N8" s="74"/>
    </row>
    <row r="9" ht="30.0" hidden="1" customHeight="1">
      <c r="A9" s="68">
        <v>9.0</v>
      </c>
      <c r="B9" s="68"/>
      <c r="C9" s="68"/>
      <c r="D9" s="69" t="str">
        <f>CONCATENATE(PROPER('DASMA INFO'!$G9),", ",PROPER('DASMA INFO'!$E9)," ",PROPER('DASMA INFO'!$F9),"."," (",UPPER('DASMA INFO'!$H9),")")</f>
        <v>Mabansag, Jennifer . ()</v>
      </c>
      <c r="E9" s="70" t="s">
        <v>964</v>
      </c>
      <c r="F9" s="70"/>
      <c r="G9" s="70" t="s">
        <v>965</v>
      </c>
      <c r="H9" s="69"/>
      <c r="I9" s="92">
        <v>0.05</v>
      </c>
      <c r="J9" s="93">
        <v>1000.0</v>
      </c>
      <c r="K9" s="73"/>
      <c r="L9" s="73"/>
      <c r="M9" s="73"/>
      <c r="N9" s="74"/>
    </row>
    <row r="10" ht="30.0" hidden="1" customHeight="1">
      <c r="A10" s="68">
        <v>10.0</v>
      </c>
      <c r="B10" s="68"/>
      <c r="C10" s="68"/>
      <c r="D10" s="69" t="str">
        <f>CONCATENATE(PROPER('DASMA INFO'!$G10),", ",PROPER('DASMA INFO'!$E10)," ",PROPER('DASMA INFO'!$F10),"."," (",UPPER('DASMA INFO'!$H10),")")</f>
        <v>Ogang, Ester . ()</v>
      </c>
      <c r="E10" s="70" t="s">
        <v>966</v>
      </c>
      <c r="F10" s="70"/>
      <c r="G10" s="70" t="s">
        <v>967</v>
      </c>
      <c r="H10" s="69"/>
      <c r="I10" s="92">
        <v>0.05</v>
      </c>
      <c r="J10" s="93">
        <v>1000.0</v>
      </c>
      <c r="K10" s="73"/>
      <c r="L10" s="73"/>
      <c r="M10" s="73"/>
      <c r="N10" s="74"/>
    </row>
    <row r="11" ht="30.0" hidden="1" customHeight="1">
      <c r="A11" s="68">
        <v>11.0</v>
      </c>
      <c r="B11" s="68"/>
      <c r="C11" s="68"/>
      <c r="D11" s="69" t="str">
        <f>CONCATENATE(PROPER('DASMA INFO'!$G11),", ",PROPER('DASMA INFO'!$E11)," ",PROPER('DASMA INFO'!$F11),"."," (",UPPER('DASMA INFO'!$H11),")")</f>
        <v>Bermudo, Lenny S. ()</v>
      </c>
      <c r="E11" s="70" t="s">
        <v>55</v>
      </c>
      <c r="F11" s="70" t="s">
        <v>342</v>
      </c>
      <c r="G11" s="70" t="s">
        <v>56</v>
      </c>
      <c r="H11" s="69"/>
      <c r="I11" s="92">
        <v>0.05</v>
      </c>
      <c r="J11" s="93">
        <v>1000.0</v>
      </c>
      <c r="K11" s="73" t="s">
        <v>968</v>
      </c>
      <c r="L11" s="73"/>
      <c r="M11" s="73"/>
      <c r="N11" s="74"/>
    </row>
    <row r="12" ht="30.0" hidden="1" customHeight="1">
      <c r="A12" s="68">
        <v>12.0</v>
      </c>
      <c r="B12" s="68"/>
      <c r="C12" s="68"/>
      <c r="D12" s="69" t="str">
        <f>CONCATENATE(PROPER('DASMA INFO'!$G12),", ",PROPER('DASMA INFO'!$E12)," ",PROPER('DASMA INFO'!$F12),"."," (",UPPER('DASMA INFO'!$H12),")")</f>
        <v>Cruz, Norlyn . ()</v>
      </c>
      <c r="E12" s="70" t="s">
        <v>969</v>
      </c>
      <c r="F12" s="70"/>
      <c r="G12" s="70" t="s">
        <v>676</v>
      </c>
      <c r="H12" s="69"/>
      <c r="I12" s="92">
        <v>0.05</v>
      </c>
      <c r="J12" s="93">
        <v>1000.0</v>
      </c>
      <c r="K12" s="73"/>
      <c r="L12" s="73"/>
      <c r="M12" s="73"/>
      <c r="N12" s="74"/>
    </row>
    <row r="13" ht="30.0" hidden="1" customHeight="1">
      <c r="A13" s="68">
        <v>13.0</v>
      </c>
      <c r="B13" s="68"/>
      <c r="C13" s="68"/>
      <c r="D13" s="69" t="str">
        <f>CONCATENATE(PROPER('DASMA INFO'!$G13),", ",PROPER('DASMA INFO'!$E13)," ",PROPER('DASMA INFO'!$F13),"."," (",UPPER('DASMA INFO'!$H13),")")</f>
        <v>Conde, Jennelyn . ()</v>
      </c>
      <c r="E13" s="70" t="s">
        <v>970</v>
      </c>
      <c r="F13" s="70"/>
      <c r="G13" s="70" t="s">
        <v>603</v>
      </c>
      <c r="H13" s="69"/>
      <c r="I13" s="92">
        <v>0.05</v>
      </c>
      <c r="J13" s="93">
        <v>1000.0</v>
      </c>
      <c r="K13" s="73"/>
      <c r="L13" s="73"/>
      <c r="M13" s="73"/>
      <c r="N13" s="74"/>
    </row>
    <row r="14" ht="30.0" hidden="1" customHeight="1">
      <c r="A14" s="68">
        <v>14.0</v>
      </c>
      <c r="B14" s="68"/>
      <c r="C14" s="68"/>
      <c r="D14" s="69" t="str">
        <f>CONCATENATE(PROPER('DASMA INFO'!$G14),", ",PROPER('DASMA INFO'!$E14)," ",PROPER('DASMA INFO'!$F14),"."," (",UPPER('DASMA INFO'!$H14),")")</f>
        <v>Vianzon, Laurice . ()</v>
      </c>
      <c r="E14" s="70" t="s">
        <v>971</v>
      </c>
      <c r="F14" s="70"/>
      <c r="G14" s="70" t="s">
        <v>972</v>
      </c>
      <c r="H14" s="69"/>
      <c r="I14" s="92">
        <v>0.05</v>
      </c>
      <c r="J14" s="93">
        <v>1000.0</v>
      </c>
      <c r="K14" s="73"/>
      <c r="L14" s="73"/>
      <c r="M14" s="73"/>
      <c r="N14" s="74"/>
    </row>
    <row r="15" ht="30.0" hidden="1" customHeight="1">
      <c r="A15" s="68">
        <v>15.0</v>
      </c>
      <c r="B15" s="68"/>
      <c r="C15" s="68"/>
      <c r="D15" s="69" t="str">
        <f>CONCATENATE(PROPER('DASMA INFO'!$G15),", ",PROPER('DASMA INFO'!$E15)," ",PROPER('DASMA INFO'!$F15),"."," (",UPPER('DASMA INFO'!$H15),")")</f>
        <v>Ting, Alberto . ()</v>
      </c>
      <c r="E15" s="70" t="s">
        <v>879</v>
      </c>
      <c r="F15" s="70"/>
      <c r="G15" s="70" t="s">
        <v>973</v>
      </c>
      <c r="H15" s="69"/>
      <c r="I15" s="92">
        <v>0.05</v>
      </c>
      <c r="J15" s="93">
        <v>1000.0</v>
      </c>
      <c r="K15" s="73"/>
      <c r="L15" s="73"/>
      <c r="M15" s="73"/>
      <c r="N15" s="74"/>
    </row>
    <row r="16" ht="30.0" hidden="1" customHeight="1">
      <c r="A16" s="68">
        <v>16.0</v>
      </c>
      <c r="B16" s="68"/>
      <c r="C16" s="68"/>
      <c r="D16" s="69" t="str">
        <f>CONCATENATE(PROPER('DASMA INFO'!$G16),", ",PROPER('DASMA INFO'!$E16)," ",PROPER('DASMA INFO'!$F16),"."," (",UPPER('DASMA INFO'!$H16),")")</f>
        <v>Alberto, Shiela . ()</v>
      </c>
      <c r="E16" s="70" t="s">
        <v>974</v>
      </c>
      <c r="F16" s="70"/>
      <c r="G16" s="70" t="s">
        <v>879</v>
      </c>
      <c r="H16" s="69"/>
      <c r="I16" s="92">
        <v>0.05</v>
      </c>
      <c r="J16" s="93">
        <v>1000.0</v>
      </c>
      <c r="K16" s="73"/>
      <c r="L16" s="73"/>
      <c r="M16" s="73"/>
      <c r="N16" s="74"/>
    </row>
    <row r="17" ht="30.0" hidden="1" customHeight="1">
      <c r="A17" s="68">
        <v>17.0</v>
      </c>
      <c r="B17" s="68"/>
      <c r="C17" s="68"/>
      <c r="D17" s="69" t="str">
        <f>CONCATENATE(PROPER('DASMA INFO'!$G17),", ",PROPER('DASMA INFO'!$E17)," ",PROPER('DASMA INFO'!$F17),"."," (",UPPER('DASMA INFO'!$H17),")")</f>
        <v>Liliman, Lutgarda . ()</v>
      </c>
      <c r="E17" s="70" t="s">
        <v>975</v>
      </c>
      <c r="F17" s="70"/>
      <c r="G17" s="70" t="s">
        <v>976</v>
      </c>
      <c r="H17" s="69"/>
      <c r="I17" s="92">
        <v>0.05</v>
      </c>
      <c r="J17" s="93">
        <v>1000.0</v>
      </c>
      <c r="K17" s="73"/>
      <c r="L17" s="73"/>
      <c r="M17" s="73"/>
      <c r="N17" s="74"/>
    </row>
    <row r="18" ht="30.0" hidden="1" customHeight="1">
      <c r="A18" s="68">
        <v>18.0</v>
      </c>
      <c r="B18" s="68"/>
      <c r="C18" s="68"/>
      <c r="D18" s="69" t="str">
        <f>CONCATENATE(PROPER('DASMA INFO'!$G18),", ",PROPER('DASMA INFO'!$E18)," ",PROPER('DASMA INFO'!$F18),"."," (",UPPER('DASMA INFO'!$H18),")")</f>
        <v>Conde, Rommel . ()</v>
      </c>
      <c r="E18" s="70" t="s">
        <v>977</v>
      </c>
      <c r="F18" s="70"/>
      <c r="G18" s="70" t="s">
        <v>603</v>
      </c>
      <c r="H18" s="69"/>
      <c r="I18" s="92">
        <v>0.05</v>
      </c>
      <c r="J18" s="93">
        <v>1000.0</v>
      </c>
      <c r="K18" s="73"/>
      <c r="L18" s="73"/>
      <c r="M18" s="73"/>
      <c r="N18" s="74"/>
    </row>
    <row r="19" ht="30.0" hidden="1" customHeight="1">
      <c r="A19" s="68">
        <v>19.0</v>
      </c>
      <c r="B19" s="68"/>
      <c r="C19" s="68"/>
      <c r="D19" s="69" t="str">
        <f>CONCATENATE(PROPER('DASMA INFO'!$G19),", ",PROPER('DASMA INFO'!$E19)," ",PROPER('DASMA INFO'!$F19),"."," (",UPPER('DASMA INFO'!$H19),")")</f>
        <v>Hidalgo, Rodolfo P. ()</v>
      </c>
      <c r="E19" s="70" t="s">
        <v>53</v>
      </c>
      <c r="F19" s="70" t="s">
        <v>513</v>
      </c>
      <c r="G19" s="70" t="s">
        <v>978</v>
      </c>
      <c r="H19" s="69"/>
      <c r="I19" s="92">
        <v>0.05</v>
      </c>
      <c r="J19" s="93">
        <v>1000.0</v>
      </c>
      <c r="K19" s="73"/>
      <c r="L19" s="73"/>
      <c r="M19" s="73"/>
      <c r="N19" s="74"/>
    </row>
    <row r="20" ht="30.0" hidden="1" customHeight="1">
      <c r="A20" s="68">
        <v>20.0</v>
      </c>
      <c r="B20" s="68"/>
      <c r="C20" s="68"/>
      <c r="D20" s="69" t="str">
        <f>CONCATENATE(PROPER('DASMA INFO'!$G20),", ",PROPER('DASMA INFO'!$E20)," ",PROPER('DASMA INFO'!$F20),"."," (",UPPER('DASMA INFO'!$H20),")")</f>
        <v>Mata, Esteve . ()</v>
      </c>
      <c r="E20" s="70" t="s">
        <v>979</v>
      </c>
      <c r="F20" s="70"/>
      <c r="G20" s="70" t="s">
        <v>980</v>
      </c>
      <c r="H20" s="69"/>
      <c r="I20" s="92">
        <v>0.05</v>
      </c>
      <c r="J20" s="93">
        <v>1000.0</v>
      </c>
      <c r="K20" s="73"/>
      <c r="L20" s="73"/>
      <c r="M20" s="73"/>
      <c r="N20" s="74"/>
    </row>
    <row r="21" ht="30.0" hidden="1" customHeight="1">
      <c r="A21" s="68">
        <v>21.0</v>
      </c>
      <c r="B21" s="68"/>
      <c r="C21" s="68"/>
      <c r="D21" s="69" t="str">
        <f>CONCATENATE(PROPER('DASMA INFO'!$G21),", ",PROPER('DASMA INFO'!$E21)," ",PROPER('DASMA INFO'!$F21),"."," (",UPPER('DASMA INFO'!$H21),")")</f>
        <v>Pandiño, Jocelyn . ()</v>
      </c>
      <c r="E21" s="70" t="s">
        <v>290</v>
      </c>
      <c r="F21" s="70"/>
      <c r="G21" s="69" t="s">
        <v>981</v>
      </c>
      <c r="H21" s="69"/>
      <c r="I21" s="92">
        <v>0.05</v>
      </c>
      <c r="J21" s="93">
        <v>1000.0</v>
      </c>
      <c r="K21" s="73"/>
      <c r="L21" s="73"/>
      <c r="M21" s="73"/>
      <c r="N21" s="74"/>
    </row>
    <row r="22" ht="30.0" hidden="1" customHeight="1">
      <c r="A22" s="68">
        <v>22.0</v>
      </c>
      <c r="B22" s="68"/>
      <c r="C22" s="68"/>
      <c r="D22" s="69" t="str">
        <f>CONCATENATE(PROPER('DASMA INFO'!$G22),", ",PROPER('DASMA INFO'!$E22)," ",PROPER('DASMA INFO'!$F22),"."," (",UPPER('DASMA INFO'!$H22),")")</f>
        <v>Canaynay, Joy . ()</v>
      </c>
      <c r="E22" s="70" t="s">
        <v>501</v>
      </c>
      <c r="F22" s="70"/>
      <c r="G22" s="69" t="s">
        <v>982</v>
      </c>
      <c r="H22" s="69"/>
      <c r="I22" s="92">
        <v>0.05</v>
      </c>
      <c r="J22" s="93">
        <v>1000.0</v>
      </c>
      <c r="K22" s="73"/>
      <c r="L22" s="73"/>
      <c r="M22" s="73"/>
      <c r="N22" s="74"/>
    </row>
    <row r="23" ht="30.0" hidden="1" customHeight="1">
      <c r="A23" s="68">
        <v>23.0</v>
      </c>
      <c r="B23" s="68"/>
      <c r="C23" s="68"/>
      <c r="D23" s="69" t="str">
        <f>CONCATENATE(PROPER('DASMA INFO'!$G23),", ",PROPER('DASMA INFO'!$E23)," ",PROPER('DASMA INFO'!$F23),"."," (",UPPER('DASMA INFO'!$H23),")")</f>
        <v>Mabansag, Elizabeth . ()</v>
      </c>
      <c r="E23" s="70" t="s">
        <v>458</v>
      </c>
      <c r="F23" s="70"/>
      <c r="G23" s="69" t="s">
        <v>965</v>
      </c>
      <c r="H23" s="69"/>
      <c r="I23" s="92">
        <v>0.05</v>
      </c>
      <c r="J23" s="93">
        <v>1000.0</v>
      </c>
      <c r="K23" s="73"/>
      <c r="L23" s="73"/>
      <c r="M23" s="73"/>
      <c r="N23" s="74"/>
    </row>
    <row r="24" ht="30.0" hidden="1" customHeight="1">
      <c r="A24" s="68">
        <v>24.0</v>
      </c>
      <c r="B24" s="68"/>
      <c r="C24" s="68"/>
      <c r="D24" s="69" t="str">
        <f>CONCATENATE(PROPER('DASMA INFO'!$G24),", ",PROPER('DASMA INFO'!$E24)," ",PROPER('DASMA INFO'!$F24),"."," (",UPPER('DASMA INFO'!$H24),")")</f>
        <v>Fornal, Jenefer . ()</v>
      </c>
      <c r="E24" s="70" t="s">
        <v>172</v>
      </c>
      <c r="F24" s="70"/>
      <c r="G24" s="69" t="s">
        <v>173</v>
      </c>
      <c r="H24" s="69"/>
      <c r="I24" s="92">
        <v>0.05</v>
      </c>
      <c r="J24" s="93">
        <v>1000.0</v>
      </c>
      <c r="K24" s="73" t="s">
        <v>983</v>
      </c>
      <c r="L24" s="73"/>
      <c r="M24" s="73"/>
      <c r="N24" s="74"/>
    </row>
    <row r="25" ht="30.0" hidden="1" customHeight="1">
      <c r="A25" s="68">
        <v>25.0</v>
      </c>
      <c r="B25" s="68"/>
      <c r="C25" s="68"/>
      <c r="D25" s="69" t="str">
        <f>CONCATENATE(PROPER('DASMA INFO'!$G25),", ",PROPER('DASMA INFO'!$E25)," ",PROPER('DASMA INFO'!$F25),"."," (",UPPER('DASMA INFO'!$H25),")")</f>
        <v>Cruz, Jennifer . ()</v>
      </c>
      <c r="E25" s="70" t="s">
        <v>964</v>
      </c>
      <c r="F25" s="70"/>
      <c r="G25" s="69" t="s">
        <v>676</v>
      </c>
      <c r="H25" s="69"/>
      <c r="I25" s="92">
        <v>0.05</v>
      </c>
      <c r="J25" s="93">
        <v>1000.0</v>
      </c>
      <c r="K25" s="73"/>
      <c r="L25" s="73"/>
      <c r="M25" s="73"/>
      <c r="N25" s="74"/>
    </row>
    <row r="26" ht="30.0" hidden="1" customHeight="1">
      <c r="A26" s="68">
        <v>26.0</v>
      </c>
      <c r="B26" s="68"/>
      <c r="C26" s="68"/>
      <c r="D26" s="69" t="str">
        <f>CONCATENATE(PROPER('DASMA INFO'!$G26),", ",PROPER('DASMA INFO'!$E26)," ",PROPER('DASMA INFO'!$F26),"."," (",UPPER('DASMA INFO'!$H26),")")</f>
        <v>Benjamin, Jentaban . ()</v>
      </c>
      <c r="E26" s="70" t="s">
        <v>984</v>
      </c>
      <c r="F26" s="70"/>
      <c r="G26" s="69" t="s">
        <v>186</v>
      </c>
      <c r="H26" s="69"/>
      <c r="I26" s="92">
        <v>0.05</v>
      </c>
      <c r="J26" s="93">
        <v>1000.0</v>
      </c>
      <c r="K26" s="73"/>
      <c r="L26" s="73"/>
      <c r="M26" s="73"/>
      <c r="N26" s="74"/>
    </row>
    <row r="27" ht="30.0" hidden="1" customHeight="1">
      <c r="A27" s="68">
        <v>27.0</v>
      </c>
      <c r="B27" s="68"/>
      <c r="C27" s="68"/>
      <c r="D27" s="69" t="str">
        <f>CONCATENATE(PROPER('DASMA INFO'!$G27),", ",PROPER('DASMA INFO'!$E27)," ",PROPER('DASMA INFO'!$F27),"."," (",UPPER('DASMA INFO'!$H27),")")</f>
        <v>Topacio, Birgita . ()</v>
      </c>
      <c r="E27" s="70" t="s">
        <v>985</v>
      </c>
      <c r="F27" s="70"/>
      <c r="G27" s="69" t="s">
        <v>986</v>
      </c>
      <c r="H27" s="69"/>
      <c r="I27" s="92">
        <v>0.05</v>
      </c>
      <c r="J27" s="93">
        <v>1000.0</v>
      </c>
      <c r="K27" s="73"/>
      <c r="L27" s="73"/>
      <c r="M27" s="73"/>
      <c r="N27" s="74"/>
    </row>
    <row r="28" ht="30.0" hidden="1" customHeight="1">
      <c r="A28" s="68">
        <v>28.0</v>
      </c>
      <c r="B28" s="68"/>
      <c r="C28" s="68"/>
      <c r="D28" s="69" t="str">
        <f>CONCATENATE(PROPER('DASMA INFO'!$G28),", ",PROPER('DASMA INFO'!$E28)," ",PROPER('DASMA INFO'!$F28),"."," (",UPPER('DASMA INFO'!$H28),")")</f>
        <v>Jentabal, Benjamin . ()</v>
      </c>
      <c r="E28" s="70" t="s">
        <v>186</v>
      </c>
      <c r="F28" s="70"/>
      <c r="G28" s="69" t="s">
        <v>987</v>
      </c>
      <c r="H28" s="69"/>
      <c r="I28" s="92">
        <v>0.05</v>
      </c>
      <c r="J28" s="93">
        <v>1000.0</v>
      </c>
      <c r="K28" s="73"/>
      <c r="L28" s="73"/>
      <c r="M28" s="73"/>
      <c r="N28" s="74"/>
    </row>
    <row r="29" ht="30.0" hidden="1" customHeight="1">
      <c r="A29" s="68">
        <v>29.0</v>
      </c>
      <c r="B29" s="68"/>
      <c r="C29" s="68"/>
      <c r="D29" s="69" t="str">
        <f>CONCATENATE(PROPER('DASMA INFO'!$G29),", ",PROPER('DASMA INFO'!$E29)," ",PROPER('DASMA INFO'!$F29),"."," (",UPPER('DASMA INFO'!$H29),")")</f>
        <v>Cruz, Rolly B. ()</v>
      </c>
      <c r="E29" s="70" t="s">
        <v>547</v>
      </c>
      <c r="F29" s="70" t="s">
        <v>627</v>
      </c>
      <c r="G29" s="70" t="s">
        <v>676</v>
      </c>
      <c r="H29" s="69"/>
      <c r="I29" s="92">
        <v>0.05</v>
      </c>
      <c r="J29" s="93">
        <v>2000.0</v>
      </c>
      <c r="K29" s="73" t="s">
        <v>968</v>
      </c>
      <c r="L29" s="73"/>
      <c r="M29" s="73"/>
      <c r="N29" s="74"/>
    </row>
    <row r="30" ht="30.0" hidden="1" customHeight="1">
      <c r="A30" s="68">
        <v>30.0</v>
      </c>
      <c r="B30" s="68"/>
      <c r="C30" s="68"/>
      <c r="D30" s="69" t="str">
        <f>CONCATENATE(PROPER('DASMA INFO'!$G30),", ",PROPER('DASMA INFO'!$E30)," ",PROPER('DASMA INFO'!$F30),"."," (",UPPER('DASMA INFO'!$H30),")")</f>
        <v>Abella, Adolfo . ()</v>
      </c>
      <c r="E30" s="70" t="s">
        <v>166</v>
      </c>
      <c r="F30" s="70"/>
      <c r="G30" s="70" t="s">
        <v>167</v>
      </c>
      <c r="H30" s="69"/>
      <c r="I30" s="92">
        <v>0.05</v>
      </c>
      <c r="J30" s="93">
        <v>1000.0</v>
      </c>
      <c r="K30" s="73"/>
      <c r="L30" s="73"/>
      <c r="M30" s="73"/>
      <c r="N30" s="74"/>
    </row>
    <row r="31" ht="30.0" hidden="1" customHeight="1">
      <c r="A31" s="68">
        <v>31.0</v>
      </c>
      <c r="B31" s="68"/>
      <c r="C31" s="68"/>
      <c r="D31" s="69" t="str">
        <f>CONCATENATE(PROPER('DASMA INFO'!$G31),", ",PROPER('DASMA INFO'!$E31)," ",PROPER('DASMA INFO'!$F31),"."," (",UPPER('DASMA INFO'!$H31),")")</f>
        <v>Mabansag, Lito . ()</v>
      </c>
      <c r="E31" s="70" t="s">
        <v>758</v>
      </c>
      <c r="F31" s="70"/>
      <c r="G31" s="70" t="s">
        <v>965</v>
      </c>
      <c r="H31" s="69"/>
      <c r="I31" s="92">
        <v>0.05</v>
      </c>
      <c r="J31" s="93">
        <v>1000.0</v>
      </c>
      <c r="K31" s="73"/>
      <c r="L31" s="73"/>
      <c r="M31" s="73"/>
      <c r="N31" s="74"/>
    </row>
    <row r="32" ht="30.0" hidden="1" customHeight="1">
      <c r="A32" s="68">
        <v>32.0</v>
      </c>
      <c r="B32" s="68"/>
      <c r="C32" s="68"/>
      <c r="D32" s="69" t="str">
        <f>CONCATENATE(PROPER('DASMA INFO'!$G32),", ",PROPER('DASMA INFO'!$E32)," ",PROPER('DASMA INFO'!$F32),"."," (",UPPER('DASMA INFO'!$H32),")")</f>
        <v>Curioso, Emerson . ()</v>
      </c>
      <c r="E32" s="70" t="s">
        <v>988</v>
      </c>
      <c r="F32" s="70"/>
      <c r="G32" s="70" t="s">
        <v>989</v>
      </c>
      <c r="H32" s="69"/>
      <c r="I32" s="92">
        <v>0.05</v>
      </c>
      <c r="J32" s="93">
        <v>1000.0</v>
      </c>
      <c r="K32" s="73"/>
      <c r="L32" s="73"/>
      <c r="M32" s="73"/>
      <c r="N32" s="74"/>
    </row>
    <row r="33" ht="30.0" hidden="1" customHeight="1">
      <c r="A33" s="68">
        <v>33.0</v>
      </c>
      <c r="B33" s="68"/>
      <c r="C33" s="68"/>
      <c r="D33" s="69" t="str">
        <f>CONCATENATE(PROPER('DASMA INFO'!$G33),", ",PROPER('DASMA INFO'!$E33)," ",PROPER('DASMA INFO'!$F33),"."," (",UPPER('DASMA INFO'!$H33),")")</f>
        <v>Ignacio, Sharon . ()</v>
      </c>
      <c r="E33" s="70" t="s">
        <v>990</v>
      </c>
      <c r="F33" s="70"/>
      <c r="G33" s="70" t="s">
        <v>333</v>
      </c>
      <c r="H33" s="69"/>
      <c r="I33" s="92">
        <v>0.05</v>
      </c>
      <c r="J33" s="93">
        <v>1000.0</v>
      </c>
      <c r="K33" s="73"/>
      <c r="L33" s="73"/>
      <c r="M33" s="73"/>
      <c r="N33" s="74"/>
    </row>
    <row r="34" ht="30.0" hidden="1" customHeight="1">
      <c r="A34" s="68">
        <v>34.0</v>
      </c>
      <c r="B34" s="68"/>
      <c r="C34" s="68"/>
      <c r="D34" s="69" t="str">
        <f>CONCATENATE(PROPER('DASMA INFO'!$G34),", ",PROPER('DASMA INFO'!$E34)," ",PROPER('DASMA INFO'!$F34),"."," (",UPPER('DASMA INFO'!$H34),")")</f>
        <v>Ibanez, Julie . ()</v>
      </c>
      <c r="E34" s="70" t="s">
        <v>991</v>
      </c>
      <c r="F34" s="70"/>
      <c r="G34" s="70" t="s">
        <v>992</v>
      </c>
      <c r="H34" s="69"/>
      <c r="I34" s="92">
        <v>0.05</v>
      </c>
      <c r="J34" s="93">
        <v>1000.0</v>
      </c>
      <c r="K34" s="73"/>
      <c r="L34" s="73"/>
      <c r="M34" s="73"/>
      <c r="N34" s="74"/>
    </row>
    <row r="35" ht="30.0" hidden="1" customHeight="1">
      <c r="A35" s="68">
        <v>35.0</v>
      </c>
      <c r="B35" s="68"/>
      <c r="C35" s="68"/>
      <c r="D35" s="69" t="str">
        <f>CONCATENATE(PROPER('DASMA INFO'!$G35),", ",PROPER('DASMA INFO'!$E35)," ",PROPER('DASMA INFO'!$F35),"."," (",UPPER('DASMA INFO'!$H35),")")</f>
        <v>Cheng, Alberto . ()</v>
      </c>
      <c r="E35" s="70" t="s">
        <v>879</v>
      </c>
      <c r="F35" s="70"/>
      <c r="G35" s="70" t="s">
        <v>993</v>
      </c>
      <c r="H35" s="69"/>
      <c r="I35" s="92">
        <v>0.05</v>
      </c>
      <c r="J35" s="93">
        <v>1000.0</v>
      </c>
      <c r="K35" s="73"/>
      <c r="L35" s="73"/>
      <c r="M35" s="73"/>
      <c r="N35" s="74"/>
    </row>
    <row r="36" ht="30.0" hidden="1" customHeight="1">
      <c r="A36" s="68">
        <v>36.0</v>
      </c>
      <c r="B36" s="68"/>
      <c r="C36" s="68"/>
      <c r="D36" s="69" t="str">
        <f>CONCATENATE(PROPER('DASMA INFO'!$G36),", ",PROPER('DASMA INFO'!$E36)," ",PROPER('DASMA INFO'!$F36),"."," (",UPPER('DASMA INFO'!$H36),")")</f>
        <v>Capili, Nenita . ()</v>
      </c>
      <c r="E36" s="70" t="s">
        <v>994</v>
      </c>
      <c r="F36" s="70"/>
      <c r="G36" s="70" t="s">
        <v>446</v>
      </c>
      <c r="H36" s="69"/>
      <c r="I36" s="92">
        <v>0.05</v>
      </c>
      <c r="J36" s="93">
        <v>1000.0</v>
      </c>
      <c r="K36" s="73"/>
      <c r="L36" s="73"/>
      <c r="M36" s="73"/>
      <c r="N36" s="74"/>
    </row>
    <row r="37" ht="30.0" hidden="1" customHeight="1">
      <c r="A37" s="68">
        <v>37.0</v>
      </c>
      <c r="B37" s="68"/>
      <c r="C37" s="68"/>
      <c r="D37" s="69" t="str">
        <f>CONCATENATE(PROPER('DASMA INFO'!$G37),", ",PROPER('DASMA INFO'!$E37)," ",PROPER('DASMA INFO'!$F37),"."," (",UPPER('DASMA INFO'!$H37),")")</f>
        <v>,  . ()</v>
      </c>
      <c r="E37" s="70"/>
      <c r="F37" s="70"/>
      <c r="G37" s="70"/>
      <c r="H37" s="69"/>
      <c r="I37" s="92">
        <v>0.05</v>
      </c>
      <c r="J37" s="93">
        <v>1000.0</v>
      </c>
      <c r="K37" s="73"/>
      <c r="L37" s="73"/>
      <c r="M37" s="73"/>
      <c r="N37" s="74"/>
    </row>
    <row r="38" ht="30.0" hidden="1" customHeight="1">
      <c r="A38" s="68">
        <v>38.0</v>
      </c>
      <c r="B38" s="68"/>
      <c r="C38" s="68"/>
      <c r="D38" s="69" t="str">
        <f>CONCATENATE(PROPER('DASMA INFO'!$G38),", ",PROPER('DASMA INFO'!$E38)," ",PROPER('DASMA INFO'!$F38),"."," (",UPPER('DASMA INFO'!$H38),")")</f>
        <v>Evangelio, Annalita Velasco. ()</v>
      </c>
      <c r="E38" s="70" t="s">
        <v>995</v>
      </c>
      <c r="F38" s="70" t="s">
        <v>996</v>
      </c>
      <c r="G38" s="70" t="s">
        <v>997</v>
      </c>
      <c r="H38" s="69"/>
      <c r="I38" s="92">
        <v>0.05</v>
      </c>
      <c r="J38" s="93">
        <v>1000.0</v>
      </c>
      <c r="K38" s="73"/>
      <c r="L38" s="73"/>
      <c r="M38" s="73"/>
      <c r="N38" s="74"/>
    </row>
    <row r="39" ht="30.0" hidden="1" customHeight="1">
      <c r="A39" s="68">
        <v>39.0</v>
      </c>
      <c r="B39" s="68"/>
      <c r="C39" s="68"/>
      <c r="D39" s="69" t="str">
        <f>CONCATENATE(PROPER('DASMA INFO'!$G39),", ",PROPER('DASMA INFO'!$E39)," ",PROPER('DASMA INFO'!$F39),"."," (",UPPER('DASMA INFO'!$H39),")")</f>
        <v>Espinas, Amor . ()</v>
      </c>
      <c r="E39" s="70" t="s">
        <v>660</v>
      </c>
      <c r="F39" s="70"/>
      <c r="G39" s="70" t="s">
        <v>998</v>
      </c>
      <c r="H39" s="69"/>
      <c r="I39" s="92">
        <v>0.05</v>
      </c>
      <c r="J39" s="93">
        <v>1000.0</v>
      </c>
      <c r="K39" s="73"/>
      <c r="L39" s="73"/>
      <c r="M39" s="73"/>
      <c r="N39" s="74"/>
    </row>
    <row r="40" ht="30.0" hidden="1" customHeight="1">
      <c r="A40" s="68">
        <v>40.0</v>
      </c>
      <c r="B40" s="68"/>
      <c r="C40" s="68"/>
      <c r="D40" s="69" t="str">
        <f>CONCATENATE(PROPER('DASMA INFO'!$G40),", ",PROPER('DASMA INFO'!$E40)," ",PROPER('DASMA INFO'!$F40),"."," (",UPPER('DASMA INFO'!$H40),")")</f>
        <v>Olaes, Marvin . ()</v>
      </c>
      <c r="E40" s="70" t="s">
        <v>809</v>
      </c>
      <c r="F40" s="70"/>
      <c r="G40" s="70" t="s">
        <v>999</v>
      </c>
      <c r="H40" s="69"/>
      <c r="I40" s="92">
        <v>0.05</v>
      </c>
      <c r="J40" s="93">
        <v>1000.0</v>
      </c>
      <c r="K40" s="73"/>
      <c r="L40" s="73"/>
      <c r="M40" s="73"/>
      <c r="N40" s="74"/>
    </row>
    <row r="41" ht="30.0" hidden="1" customHeight="1">
      <c r="A41" s="68">
        <v>41.0</v>
      </c>
      <c r="B41" s="68"/>
      <c r="C41" s="68"/>
      <c r="D41" s="69" t="str">
        <f>CONCATENATE(PROPER('DASMA INFO'!$G41),", ",PROPER('DASMA INFO'!$E41)," ",PROPER('DASMA INFO'!$F41),"."," (",UPPER('DASMA INFO'!$H41),")")</f>
        <v>,  . ()</v>
      </c>
      <c r="E41" s="70"/>
      <c r="F41" s="70"/>
      <c r="G41" s="70"/>
      <c r="H41" s="69"/>
      <c r="I41" s="92">
        <v>0.05</v>
      </c>
      <c r="J41" s="93">
        <v>1000.0</v>
      </c>
      <c r="K41" s="73"/>
      <c r="L41" s="73"/>
      <c r="M41" s="73"/>
      <c r="N41" s="74"/>
    </row>
    <row r="42" ht="30.0" hidden="1" customHeight="1">
      <c r="A42" s="68">
        <v>42.0</v>
      </c>
      <c r="B42" s="68"/>
      <c r="C42" s="68"/>
      <c r="D42" s="69" t="str">
        <f>CONCATENATE(PROPER('DASMA INFO'!$G42),", ",PROPER('DASMA INFO'!$E42)," ",PROPER('DASMA INFO'!$F42),"."," (",UPPER('DASMA INFO'!$H42),")")</f>
        <v>Cruzem, Armando . ()</v>
      </c>
      <c r="E42" s="70" t="s">
        <v>174</v>
      </c>
      <c r="F42" s="70"/>
      <c r="G42" s="70" t="s">
        <v>1000</v>
      </c>
      <c r="H42" s="69"/>
      <c r="I42" s="92">
        <v>0.05</v>
      </c>
      <c r="J42" s="93">
        <v>1000.0</v>
      </c>
      <c r="K42" s="73"/>
      <c r="L42" s="73"/>
      <c r="M42" s="73"/>
      <c r="N42" s="74"/>
    </row>
    <row r="43" ht="30.0" hidden="1" customHeight="1">
      <c r="A43" s="68">
        <v>43.0</v>
      </c>
      <c r="B43" s="68"/>
      <c r="C43" s="68"/>
      <c r="D43" s="69" t="str">
        <f>CONCATENATE(PROPER('DASMA INFO'!$G43),", ",PROPER('DASMA INFO'!$E43)," ",PROPER('DASMA INFO'!$F43),"."," (",UPPER('DASMA INFO'!$H43),")")</f>
        <v>Presto, Mark Lloyd M. ()</v>
      </c>
      <c r="E43" s="70" t="s">
        <v>1001</v>
      </c>
      <c r="F43" s="70" t="s">
        <v>587</v>
      </c>
      <c r="G43" s="70" t="s">
        <v>1002</v>
      </c>
      <c r="H43" s="70"/>
      <c r="I43" s="92">
        <v>0.05</v>
      </c>
      <c r="J43" s="93">
        <v>1000.0</v>
      </c>
      <c r="K43" s="73" t="s">
        <v>1003</v>
      </c>
      <c r="L43" s="73"/>
      <c r="M43" s="73"/>
      <c r="N43" s="74"/>
    </row>
    <row r="44" ht="30.0" hidden="1" customHeight="1">
      <c r="A44" s="68">
        <v>44.0</v>
      </c>
      <c r="B44" s="68"/>
      <c r="C44" s="68"/>
      <c r="D44" s="69" t="str">
        <f>CONCATENATE(PROPER('DASMA INFO'!$G44),", ",PROPER('DASMA INFO'!$E44)," ",PROPER('DASMA INFO'!$F44),"."," (",UPPER('DASMA INFO'!$H44),")")</f>
        <v>Torres, Arlene  . ()</v>
      </c>
      <c r="E44" s="70" t="s">
        <v>1004</v>
      </c>
      <c r="F44" s="70"/>
      <c r="G44" s="70" t="s">
        <v>343</v>
      </c>
      <c r="H44" s="70"/>
      <c r="I44" s="92">
        <v>0.05</v>
      </c>
      <c r="J44" s="93">
        <v>1000.0</v>
      </c>
      <c r="K44" s="73"/>
      <c r="L44" s="73"/>
      <c r="M44" s="73"/>
      <c r="N44" s="74"/>
    </row>
    <row r="45" ht="30.0" hidden="1" customHeight="1">
      <c r="A45" s="68">
        <v>45.0</v>
      </c>
      <c r="B45" s="68"/>
      <c r="C45" s="68"/>
      <c r="D45" s="69" t="str">
        <f>CONCATENATE(PROPER('DASMA INFO'!$G45),", ",PROPER('DASMA INFO'!$E45)," ",PROPER('DASMA INFO'!$F45),"."," (",UPPER('DASMA INFO'!$H45),")")</f>
        <v>Verano, Dante . ()</v>
      </c>
      <c r="E45" s="70" t="s">
        <v>1005</v>
      </c>
      <c r="F45" s="70"/>
      <c r="G45" s="70" t="s">
        <v>1006</v>
      </c>
      <c r="H45" s="70"/>
      <c r="I45" s="92">
        <v>0.05</v>
      </c>
      <c r="J45" s="93">
        <v>1000.0</v>
      </c>
      <c r="K45" s="73"/>
      <c r="L45" s="73"/>
      <c r="M45" s="73"/>
      <c r="N45" s="74"/>
    </row>
    <row r="46" ht="30.0" hidden="1" customHeight="1">
      <c r="A46" s="68">
        <v>46.0</v>
      </c>
      <c r="B46" s="68"/>
      <c r="C46" s="68"/>
      <c r="D46" s="69" t="str">
        <f>CONCATENATE(PROPER('DASMA INFO'!$G46),", ",PROPER('DASMA INFO'!$E46)," ",PROPER('DASMA INFO'!$F46),"."," (",UPPER('DASMA INFO'!$H46),")")</f>
        <v>Apuyan, Eduardo . ()</v>
      </c>
      <c r="E46" s="70" t="s">
        <v>1007</v>
      </c>
      <c r="F46" s="70"/>
      <c r="G46" s="70" t="s">
        <v>1008</v>
      </c>
      <c r="H46" s="70"/>
      <c r="I46" s="92">
        <v>0.05</v>
      </c>
      <c r="J46" s="93">
        <v>1000.0</v>
      </c>
      <c r="K46" s="73"/>
      <c r="L46" s="73"/>
      <c r="M46" s="73"/>
      <c r="N46" s="74"/>
    </row>
    <row r="47" ht="30.0" hidden="1" customHeight="1">
      <c r="A47" s="68">
        <v>47.0</v>
      </c>
      <c r="B47" s="68"/>
      <c r="C47" s="68"/>
      <c r="D47" s="69" t="str">
        <f>CONCATENATE(PROPER('DASMA INFO'!$G47),", ",PROPER('DASMA INFO'!$E47)," ",PROPER('DASMA INFO'!$F47),"."," (",UPPER('DASMA INFO'!$H47),")")</f>
        <v>Almacen, Edwardo . ()</v>
      </c>
      <c r="E47" s="70" t="s">
        <v>1009</v>
      </c>
      <c r="F47" s="70"/>
      <c r="G47" s="70" t="s">
        <v>1010</v>
      </c>
      <c r="H47" s="70"/>
      <c r="I47" s="92">
        <v>0.05</v>
      </c>
      <c r="J47" s="93">
        <v>1000.0</v>
      </c>
      <c r="K47" s="73"/>
      <c r="L47" s="73"/>
      <c r="M47" s="73"/>
      <c r="N47" s="74"/>
    </row>
    <row r="48" ht="30.0" hidden="1" customHeight="1">
      <c r="A48" s="68">
        <v>48.0</v>
      </c>
      <c r="B48" s="68"/>
      <c r="C48" s="68"/>
      <c r="D48" s="69" t="str">
        <f>CONCATENATE(PROPER('DASMA INFO'!$G48),", ",PROPER('DASMA INFO'!$E48)," ",PROPER('DASMA INFO'!$F48),"."," (",UPPER('DASMA INFO'!$H48),")")</f>
        <v>Limpiada, Linda . ()</v>
      </c>
      <c r="E48" s="70" t="s">
        <v>1011</v>
      </c>
      <c r="F48" s="70"/>
      <c r="G48" s="70" t="s">
        <v>1012</v>
      </c>
      <c r="H48" s="70"/>
      <c r="I48" s="92">
        <v>0.05</v>
      </c>
      <c r="J48" s="93">
        <v>1000.0</v>
      </c>
      <c r="K48" s="73"/>
      <c r="L48" s="73"/>
      <c r="M48" s="73"/>
      <c r="N48" s="74"/>
    </row>
    <row r="49" ht="30.0" hidden="1" customHeight="1">
      <c r="A49" s="68">
        <v>49.0</v>
      </c>
      <c r="B49" s="68"/>
      <c r="C49" s="68"/>
      <c r="D49" s="69" t="str">
        <f>CONCATENATE(PROPER('DASMA INFO'!$G49),", ",PROPER('DASMA INFO'!$E49)," ",PROPER('DASMA INFO'!$F49),"."," (",UPPER('DASMA INFO'!$H49),")")</f>
        <v>Lanugo, Efren . ()</v>
      </c>
      <c r="E49" s="70" t="s">
        <v>1013</v>
      </c>
      <c r="F49" s="70"/>
      <c r="G49" s="70" t="s">
        <v>1014</v>
      </c>
      <c r="H49" s="70"/>
      <c r="I49" s="92">
        <v>0.05</v>
      </c>
      <c r="J49" s="93">
        <v>1000.0</v>
      </c>
      <c r="K49" s="73"/>
      <c r="L49" s="73"/>
      <c r="M49" s="73"/>
      <c r="N49" s="74"/>
    </row>
    <row r="50" ht="30.0" hidden="1" customHeight="1">
      <c r="A50" s="68">
        <v>50.0</v>
      </c>
      <c r="B50" s="68"/>
      <c r="C50" s="68"/>
      <c r="D50" s="69" t="str">
        <f>CONCATENATE(PROPER('DASMA INFO'!$G50),", ",PROPER('DASMA INFO'!$E50)," ",PROPER('DASMA INFO'!$F50),"."," (",UPPER('DASMA INFO'!$H50),")")</f>
        <v>Dualan, Vicar M. ()</v>
      </c>
      <c r="E50" s="70" t="s">
        <v>1015</v>
      </c>
      <c r="F50" s="70" t="s">
        <v>587</v>
      </c>
      <c r="G50" s="70" t="s">
        <v>1016</v>
      </c>
      <c r="H50" s="69"/>
      <c r="I50" s="92">
        <v>0.05</v>
      </c>
      <c r="J50" s="93">
        <v>1000.0</v>
      </c>
      <c r="K50" s="73" t="s">
        <v>1017</v>
      </c>
      <c r="L50" s="73"/>
      <c r="M50" s="73"/>
      <c r="N50" s="74"/>
    </row>
    <row r="51" ht="30.0" hidden="1" customHeight="1">
      <c r="A51" s="68">
        <v>51.0</v>
      </c>
      <c r="B51" s="68"/>
      <c r="C51" s="68"/>
      <c r="D51" s="69" t="str">
        <f>CONCATENATE(PROPER('DASMA INFO'!$G51),", ",PROPER('DASMA INFO'!$E51)," ",PROPER('DASMA INFO'!$F51),"."," (",UPPER('DASMA INFO'!$H51),")")</f>
        <v>Sico, Mirriam . ()</v>
      </c>
      <c r="E51" s="70" t="s">
        <v>1018</v>
      </c>
      <c r="F51" s="70"/>
      <c r="G51" s="70" t="s">
        <v>1019</v>
      </c>
      <c r="H51" s="69"/>
      <c r="I51" s="92">
        <v>0.05</v>
      </c>
      <c r="J51" s="93">
        <v>1000.0</v>
      </c>
      <c r="K51" s="73"/>
      <c r="L51" s="73"/>
      <c r="M51" s="73"/>
      <c r="N51" s="74"/>
    </row>
    <row r="52" ht="30.0" hidden="1" customHeight="1">
      <c r="A52" s="68">
        <v>52.0</v>
      </c>
      <c r="B52" s="68"/>
      <c r="C52" s="68"/>
      <c r="D52" s="69" t="str">
        <f>CONCATENATE(PROPER('DASMA INFO'!$G52),", ",PROPER('DASMA INFO'!$E52)," ",PROPER('DASMA INFO'!$F52),"."," (",UPPER('DASMA INFO'!$H52),")")</f>
        <v>Encarnado, Dexter Lee . ()</v>
      </c>
      <c r="E52" s="70" t="s">
        <v>1020</v>
      </c>
      <c r="F52" s="70"/>
      <c r="G52" s="70" t="s">
        <v>183</v>
      </c>
      <c r="H52" s="69"/>
      <c r="I52" s="92">
        <v>0.05</v>
      </c>
      <c r="J52" s="93">
        <v>1000.0</v>
      </c>
      <c r="K52" s="73"/>
      <c r="L52" s="73"/>
      <c r="M52" s="73"/>
      <c r="N52" s="74"/>
    </row>
    <row r="53" ht="30.0" hidden="1" customHeight="1">
      <c r="A53" s="68">
        <v>53.0</v>
      </c>
      <c r="B53" s="68"/>
      <c r="C53" s="68"/>
      <c r="D53" s="69" t="str">
        <f>CONCATENATE(PROPER('DASMA INFO'!$G53),", ",PROPER('DASMA INFO'!$E53)," ",PROPER('DASMA INFO'!$F53),"."," (",UPPER('DASMA INFO'!$H53),")")</f>
        <v>Marcelo, Mary Jane . ()</v>
      </c>
      <c r="E53" s="70" t="s">
        <v>351</v>
      </c>
      <c r="F53" s="70"/>
      <c r="G53" s="70" t="s">
        <v>1021</v>
      </c>
      <c r="H53" s="69"/>
      <c r="I53" s="92">
        <v>0.05</v>
      </c>
      <c r="J53" s="93">
        <v>1000.0</v>
      </c>
      <c r="K53" s="73"/>
      <c r="L53" s="73"/>
      <c r="M53" s="73"/>
      <c r="N53" s="74"/>
    </row>
    <row r="54" ht="30.0" hidden="1" customHeight="1">
      <c r="A54" s="68">
        <v>54.0</v>
      </c>
      <c r="B54" s="68"/>
      <c r="C54" s="68"/>
      <c r="D54" s="69" t="str">
        <f>CONCATENATE(PROPER('DASMA INFO'!$G54),", ",PROPER('DASMA INFO'!$E54)," ",PROPER('DASMA INFO'!$F54),"."," (",UPPER('DASMA INFO'!$H54),")")</f>
        <v>Fugoso, Lito . ()</v>
      </c>
      <c r="E54" s="70" t="s">
        <v>758</v>
      </c>
      <c r="F54" s="70"/>
      <c r="G54" s="70" t="s">
        <v>1022</v>
      </c>
      <c r="H54" s="69"/>
      <c r="I54" s="92">
        <v>0.05</v>
      </c>
      <c r="J54" s="93">
        <v>1000.0</v>
      </c>
      <c r="K54" s="73"/>
      <c r="L54" s="73"/>
      <c r="M54" s="73"/>
      <c r="N54" s="74"/>
    </row>
    <row r="55" ht="30.0" hidden="1" customHeight="1">
      <c r="A55" s="68">
        <v>55.0</v>
      </c>
      <c r="B55" s="68"/>
      <c r="C55" s="68"/>
      <c r="D55" s="69" t="str">
        <f>CONCATENATE(PROPER('DASMA INFO'!$G55),", ",PROPER('DASMA INFO'!$E55)," ",PROPER('DASMA INFO'!$F55),"."," (",UPPER('DASMA INFO'!$H55),")")</f>
        <v>Ante, Raquel . ()</v>
      </c>
      <c r="E55" s="70" t="s">
        <v>191</v>
      </c>
      <c r="F55" s="70"/>
      <c r="G55" s="70" t="s">
        <v>1023</v>
      </c>
      <c r="H55" s="69"/>
      <c r="I55" s="92">
        <v>0.05</v>
      </c>
      <c r="J55" s="93">
        <v>1000.0</v>
      </c>
      <c r="K55" s="73"/>
      <c r="L55" s="73"/>
      <c r="M55" s="73"/>
      <c r="N55" s="74"/>
    </row>
    <row r="56" ht="30.0" hidden="1" customHeight="1">
      <c r="A56" s="68">
        <v>56.0</v>
      </c>
      <c r="B56" s="68"/>
      <c r="C56" s="68"/>
      <c r="D56" s="69" t="str">
        <f>CONCATENATE(PROPER('DASMA INFO'!$G56),", ",PROPER('DASMA INFO'!$E56)," ",PROPER('DASMA INFO'!$F56),"."," (",UPPER('DASMA INFO'!$H56),")")</f>
        <v>Divina, Annabelle  . ()</v>
      </c>
      <c r="E56" s="70" t="s">
        <v>1024</v>
      </c>
      <c r="F56" s="70"/>
      <c r="G56" s="70" t="s">
        <v>532</v>
      </c>
      <c r="H56" s="69"/>
      <c r="I56" s="92">
        <v>0.05</v>
      </c>
      <c r="J56" s="93">
        <v>1000.0</v>
      </c>
      <c r="K56" s="73"/>
      <c r="L56" s="73"/>
      <c r="M56" s="73"/>
      <c r="N56" s="74"/>
    </row>
    <row r="57" ht="30.0" hidden="1" customHeight="1">
      <c r="A57" s="68">
        <v>57.0</v>
      </c>
      <c r="B57" s="68"/>
      <c r="C57" s="68"/>
      <c r="D57" s="69" t="str">
        <f>CONCATENATE(PROPER('DASMA INFO'!$G57),", ",PROPER('DASMA INFO'!$E57)," ",PROPER('DASMA INFO'!$F57),"."," (",UPPER('DASMA INFO'!$H57),")")</f>
        <v>Valencia, Lito . ()</v>
      </c>
      <c r="E57" s="70" t="s">
        <v>758</v>
      </c>
      <c r="F57" s="70"/>
      <c r="G57" s="70" t="s">
        <v>898</v>
      </c>
      <c r="H57" s="69"/>
      <c r="I57" s="92">
        <v>0.05</v>
      </c>
      <c r="J57" s="93">
        <v>1000.0</v>
      </c>
      <c r="K57" s="73"/>
      <c r="L57" s="73"/>
      <c r="M57" s="73"/>
      <c r="N57" s="74"/>
    </row>
    <row r="58" ht="30.0" hidden="1" customHeight="1">
      <c r="A58" s="68">
        <v>58.0</v>
      </c>
      <c r="B58" s="68"/>
      <c r="C58" s="68"/>
      <c r="D58" s="69" t="str">
        <f>CONCATENATE(PROPER('DASMA INFO'!$G58),", ",PROPER('DASMA INFO'!$E58)," ",PROPER('DASMA INFO'!$F58),"."," (",UPPER('DASMA INFO'!$H58),")")</f>
        <v>Aznar, Evangeline . ()</v>
      </c>
      <c r="E58" s="70" t="s">
        <v>188</v>
      </c>
      <c r="F58" s="70"/>
      <c r="G58" s="70" t="s">
        <v>1025</v>
      </c>
      <c r="H58" s="69"/>
      <c r="I58" s="92">
        <v>0.05</v>
      </c>
      <c r="J58" s="93">
        <v>1000.0</v>
      </c>
      <c r="K58" s="73"/>
      <c r="L58" s="73"/>
      <c r="M58" s="73"/>
      <c r="N58" s="74"/>
    </row>
    <row r="59" ht="30.0" hidden="1" customHeight="1">
      <c r="A59" s="68">
        <v>59.0</v>
      </c>
      <c r="B59" s="68"/>
      <c r="C59" s="68"/>
      <c r="D59" s="69" t="str">
        <f>CONCATENATE(PROPER('DASMA INFO'!$G59),", ",PROPER('DASMA INFO'!$E59)," ",PROPER('DASMA INFO'!$F59),"."," (",UPPER('DASMA INFO'!$H59),")")</f>
        <v>Violago, Marius . ()</v>
      </c>
      <c r="E59" s="70" t="s">
        <v>1026</v>
      </c>
      <c r="F59" s="70"/>
      <c r="G59" s="70" t="s">
        <v>1027</v>
      </c>
      <c r="H59" s="69"/>
      <c r="I59" s="92">
        <v>0.05</v>
      </c>
      <c r="J59" s="93">
        <v>1000.0</v>
      </c>
      <c r="K59" s="73"/>
      <c r="L59" s="73"/>
      <c r="M59" s="73"/>
      <c r="N59" s="74"/>
    </row>
    <row r="60" ht="30.0" hidden="1" customHeight="1">
      <c r="A60" s="68">
        <v>60.0</v>
      </c>
      <c r="B60" s="68"/>
      <c r="C60" s="68"/>
      <c r="D60" s="69" t="str">
        <f>CONCATENATE(PROPER('DASMA INFO'!$G60),", ",PROPER('DASMA INFO'!$E60)," ",PROPER('DASMA INFO'!$F60),"."," (",UPPER('DASMA INFO'!$H60),")")</f>
        <v>,  . ()</v>
      </c>
      <c r="E60" s="70"/>
      <c r="F60" s="70"/>
      <c r="G60" s="70"/>
      <c r="H60" s="69"/>
      <c r="I60" s="92">
        <v>0.05</v>
      </c>
      <c r="J60" s="93">
        <v>1000.0</v>
      </c>
      <c r="K60" s="73"/>
      <c r="L60" s="73"/>
      <c r="M60" s="73"/>
      <c r="N60" s="74"/>
    </row>
    <row r="61" ht="30.0" hidden="1" customHeight="1">
      <c r="A61" s="68">
        <v>61.0</v>
      </c>
      <c r="B61" s="68"/>
      <c r="C61" s="68"/>
      <c r="D61" s="69" t="str">
        <f>CONCATENATE(PROPER('DASMA INFO'!$G61),", ",PROPER('DASMA INFO'!$E61)," ",PROPER('DASMA INFO'!$F61),"."," (",UPPER('DASMA INFO'!$H61),")")</f>
        <v>Dio, Reynaldo . ()</v>
      </c>
      <c r="E61" s="70" t="s">
        <v>1028</v>
      </c>
      <c r="F61" s="70"/>
      <c r="G61" s="70" t="s">
        <v>1029</v>
      </c>
      <c r="H61" s="69"/>
      <c r="I61" s="92">
        <v>0.05</v>
      </c>
      <c r="J61" s="93">
        <v>1000.0</v>
      </c>
      <c r="K61" s="73"/>
      <c r="L61" s="73"/>
      <c r="M61" s="73"/>
      <c r="N61" s="74"/>
    </row>
    <row r="62" ht="30.0" hidden="1" customHeight="1">
      <c r="A62" s="68">
        <v>62.0</v>
      </c>
      <c r="B62" s="68"/>
      <c r="C62" s="68"/>
      <c r="D62" s="69" t="str">
        <f>CONCATENATE(PROPER('DASMA INFO'!$G62),", ",PROPER('DASMA INFO'!$E62)," ",PROPER('DASMA INFO'!$F62),"."," (",UPPER('DASMA INFO'!$H62),")")</f>
        <v>,  . ()</v>
      </c>
      <c r="E62" s="70"/>
      <c r="F62" s="70"/>
      <c r="G62" s="70"/>
      <c r="H62" s="69"/>
      <c r="I62" s="92">
        <v>0.05</v>
      </c>
      <c r="J62" s="93">
        <v>1000.0</v>
      </c>
      <c r="K62" s="73"/>
      <c r="L62" s="73"/>
      <c r="M62" s="73"/>
      <c r="N62" s="74"/>
    </row>
    <row r="63" ht="30.0" hidden="1" customHeight="1">
      <c r="A63" s="68">
        <v>63.0</v>
      </c>
      <c r="B63" s="68"/>
      <c r="C63" s="68"/>
      <c r="D63" s="69" t="str">
        <f>CONCATENATE(PROPER('DASMA INFO'!$G63),", ",PROPER('DASMA INFO'!$E63)," ",PROPER('DASMA INFO'!$F63),"."," (",UPPER('DASMA INFO'!$H63),")")</f>
        <v>Garcia, Frederick . ()</v>
      </c>
      <c r="E63" s="70" t="s">
        <v>1030</v>
      </c>
      <c r="F63" s="70"/>
      <c r="G63" s="70" t="s">
        <v>496</v>
      </c>
      <c r="H63" s="69"/>
      <c r="I63" s="92">
        <v>0.05</v>
      </c>
      <c r="J63" s="93">
        <v>1000.0</v>
      </c>
      <c r="K63" s="73"/>
      <c r="L63" s="73"/>
      <c r="M63" s="73"/>
      <c r="N63" s="74"/>
    </row>
    <row r="64" ht="30.0" hidden="1" customHeight="1">
      <c r="A64" s="68">
        <v>64.0</v>
      </c>
      <c r="B64" s="68"/>
      <c r="C64" s="68"/>
      <c r="D64" s="69" t="str">
        <f>CONCATENATE(PROPER('DASMA INFO'!$G64),", ",PROPER('DASMA INFO'!$E64)," ",PROPER('DASMA INFO'!$F64),"."," (",UPPER('DASMA INFO'!$H64),")")</f>
        <v>Sinlao, Mar . ()</v>
      </c>
      <c r="E64" s="70" t="s">
        <v>180</v>
      </c>
      <c r="F64" s="70"/>
      <c r="G64" s="69" t="s">
        <v>181</v>
      </c>
      <c r="H64" s="69"/>
      <c r="I64" s="92">
        <v>0.05</v>
      </c>
      <c r="J64" s="93">
        <v>1000.0</v>
      </c>
      <c r="K64" s="73"/>
      <c r="L64" s="73"/>
      <c r="M64" s="73"/>
      <c r="N64" s="74"/>
    </row>
    <row r="65" ht="30.0" hidden="1" customHeight="1">
      <c r="A65" s="68">
        <v>65.0</v>
      </c>
      <c r="B65" s="68"/>
      <c r="C65" s="68"/>
      <c r="D65" s="69" t="str">
        <f>CONCATENATE(PROPER('DASMA INFO'!$G65),", ",PROPER('DASMA INFO'!$E65)," ",PROPER('DASMA INFO'!$F65),"."," (",UPPER('DASMA INFO'!$H65),")")</f>
        <v>Golayan, Ma Ethel G. ()</v>
      </c>
      <c r="E65" s="70" t="s">
        <v>1031</v>
      </c>
      <c r="F65" s="70" t="s">
        <v>1032</v>
      </c>
      <c r="G65" s="70" t="s">
        <v>105</v>
      </c>
      <c r="H65" s="70"/>
      <c r="I65" s="92">
        <v>0.05</v>
      </c>
      <c r="J65" s="93">
        <v>2000.0</v>
      </c>
      <c r="K65" s="73" t="s">
        <v>968</v>
      </c>
      <c r="L65" s="73"/>
      <c r="M65" s="73"/>
      <c r="N65" s="74"/>
    </row>
    <row r="66" ht="30.0" hidden="1" customHeight="1">
      <c r="A66" s="68">
        <v>66.0</v>
      </c>
      <c r="B66" s="68"/>
      <c r="C66" s="68"/>
      <c r="D66" s="69" t="str">
        <f>CONCATENATE(PROPER('DASMA INFO'!$G66),", ",PROPER('DASMA INFO'!$E66)," ",PROPER('DASMA INFO'!$F66),"."," (",UPPER('DASMA INFO'!$H66),")")</f>
        <v>Cortez, Buanafe . ()</v>
      </c>
      <c r="E66" s="70" t="s">
        <v>1033</v>
      </c>
      <c r="F66" s="70"/>
      <c r="G66" s="70" t="s">
        <v>1034</v>
      </c>
      <c r="H66" s="70"/>
      <c r="I66" s="92">
        <v>0.05</v>
      </c>
      <c r="J66" s="93">
        <v>1000.0</v>
      </c>
      <c r="K66" s="73"/>
      <c r="L66" s="73"/>
      <c r="M66" s="73"/>
      <c r="N66" s="74"/>
    </row>
    <row r="67" ht="30.0" hidden="1" customHeight="1">
      <c r="A67" s="68">
        <v>67.0</v>
      </c>
      <c r="B67" s="68"/>
      <c r="C67" s="68"/>
      <c r="D67" s="69" t="str">
        <f>CONCATENATE(PROPER('DASMA INFO'!$G67),", ",PROPER('DASMA INFO'!$E67)," ",PROPER('DASMA INFO'!$F67),"."," (",UPPER('DASMA INFO'!$H67),")")</f>
        <v>Tablada, Ma. . ()</v>
      </c>
      <c r="E67" s="70" t="s">
        <v>1035</v>
      </c>
      <c r="F67" s="70"/>
      <c r="G67" s="70" t="s">
        <v>1036</v>
      </c>
      <c r="H67" s="70"/>
      <c r="I67" s="92">
        <v>0.05</v>
      </c>
      <c r="J67" s="93">
        <v>1000.0</v>
      </c>
      <c r="K67" s="73"/>
      <c r="L67" s="73"/>
      <c r="M67" s="73"/>
      <c r="N67" s="74"/>
    </row>
    <row r="68" ht="30.0" hidden="1" customHeight="1">
      <c r="A68" s="68">
        <v>68.0</v>
      </c>
      <c r="B68" s="68"/>
      <c r="C68" s="68"/>
      <c r="D68" s="69" t="str">
        <f>CONCATENATE(PROPER('DASMA INFO'!$G68),", ",PROPER('DASMA INFO'!$E68)," ",PROPER('DASMA INFO'!$F68),"."," (",UPPER('DASMA INFO'!$H68),")")</f>
        <v>Ignacio, Virgie . ()</v>
      </c>
      <c r="E68" s="70" t="s">
        <v>1037</v>
      </c>
      <c r="F68" s="70"/>
      <c r="G68" s="70" t="s">
        <v>333</v>
      </c>
      <c r="H68" s="70"/>
      <c r="I68" s="92">
        <v>0.05</v>
      </c>
      <c r="J68" s="93">
        <v>1000.0</v>
      </c>
      <c r="K68" s="73"/>
      <c r="L68" s="73"/>
      <c r="M68" s="73"/>
      <c r="N68" s="74"/>
    </row>
    <row r="69" ht="30.0" hidden="1" customHeight="1">
      <c r="A69" s="68">
        <v>69.0</v>
      </c>
      <c r="B69" s="68"/>
      <c r="C69" s="68"/>
      <c r="D69" s="69" t="str">
        <f>CONCATENATE(PROPER('DASMA INFO'!$G69),", ",PROPER('DASMA INFO'!$E69)," ",PROPER('DASMA INFO'!$F69),"."," (",UPPER('DASMA INFO'!$H69),")")</f>
        <v>Encarnado, Dexter Lee . ()</v>
      </c>
      <c r="E69" s="70" t="s">
        <v>1020</v>
      </c>
      <c r="F69" s="70"/>
      <c r="G69" s="70" t="s">
        <v>183</v>
      </c>
      <c r="H69" s="69"/>
      <c r="I69" s="92">
        <v>0.05</v>
      </c>
      <c r="J69" s="93">
        <v>1000.0</v>
      </c>
      <c r="K69" s="73" t="s">
        <v>1038</v>
      </c>
      <c r="L69" s="73"/>
      <c r="M69" s="73"/>
      <c r="N69" s="74"/>
    </row>
    <row r="70" ht="30.0" hidden="1" customHeight="1">
      <c r="A70" s="68">
        <v>70.0</v>
      </c>
      <c r="B70" s="68"/>
      <c r="C70" s="68"/>
      <c r="D70" s="69" t="str">
        <f>CONCATENATE(PROPER('DASMA INFO'!$G70),", ",PROPER('DASMA INFO'!$E70)," ",PROPER('DASMA INFO'!$F70),"."," (",UPPER('DASMA INFO'!$H70),")")</f>
        <v>Detablan, Richard . ()</v>
      </c>
      <c r="E70" s="70" t="s">
        <v>1039</v>
      </c>
      <c r="F70" s="70"/>
      <c r="G70" s="70" t="s">
        <v>1040</v>
      </c>
      <c r="H70" s="69"/>
      <c r="I70" s="92">
        <v>0.05</v>
      </c>
      <c r="J70" s="93">
        <v>1000.0</v>
      </c>
      <c r="K70" s="73"/>
      <c r="L70" s="73"/>
      <c r="M70" s="73"/>
      <c r="N70" s="74"/>
    </row>
    <row r="71" ht="30.0" hidden="1" customHeight="1">
      <c r="A71" s="68">
        <v>71.0</v>
      </c>
      <c r="B71" s="68"/>
      <c r="C71" s="68"/>
      <c r="D71" s="69" t="str">
        <f>CONCATENATE(PROPER('DASMA INFO'!$G71),", ",PROPER('DASMA INFO'!$E71)," ",PROPER('DASMA INFO'!$F71),"."," (",UPPER('DASMA INFO'!$H71),")")</f>
        <v>Valderama, Leticia . ()</v>
      </c>
      <c r="E71" s="70" t="s">
        <v>140</v>
      </c>
      <c r="F71" s="70"/>
      <c r="G71" s="70" t="s">
        <v>1041</v>
      </c>
      <c r="H71" s="69"/>
      <c r="I71" s="92">
        <v>0.05</v>
      </c>
      <c r="J71" s="93">
        <v>1000.0</v>
      </c>
      <c r="K71" s="73"/>
      <c r="L71" s="73"/>
      <c r="M71" s="73"/>
      <c r="N71" s="74"/>
    </row>
    <row r="72" ht="30.0" hidden="1" customHeight="1">
      <c r="A72" s="68">
        <v>72.0</v>
      </c>
      <c r="B72" s="68"/>
      <c r="C72" s="68"/>
      <c r="D72" s="69" t="str">
        <f>CONCATENATE(PROPER('DASMA INFO'!$G72),", ",PROPER('DASMA INFO'!$E72)," ",PROPER('DASMA INFO'!$F72),"."," (",UPPER('DASMA INFO'!$H72),")")</f>
        <v>Astillo, Felix . ()</v>
      </c>
      <c r="E72" s="70" t="s">
        <v>1042</v>
      </c>
      <c r="F72" s="70"/>
      <c r="G72" s="70" t="s">
        <v>1043</v>
      </c>
      <c r="H72" s="69"/>
      <c r="I72" s="92">
        <v>0.05</v>
      </c>
      <c r="J72" s="93">
        <v>1000.0</v>
      </c>
      <c r="K72" s="73"/>
      <c r="L72" s="73"/>
      <c r="M72" s="73"/>
      <c r="N72" s="74"/>
    </row>
    <row r="73" ht="30.0" hidden="1" customHeight="1">
      <c r="A73" s="68">
        <v>73.0</v>
      </c>
      <c r="B73" s="68"/>
      <c r="C73" s="68"/>
      <c r="D73" s="69" t="str">
        <f>CONCATENATE(PROPER('DASMA INFO'!$G73),", ",PROPER('DASMA INFO'!$E73)," ",PROPER('DASMA INFO'!$F73),"."," (",UPPER('DASMA INFO'!$H73),")")</f>
        <v>Rabino, Jade . ()</v>
      </c>
      <c r="E73" s="70" t="s">
        <v>1044</v>
      </c>
      <c r="F73" s="70"/>
      <c r="G73" s="70" t="s">
        <v>1045</v>
      </c>
      <c r="H73" s="69"/>
      <c r="I73" s="92">
        <v>0.05</v>
      </c>
      <c r="J73" s="93">
        <v>1000.0</v>
      </c>
      <c r="K73" s="73"/>
      <c r="L73" s="73"/>
      <c r="M73" s="73"/>
      <c r="N73" s="74"/>
    </row>
    <row r="74" ht="30.0" hidden="1" customHeight="1">
      <c r="A74" s="68">
        <v>74.0</v>
      </c>
      <c r="B74" s="68"/>
      <c r="C74" s="68"/>
      <c r="D74" s="69" t="str">
        <f>CONCATENATE(PROPER('DASMA INFO'!$G74),", ",PROPER('DASMA INFO'!$E74)," ",PROPER('DASMA INFO'!$F74),"."," (",UPPER('DASMA INFO'!$H74),")")</f>
        <v>Tonggol, Mark Anthony . ()</v>
      </c>
      <c r="E74" s="70" t="s">
        <v>77</v>
      </c>
      <c r="F74" s="70"/>
      <c r="G74" s="70" t="s">
        <v>1046</v>
      </c>
      <c r="H74" s="69"/>
      <c r="I74" s="92">
        <v>0.05</v>
      </c>
      <c r="J74" s="93">
        <v>1000.0</v>
      </c>
      <c r="K74" s="73"/>
      <c r="L74" s="73"/>
      <c r="M74" s="73"/>
      <c r="N74" s="74"/>
    </row>
    <row r="75" ht="30.0" hidden="1" customHeight="1">
      <c r="A75" s="68">
        <v>75.0</v>
      </c>
      <c r="B75" s="68"/>
      <c r="C75" s="68"/>
      <c r="D75" s="69" t="str">
        <f>CONCATENATE(PROPER('DASMA INFO'!$G75),", ",PROPER('DASMA INFO'!$E75)," ",PROPER('DASMA INFO'!$F75),"."," (",UPPER('DASMA INFO'!$H75),")")</f>
        <v>Palalom, Rey . ()</v>
      </c>
      <c r="E75" s="70" t="s">
        <v>1047</v>
      </c>
      <c r="F75" s="70"/>
      <c r="G75" s="70" t="s">
        <v>1048</v>
      </c>
      <c r="H75" s="69"/>
      <c r="I75" s="92">
        <v>0.05</v>
      </c>
      <c r="J75" s="93">
        <v>1000.0</v>
      </c>
      <c r="K75" s="73"/>
      <c r="L75" s="73"/>
      <c r="M75" s="73"/>
      <c r="N75" s="74"/>
    </row>
    <row r="76" ht="30.0" hidden="1" customHeight="1">
      <c r="A76" s="68">
        <v>76.0</v>
      </c>
      <c r="B76" s="68"/>
      <c r="C76" s="68"/>
      <c r="D76" s="69" t="str">
        <f>CONCATENATE(PROPER('DASMA INFO'!$G76),", ",PROPER('DASMA INFO'!$E76)," ",PROPER('DASMA INFO'!$F76),"."," (",UPPER('DASMA INFO'!$H76),")")</f>
        <v>Mabansag, Jenifer . ()</v>
      </c>
      <c r="E76" s="70" t="s">
        <v>903</v>
      </c>
      <c r="F76" s="70"/>
      <c r="G76" s="70" t="s">
        <v>965</v>
      </c>
      <c r="H76" s="69"/>
      <c r="I76" s="92">
        <v>0.05</v>
      </c>
      <c r="J76" s="93">
        <v>1000.0</v>
      </c>
      <c r="K76" s="73"/>
      <c r="L76" s="73"/>
      <c r="M76" s="73"/>
      <c r="N76" s="74"/>
    </row>
    <row r="77" ht="30.0" hidden="1" customHeight="1">
      <c r="A77" s="68">
        <v>77.0</v>
      </c>
      <c r="B77" s="68"/>
      <c r="C77" s="68"/>
      <c r="D77" s="69" t="str">
        <f>CONCATENATE(PROPER('DASMA INFO'!$G77),", ",PROPER('DASMA INFO'!$E77)," ",PROPER('DASMA INFO'!$F77),"."," (",UPPER('DASMA INFO'!$H77),")")</f>
        <v>Baculpo, Roselle . ()</v>
      </c>
      <c r="E77" s="70" t="s">
        <v>131</v>
      </c>
      <c r="F77" s="70"/>
      <c r="G77" s="69" t="s">
        <v>1049</v>
      </c>
      <c r="H77" s="69"/>
      <c r="I77" s="92">
        <v>0.05</v>
      </c>
      <c r="J77" s="93">
        <v>1000.0</v>
      </c>
      <c r="K77" s="73"/>
      <c r="L77" s="73"/>
      <c r="M77" s="73"/>
      <c r="N77" s="74"/>
    </row>
    <row r="78" ht="30.0" hidden="1" customHeight="1">
      <c r="A78" s="68">
        <v>78.0</v>
      </c>
      <c r="B78" s="68"/>
      <c r="C78" s="68"/>
      <c r="D78" s="69" t="str">
        <f>CONCATENATE(PROPER('DASMA INFO'!$G78),", ",PROPER('DASMA INFO'!$E78)," ",PROPER('DASMA INFO'!$F78),"."," (",UPPER('DASMA INFO'!$H78),")")</f>
        <v>Villanueva, Victorina . ()</v>
      </c>
      <c r="E78" s="70" t="s">
        <v>1050</v>
      </c>
      <c r="F78" s="70"/>
      <c r="G78" s="69" t="s">
        <v>454</v>
      </c>
      <c r="H78" s="69"/>
      <c r="I78" s="92">
        <v>0.05</v>
      </c>
      <c r="J78" s="93">
        <v>1000.0</v>
      </c>
      <c r="K78" s="73"/>
      <c r="L78" s="73"/>
      <c r="M78" s="73"/>
      <c r="N78" s="74"/>
    </row>
    <row r="79" ht="30.0" hidden="1" customHeight="1">
      <c r="A79" s="68">
        <v>79.0</v>
      </c>
      <c r="B79" s="94"/>
      <c r="C79" s="94"/>
      <c r="D79" s="69" t="str">
        <f>CONCATENATE(PROPER('DASMA INFO'!$G79),", ",PROPER('DASMA INFO'!$E79)," ",PROPER('DASMA INFO'!$F79),"."," (",UPPER('DASMA INFO'!$H79),")")</f>
        <v>Gepes, Marlyn S. ()</v>
      </c>
      <c r="E79" s="95" t="s">
        <v>1051</v>
      </c>
      <c r="F79" s="95" t="s">
        <v>342</v>
      </c>
      <c r="G79" s="95" t="s">
        <v>1052</v>
      </c>
      <c r="H79" s="96"/>
      <c r="I79" s="92">
        <v>0.05</v>
      </c>
      <c r="J79" s="93">
        <v>3000.0</v>
      </c>
      <c r="K79" s="97" t="s">
        <v>1053</v>
      </c>
      <c r="L79" s="97"/>
      <c r="M79" s="97"/>
      <c r="N79" s="98"/>
    </row>
    <row r="80" ht="30.0" hidden="1" customHeight="1">
      <c r="A80" s="68">
        <v>80.0</v>
      </c>
      <c r="B80" s="78"/>
      <c r="C80" s="78"/>
      <c r="D80" s="69" t="str">
        <f>CONCATENATE(PROPER('DASMA INFO'!$G80),", ",PROPER('DASMA INFO'!$E80)," ",PROPER('DASMA INFO'!$F80),"."," (",UPPER('DASMA INFO'!$H80),")")</f>
        <v>Antonio, Karen . ()</v>
      </c>
      <c r="E80" s="70" t="s">
        <v>1054</v>
      </c>
      <c r="F80" s="75"/>
      <c r="G80" s="70" t="s">
        <v>76</v>
      </c>
      <c r="H80" s="76"/>
      <c r="I80" s="92">
        <v>0.05</v>
      </c>
      <c r="J80" s="93">
        <v>1000.0</v>
      </c>
      <c r="K80" s="82"/>
      <c r="L80" s="82"/>
      <c r="M80" s="82"/>
      <c r="N80" s="74"/>
    </row>
    <row r="81" ht="30.0" hidden="1" customHeight="1">
      <c r="A81" s="68">
        <v>81.0</v>
      </c>
      <c r="B81" s="78"/>
      <c r="C81" s="78"/>
      <c r="D81" s="69" t="str">
        <f>CONCATENATE(PROPER('DASMA INFO'!$G81),", ",PROPER('DASMA INFO'!$E81)," ",PROPER('DASMA INFO'!$F81),"."," (",UPPER('DASMA INFO'!$H81),")")</f>
        <v>Baculpo, Celso . ()</v>
      </c>
      <c r="E81" s="70" t="s">
        <v>1055</v>
      </c>
      <c r="F81" s="75"/>
      <c r="G81" s="70" t="s">
        <v>1049</v>
      </c>
      <c r="H81" s="76"/>
      <c r="I81" s="92">
        <v>0.05</v>
      </c>
      <c r="J81" s="93">
        <v>1000.0</v>
      </c>
      <c r="K81" s="82"/>
      <c r="L81" s="82"/>
      <c r="M81" s="82"/>
      <c r="N81" s="74"/>
    </row>
    <row r="82" ht="30.0" hidden="1" customHeight="1">
      <c r="A82" s="68">
        <v>82.0</v>
      </c>
      <c r="B82" s="78"/>
      <c r="C82" s="78"/>
      <c r="D82" s="69" t="str">
        <f>CONCATENATE(PROPER('DASMA INFO'!$G82),", ",PROPER('DASMA INFO'!$E82)," ",PROPER('DASMA INFO'!$F82),"."," (",UPPER('DASMA INFO'!$H82),")")</f>
        <v>Cerrada, Alma . ()</v>
      </c>
      <c r="E82" s="70" t="s">
        <v>1056</v>
      </c>
      <c r="F82" s="75"/>
      <c r="G82" s="70" t="s">
        <v>1057</v>
      </c>
      <c r="H82" s="76"/>
      <c r="I82" s="92">
        <v>0.05</v>
      </c>
      <c r="J82" s="93">
        <v>1000.0</v>
      </c>
      <c r="K82" s="82"/>
      <c r="L82" s="82"/>
      <c r="M82" s="82"/>
      <c r="N82" s="74"/>
    </row>
    <row r="83" ht="30.0" hidden="1" customHeight="1">
      <c r="A83" s="68">
        <v>83.0</v>
      </c>
      <c r="B83" s="78"/>
      <c r="C83" s="78"/>
      <c r="D83" s="69" t="str">
        <f>CONCATENATE(PROPER('DASMA INFO'!$G83),", ",PROPER('DASMA INFO'!$E83)," ",PROPER('DASMA INFO'!$F83),"."," (",UPPER('DASMA INFO'!$H83),")")</f>
        <v>Guyamin, Rina . ()</v>
      </c>
      <c r="E83" s="70" t="s">
        <v>1058</v>
      </c>
      <c r="F83" s="70"/>
      <c r="G83" s="70" t="s">
        <v>1059</v>
      </c>
      <c r="H83" s="76"/>
      <c r="I83" s="92">
        <v>0.05</v>
      </c>
      <c r="J83" s="93">
        <v>1000.0</v>
      </c>
      <c r="K83" s="82"/>
      <c r="L83" s="82"/>
      <c r="M83" s="82"/>
      <c r="N83" s="74"/>
    </row>
    <row r="84" ht="30.0" hidden="1" customHeight="1">
      <c r="A84" s="68">
        <v>84.0</v>
      </c>
      <c r="B84" s="78"/>
      <c r="C84" s="78"/>
      <c r="D84" s="69" t="str">
        <f>CONCATENATE(PROPER('DASMA INFO'!$G84),", ",PROPER('DASMA INFO'!$E84)," ",PROPER('DASMA INFO'!$F84),"."," (",UPPER('DASMA INFO'!$H84),")")</f>
        <v>Pontejos, Merlyn . ()</v>
      </c>
      <c r="E84" s="99" t="s">
        <v>1060</v>
      </c>
      <c r="F84" s="99"/>
      <c r="G84" s="99" t="s">
        <v>1061</v>
      </c>
      <c r="H84" s="76"/>
      <c r="I84" s="92">
        <v>0.05</v>
      </c>
      <c r="J84" s="93">
        <v>1000.0</v>
      </c>
      <c r="K84" s="82"/>
      <c r="L84" s="82"/>
      <c r="M84" s="82"/>
      <c r="N84" s="74"/>
    </row>
    <row r="85" ht="30.0" hidden="1" customHeight="1">
      <c r="A85" s="68">
        <v>85.0</v>
      </c>
      <c r="B85" s="78"/>
      <c r="C85" s="78"/>
      <c r="D85" s="69" t="str">
        <f>CONCATENATE(PROPER('DASMA INFO'!$G85),", ",PROPER('DASMA INFO'!$E85)," ",PROPER('DASMA INFO'!$F85),"."," (",UPPER('DASMA INFO'!$H85),")")</f>
        <v>Fornal, Mark . ()</v>
      </c>
      <c r="E85" s="70" t="s">
        <v>99</v>
      </c>
      <c r="F85" s="70"/>
      <c r="G85" s="70" t="s">
        <v>173</v>
      </c>
      <c r="H85" s="76"/>
      <c r="I85" s="92">
        <v>0.05</v>
      </c>
      <c r="J85" s="93">
        <v>1000.0</v>
      </c>
      <c r="K85" s="82"/>
      <c r="L85" s="82"/>
      <c r="M85" s="82"/>
      <c r="N85" s="74"/>
    </row>
    <row r="86" ht="30.0" hidden="1" customHeight="1">
      <c r="A86" s="68">
        <v>86.0</v>
      </c>
      <c r="B86" s="78"/>
      <c r="C86" s="78"/>
      <c r="D86" s="69" t="str">
        <f>CONCATENATE(PROPER('DASMA INFO'!$G86),", ",PROPER('DASMA INFO'!$E86)," ",PROPER('DASMA INFO'!$F86),"."," (",UPPER('DASMA INFO'!$H86),")")</f>
        <v>Hernandez, Bayani . ()</v>
      </c>
      <c r="E86" s="70" t="s">
        <v>1062</v>
      </c>
      <c r="F86" s="75"/>
      <c r="G86" s="70" t="s">
        <v>635</v>
      </c>
      <c r="H86" s="76"/>
      <c r="I86" s="92">
        <v>0.05</v>
      </c>
      <c r="J86" s="93">
        <v>1000.0</v>
      </c>
      <c r="K86" s="82"/>
      <c r="L86" s="82"/>
      <c r="M86" s="82"/>
      <c r="N86" s="74"/>
    </row>
    <row r="87" ht="30.0" hidden="1" customHeight="1">
      <c r="A87" s="68">
        <v>87.0</v>
      </c>
      <c r="B87" s="78"/>
      <c r="C87" s="78"/>
      <c r="D87" s="69" t="str">
        <f>CONCATENATE(PROPER('DASMA INFO'!$G87),", ",PROPER('DASMA INFO'!$E87)," ",PROPER('DASMA INFO'!$F87),"."," (",UPPER('DASMA INFO'!$H87),")")</f>
        <v>Aylen, Sekine . ()</v>
      </c>
      <c r="E87" s="70" t="s">
        <v>1063</v>
      </c>
      <c r="F87" s="75"/>
      <c r="G87" s="70" t="s">
        <v>1064</v>
      </c>
      <c r="H87" s="76"/>
      <c r="I87" s="92">
        <v>0.05</v>
      </c>
      <c r="J87" s="93">
        <v>1000.0</v>
      </c>
      <c r="K87" s="82"/>
      <c r="L87" s="82"/>
      <c r="M87" s="82"/>
      <c r="N87" s="74"/>
    </row>
    <row r="88" ht="30.0" hidden="1" customHeight="1">
      <c r="A88" s="68">
        <v>88.0</v>
      </c>
      <c r="B88" s="68"/>
      <c r="C88" s="68"/>
      <c r="D88" s="69" t="str">
        <f>CONCATENATE(PROPER('DASMA INFO'!$G88),", ",PROPER('DASMA INFO'!$E88)," ",PROPER('DASMA INFO'!$F88),"."," (",UPPER('DASMA INFO'!$H88),")")</f>
        <v>Capuno, Lucita C. ()</v>
      </c>
      <c r="E88" s="70" t="s">
        <v>421</v>
      </c>
      <c r="F88" s="70" t="s">
        <v>318</v>
      </c>
      <c r="G88" s="70" t="s">
        <v>1065</v>
      </c>
      <c r="H88" s="69"/>
      <c r="I88" s="92">
        <v>0.05</v>
      </c>
      <c r="J88" s="93">
        <v>1000.0</v>
      </c>
      <c r="K88" s="73" t="s">
        <v>1066</v>
      </c>
      <c r="L88" s="73"/>
      <c r="M88" s="73"/>
      <c r="N88" s="74"/>
    </row>
    <row r="89" ht="30.0" hidden="1" customHeight="1">
      <c r="A89" s="68">
        <v>89.0</v>
      </c>
      <c r="B89" s="68"/>
      <c r="C89" s="68"/>
      <c r="D89" s="69" t="str">
        <f>CONCATENATE(PROPER('DASMA INFO'!$G89),", ",PROPER('DASMA INFO'!$E89)," ",PROPER('DASMA INFO'!$F89),"."," (",UPPER('DASMA INFO'!$H89),")")</f>
        <v>De Torres, Zineth . ()</v>
      </c>
      <c r="E89" s="70" t="s">
        <v>1067</v>
      </c>
      <c r="F89" s="70"/>
      <c r="G89" s="70" t="s">
        <v>1068</v>
      </c>
      <c r="H89" s="69"/>
      <c r="I89" s="92">
        <v>0.05</v>
      </c>
      <c r="J89" s="93">
        <v>1000.0</v>
      </c>
      <c r="K89" s="73"/>
      <c r="L89" s="73"/>
      <c r="M89" s="73"/>
      <c r="N89" s="74"/>
    </row>
    <row r="90" ht="30.0" hidden="1" customHeight="1">
      <c r="A90" s="68">
        <v>90.0</v>
      </c>
      <c r="B90" s="68"/>
      <c r="C90" s="68"/>
      <c r="D90" s="69" t="str">
        <f>CONCATENATE(PROPER('DASMA INFO'!$G90),", ",PROPER('DASMA INFO'!$E90)," ",PROPER('DASMA INFO'!$F90),"."," (",UPPER('DASMA INFO'!$H90),")")</f>
        <v>Sapatua, Rea . ()</v>
      </c>
      <c r="E90" s="70" t="s">
        <v>1069</v>
      </c>
      <c r="F90" s="70"/>
      <c r="G90" s="70" t="s">
        <v>1070</v>
      </c>
      <c r="H90" s="69"/>
      <c r="I90" s="92">
        <v>0.05</v>
      </c>
      <c r="J90" s="93">
        <v>1000.0</v>
      </c>
      <c r="K90" s="73"/>
      <c r="L90" s="73"/>
      <c r="M90" s="73"/>
      <c r="N90" s="74"/>
    </row>
    <row r="91" ht="30.0" hidden="1" customHeight="1">
      <c r="A91" s="68">
        <v>91.0</v>
      </c>
      <c r="B91" s="68"/>
      <c r="C91" s="68"/>
      <c r="D91" s="69" t="str">
        <f>CONCATENATE(PROPER('DASMA INFO'!$G91),", ",PROPER('DASMA INFO'!$E91)," ",PROPER('DASMA INFO'!$F91),"."," (",UPPER('DASMA INFO'!$H91),")")</f>
        <v>Collins, Jane . ()</v>
      </c>
      <c r="E91" s="70" t="s">
        <v>1071</v>
      </c>
      <c r="F91" s="70"/>
      <c r="G91" s="70" t="s">
        <v>1072</v>
      </c>
      <c r="H91" s="69"/>
      <c r="I91" s="92">
        <v>0.05</v>
      </c>
      <c r="J91" s="93">
        <v>1000.0</v>
      </c>
      <c r="K91" s="73"/>
      <c r="L91" s="73"/>
      <c r="M91" s="73"/>
      <c r="N91" s="74"/>
    </row>
    <row r="92" ht="30.0" hidden="1" customHeight="1">
      <c r="A92" s="68">
        <v>92.0</v>
      </c>
      <c r="B92" s="68"/>
      <c r="C92" s="68"/>
      <c r="D92" s="69" t="str">
        <f>CONCATENATE(PROPER('DASMA INFO'!$G92),", ",PROPER('DASMA INFO'!$E92)," ",PROPER('DASMA INFO'!$F92),"."," (",UPPER('DASMA INFO'!$H92),")")</f>
        <v>Ocampo, Virgilio . ()</v>
      </c>
      <c r="E92" s="70" t="s">
        <v>1073</v>
      </c>
      <c r="F92" s="70"/>
      <c r="G92" s="70" t="s">
        <v>1074</v>
      </c>
      <c r="H92" s="69"/>
      <c r="I92" s="92">
        <v>0.05</v>
      </c>
      <c r="J92" s="93">
        <v>1000.0</v>
      </c>
      <c r="K92" s="73"/>
      <c r="L92" s="73"/>
      <c r="M92" s="73"/>
      <c r="N92" s="74"/>
    </row>
    <row r="93" ht="30.0" hidden="1" customHeight="1">
      <c r="A93" s="68">
        <v>93.0</v>
      </c>
      <c r="B93" s="68"/>
      <c r="C93" s="68"/>
      <c r="D93" s="69" t="str">
        <f>CONCATENATE(PROPER('DASMA INFO'!$G93),", ",PROPER('DASMA INFO'!$E93)," ",PROPER('DASMA INFO'!$F93),"."," (",UPPER('DASMA INFO'!$H93),")")</f>
        <v>Biso, Arlene  . ()</v>
      </c>
      <c r="E93" s="70" t="s">
        <v>1004</v>
      </c>
      <c r="F93" s="70"/>
      <c r="G93" s="70" t="s">
        <v>1075</v>
      </c>
      <c r="H93" s="69"/>
      <c r="I93" s="92">
        <v>0.05</v>
      </c>
      <c r="J93" s="93">
        <v>1000.0</v>
      </c>
      <c r="K93" s="73"/>
      <c r="L93" s="73"/>
      <c r="M93" s="73"/>
      <c r="N93" s="74"/>
    </row>
    <row r="94" ht="30.0" hidden="1" customHeight="1">
      <c r="A94" s="68">
        <v>94.0</v>
      </c>
      <c r="B94" s="68"/>
      <c r="C94" s="68"/>
      <c r="D94" s="69" t="str">
        <f>CONCATENATE(PROPER('DASMA INFO'!$G94),", ",PROPER('DASMA INFO'!$E94)," ",PROPER('DASMA INFO'!$F94),"."," (",UPPER('DASMA INFO'!$H94),")")</f>
        <v>Sta. Rosa, Ma. Chicky Lou . ()</v>
      </c>
      <c r="E94" s="70" t="s">
        <v>1076</v>
      </c>
      <c r="F94" s="70"/>
      <c r="G94" s="70" t="s">
        <v>1077</v>
      </c>
      <c r="H94" s="69"/>
      <c r="I94" s="92">
        <v>0.05</v>
      </c>
      <c r="J94" s="93">
        <v>1000.0</v>
      </c>
      <c r="K94" s="73"/>
      <c r="L94" s="73"/>
      <c r="M94" s="73"/>
      <c r="N94" s="74"/>
    </row>
    <row r="95" ht="30.0" hidden="1" customHeight="1">
      <c r="A95" s="68">
        <v>95.0</v>
      </c>
      <c r="B95" s="68"/>
      <c r="C95" s="68"/>
      <c r="D95" s="69" t="str">
        <f>CONCATENATE(PROPER('DASMA INFO'!$G95),", ",PROPER('DASMA INFO'!$E95)," ",PROPER('DASMA INFO'!$F95),"."," (",UPPER('DASMA INFO'!$H95),")")</f>
        <v>Borja, Armando D. ()</v>
      </c>
      <c r="E95" s="70" t="s">
        <v>174</v>
      </c>
      <c r="F95" s="70" t="s">
        <v>1078</v>
      </c>
      <c r="G95" s="70" t="s">
        <v>1079</v>
      </c>
      <c r="H95" s="69"/>
      <c r="I95" s="92">
        <v>0.05</v>
      </c>
      <c r="J95" s="93">
        <v>1000.0</v>
      </c>
      <c r="K95" s="73"/>
      <c r="L95" s="73"/>
      <c r="M95" s="73"/>
      <c r="N95" s="74"/>
    </row>
    <row r="96" ht="30.0" hidden="1" customHeight="1">
      <c r="A96" s="68">
        <v>96.0</v>
      </c>
      <c r="B96" s="68"/>
      <c r="C96" s="68"/>
      <c r="D96" s="69" t="str">
        <f>CONCATENATE(PROPER('DASMA INFO'!$G96),", ",PROPER('DASMA INFO'!$E96)," ",PROPER('DASMA INFO'!$F96),"."," (",UPPER('DASMA INFO'!$H96),")")</f>
        <v>Lesagis, Ruth S. ()</v>
      </c>
      <c r="E96" s="70" t="s">
        <v>1080</v>
      </c>
      <c r="F96" s="70" t="s">
        <v>342</v>
      </c>
      <c r="G96" s="70" t="s">
        <v>1081</v>
      </c>
      <c r="H96" s="69"/>
      <c r="I96" s="92">
        <v>0.05</v>
      </c>
      <c r="J96" s="93">
        <v>1000.0</v>
      </c>
      <c r="K96" s="73" t="s">
        <v>1082</v>
      </c>
      <c r="L96" s="73"/>
      <c r="M96" s="73"/>
      <c r="N96" s="74"/>
    </row>
    <row r="97" ht="30.0" hidden="1" customHeight="1">
      <c r="A97" s="68">
        <v>97.0</v>
      </c>
      <c r="B97" s="68"/>
      <c r="C97" s="68"/>
      <c r="D97" s="69" t="str">
        <f>CONCATENATE(PROPER('DASMA INFO'!$G97),", ",PROPER('DASMA INFO'!$E97)," ",PROPER('DASMA INFO'!$F97),"."," (",UPPER('DASMA INFO'!$H97),")")</f>
        <v>Carreon, Ian Carlo . ()</v>
      </c>
      <c r="E97" s="70" t="s">
        <v>1083</v>
      </c>
      <c r="F97" s="70"/>
      <c r="G97" s="70" t="s">
        <v>1084</v>
      </c>
      <c r="H97" s="69"/>
      <c r="I97" s="92">
        <v>0.05</v>
      </c>
      <c r="J97" s="93">
        <v>1000.0</v>
      </c>
      <c r="K97" s="73"/>
      <c r="L97" s="73"/>
      <c r="M97" s="73"/>
      <c r="N97" s="74"/>
    </row>
    <row r="98" ht="30.0" hidden="1" customHeight="1">
      <c r="A98" s="68">
        <v>98.0</v>
      </c>
      <c r="B98" s="68"/>
      <c r="C98" s="68"/>
      <c r="D98" s="69" t="str">
        <f>CONCATENATE(PROPER('DASMA INFO'!$G98),", ",PROPER('DASMA INFO'!$E98)," ",PROPER('DASMA INFO'!$F98),"."," (",UPPER('DASMA INFO'!$H98),")")</f>
        <v>Dela Cruz, Cristy . ()</v>
      </c>
      <c r="E98" s="70" t="s">
        <v>1085</v>
      </c>
      <c r="F98" s="70"/>
      <c r="G98" s="70" t="s">
        <v>636</v>
      </c>
      <c r="H98" s="69"/>
      <c r="I98" s="92">
        <v>0.05</v>
      </c>
      <c r="J98" s="93">
        <v>1000.0</v>
      </c>
      <c r="K98" s="73"/>
      <c r="L98" s="73"/>
      <c r="M98" s="73"/>
      <c r="N98" s="74"/>
    </row>
    <row r="99" ht="30.0" hidden="1" customHeight="1">
      <c r="A99" s="68">
        <v>99.0</v>
      </c>
      <c r="B99" s="68"/>
      <c r="C99" s="68"/>
      <c r="D99" s="69" t="str">
        <f>CONCATENATE(PROPER('DASMA INFO'!$G99),", ",PROPER('DASMA INFO'!$E99)," ",PROPER('DASMA INFO'!$F99),"."," (",UPPER('DASMA INFO'!$H99),")")</f>
        <v>Dahe, Joemar . ()</v>
      </c>
      <c r="E99" s="70" t="s">
        <v>1086</v>
      </c>
      <c r="F99" s="70"/>
      <c r="G99" s="70" t="s">
        <v>1087</v>
      </c>
      <c r="H99" s="69"/>
      <c r="I99" s="92">
        <v>0.05</v>
      </c>
      <c r="J99" s="93">
        <v>1000.0</v>
      </c>
      <c r="K99" s="73"/>
      <c r="L99" s="73"/>
      <c r="M99" s="73"/>
      <c r="N99" s="74"/>
    </row>
    <row r="100" ht="30.0" hidden="1" customHeight="1">
      <c r="A100" s="68">
        <v>100.0</v>
      </c>
      <c r="B100" s="68"/>
      <c r="C100" s="68"/>
      <c r="D100" s="69" t="str">
        <f>CONCATENATE(PROPER('DASMA INFO'!$G100),", ",PROPER('DASMA INFO'!$E100)," ",PROPER('DASMA INFO'!$F100),"."," (",UPPER('DASMA INFO'!$H100),")")</f>
        <v>Delo Santos, Tito . ()</v>
      </c>
      <c r="E100" s="70" t="s">
        <v>1088</v>
      </c>
      <c r="F100" s="70"/>
      <c r="G100" s="70" t="s">
        <v>1089</v>
      </c>
      <c r="H100" s="69"/>
      <c r="I100" s="92">
        <v>0.05</v>
      </c>
      <c r="J100" s="93">
        <v>2000.0</v>
      </c>
      <c r="K100" s="73"/>
      <c r="L100" s="73"/>
      <c r="M100" s="73"/>
      <c r="N100" s="74"/>
    </row>
    <row r="101" ht="30.0" hidden="1" customHeight="1">
      <c r="A101" s="68">
        <v>101.0</v>
      </c>
      <c r="B101" s="68"/>
      <c r="C101" s="68"/>
      <c r="D101" s="69" t="str">
        <f>CONCATENATE(PROPER('DASMA INFO'!$G101),", ",PROPER('DASMA INFO'!$E101)," ",PROPER('DASMA INFO'!$F101),"."," (",UPPER('DASMA INFO'!$H101),")")</f>
        <v>Arino, Chenee . ()</v>
      </c>
      <c r="E101" s="70" t="s">
        <v>1090</v>
      </c>
      <c r="F101" s="70"/>
      <c r="G101" s="70" t="s">
        <v>1091</v>
      </c>
      <c r="H101" s="69"/>
      <c r="I101" s="92">
        <v>0.05</v>
      </c>
      <c r="J101" s="93">
        <v>1000.0</v>
      </c>
      <c r="K101" s="73"/>
      <c r="L101" s="73"/>
      <c r="M101" s="73"/>
      <c r="N101" s="74"/>
    </row>
    <row r="102" ht="30.0" hidden="1" customHeight="1">
      <c r="A102" s="68">
        <v>102.0</v>
      </c>
      <c r="B102" s="68"/>
      <c r="C102" s="68"/>
      <c r="D102" s="69" t="str">
        <f>CONCATENATE(PROPER('DASMA INFO'!$G102),", ",PROPER('DASMA INFO'!$E102)," ",PROPER('DASMA INFO'!$F102),"."," (",UPPER('DASMA INFO'!$H102),")")</f>
        <v>Larosa, Len . ()</v>
      </c>
      <c r="E102" s="70" t="s">
        <v>1092</v>
      </c>
      <c r="F102" s="70"/>
      <c r="G102" s="70" t="s">
        <v>1093</v>
      </c>
      <c r="H102" s="69"/>
      <c r="I102" s="92">
        <v>0.05</v>
      </c>
      <c r="J102" s="93">
        <v>1000.0</v>
      </c>
      <c r="K102" s="73"/>
      <c r="L102" s="73"/>
      <c r="M102" s="73"/>
      <c r="N102" s="74"/>
    </row>
    <row r="103" ht="30.0" hidden="1" customHeight="1">
      <c r="A103" s="68">
        <v>103.0</v>
      </c>
      <c r="B103" s="68"/>
      <c r="C103" s="68"/>
      <c r="D103" s="69" t="str">
        <f>CONCATENATE(PROPER('DASMA INFO'!$G103),", ",PROPER('DASMA INFO'!$E103)," ",PROPER('DASMA INFO'!$F103),"."," (",UPPER('DASMA INFO'!$H103),")")</f>
        <v>Vasquez, Myrna . ()</v>
      </c>
      <c r="E103" s="70" t="s">
        <v>586</v>
      </c>
      <c r="F103" s="70"/>
      <c r="G103" s="69" t="s">
        <v>1094</v>
      </c>
      <c r="H103" s="69"/>
      <c r="I103" s="92">
        <v>0.05</v>
      </c>
      <c r="J103" s="93">
        <v>1000.0</v>
      </c>
      <c r="K103" s="73"/>
      <c r="L103" s="73"/>
      <c r="M103" s="73"/>
      <c r="N103" s="74"/>
    </row>
    <row r="104" ht="30.0" hidden="1" customHeight="1">
      <c r="A104" s="68">
        <v>104.0</v>
      </c>
      <c r="B104" s="68"/>
      <c r="C104" s="68"/>
      <c r="D104" s="69" t="str">
        <f>CONCATENATE(PROPER('DASMA INFO'!$G104),", ",PROPER('DASMA INFO'!$E104)," ",PROPER('DASMA INFO'!$F104),"."," (",UPPER('DASMA INFO'!$H104),")")</f>
        <v>Aguilar, Cesar . ()</v>
      </c>
      <c r="E104" s="70" t="s">
        <v>692</v>
      </c>
      <c r="F104" s="70"/>
      <c r="G104" s="69" t="s">
        <v>287</v>
      </c>
      <c r="H104" s="69"/>
      <c r="I104" s="92">
        <v>0.05</v>
      </c>
      <c r="J104" s="93">
        <v>1000.0</v>
      </c>
      <c r="K104" s="73"/>
      <c r="L104" s="73"/>
      <c r="M104" s="73"/>
      <c r="N104" s="74"/>
    </row>
    <row r="105" ht="30.0" hidden="1" customHeight="1">
      <c r="A105" s="68">
        <v>105.0</v>
      </c>
      <c r="B105" s="68"/>
      <c r="C105" s="68"/>
      <c r="D105" s="69" t="str">
        <f>CONCATENATE(PROPER('DASMA INFO'!$G105),", ",PROPER('DASMA INFO'!$E105)," ",PROPER('DASMA INFO'!$F105),"."," (",UPPER('DASMA INFO'!$H105),")")</f>
        <v>Aguilar, Nlia . ()</v>
      </c>
      <c r="E105" s="70" t="s">
        <v>1095</v>
      </c>
      <c r="F105" s="70"/>
      <c r="G105" s="69" t="s">
        <v>287</v>
      </c>
      <c r="H105" s="69"/>
      <c r="I105" s="92">
        <v>0.05</v>
      </c>
      <c r="J105" s="93">
        <v>1000.0</v>
      </c>
      <c r="K105" s="73"/>
      <c r="L105" s="73"/>
      <c r="M105" s="73"/>
      <c r="N105" s="74"/>
    </row>
    <row r="106" ht="30.0" hidden="1" customHeight="1">
      <c r="A106" s="68">
        <v>106.0</v>
      </c>
      <c r="B106" s="68"/>
      <c r="C106" s="68"/>
      <c r="D106" s="69" t="str">
        <f>CONCATENATE(PROPER('DASMA INFO'!$G106),", ",PROPER('DASMA INFO'!$E106)," ",PROPER('DASMA INFO'!$F106),"."," (",UPPER('DASMA INFO'!$H106),")")</f>
        <v>Vagado, Marisa . ()</v>
      </c>
      <c r="E106" s="70" t="s">
        <v>1096</v>
      </c>
      <c r="F106" s="70"/>
      <c r="G106" s="69" t="s">
        <v>1097</v>
      </c>
      <c r="H106" s="69"/>
      <c r="I106" s="92">
        <v>0.05</v>
      </c>
      <c r="J106" s="93">
        <v>1000.0</v>
      </c>
      <c r="K106" s="73"/>
      <c r="L106" s="73"/>
      <c r="M106" s="73"/>
      <c r="N106" s="74"/>
    </row>
    <row r="107" ht="30.0" hidden="1" customHeight="1">
      <c r="A107" s="68">
        <v>107.0</v>
      </c>
      <c r="B107" s="68"/>
      <c r="C107" s="68"/>
      <c r="D107" s="69" t="str">
        <f>CONCATENATE(PROPER('DASMA INFO'!$G107),", ",PROPER('DASMA INFO'!$E107)," ",PROPER('DASMA INFO'!$F107),"."," (",UPPER('DASMA INFO'!$H107),")")</f>
        <v>Barmo, Melly . ()</v>
      </c>
      <c r="E107" s="70" t="s">
        <v>1098</v>
      </c>
      <c r="F107" s="70"/>
      <c r="G107" s="69" t="s">
        <v>1099</v>
      </c>
      <c r="H107" s="69"/>
      <c r="I107" s="92">
        <v>0.05</v>
      </c>
      <c r="J107" s="93">
        <v>1000.0</v>
      </c>
      <c r="K107" s="73"/>
      <c r="L107" s="73"/>
      <c r="M107" s="73"/>
      <c r="N107" s="74"/>
    </row>
    <row r="108" ht="30.0" hidden="1" customHeight="1">
      <c r="A108" s="68">
        <v>108.0</v>
      </c>
      <c r="B108" s="68"/>
      <c r="C108" s="68"/>
      <c r="D108" s="69" t="str">
        <f>CONCATENATE(PROPER('DASMA INFO'!$G108),", ",PROPER('DASMA INFO'!$E108)," ",PROPER('DASMA INFO'!$F108),"."," (",UPPER('DASMA INFO'!$H108),")")</f>
        <v>Borja, Honey Lyn C. ()</v>
      </c>
      <c r="E108" s="70" t="s">
        <v>1100</v>
      </c>
      <c r="F108" s="70" t="s">
        <v>318</v>
      </c>
      <c r="G108" s="70" t="s">
        <v>1079</v>
      </c>
      <c r="H108" s="70"/>
      <c r="I108" s="92">
        <v>0.05</v>
      </c>
      <c r="J108" s="93">
        <v>1000.0</v>
      </c>
      <c r="K108" s="73"/>
      <c r="L108" s="73"/>
      <c r="M108" s="73"/>
      <c r="N108" s="74"/>
    </row>
    <row r="109" ht="30.0" hidden="1" customHeight="1">
      <c r="A109" s="68">
        <v>109.0</v>
      </c>
      <c r="B109" s="68"/>
      <c r="C109" s="68"/>
      <c r="D109" s="69" t="str">
        <f>CONCATENATE(PROPER('DASMA INFO'!$G109),", ",PROPER('DASMA INFO'!$E109)," ",PROPER('DASMA INFO'!$F109),"."," (",UPPER('DASMA INFO'!$H109),")")</f>
        <v>Fesalbon, Christopher C. ()</v>
      </c>
      <c r="E109" s="70" t="s">
        <v>1101</v>
      </c>
      <c r="F109" s="70" t="s">
        <v>318</v>
      </c>
      <c r="G109" s="70" t="s">
        <v>1102</v>
      </c>
      <c r="H109" s="69"/>
      <c r="I109" s="92">
        <v>0.05</v>
      </c>
      <c r="J109" s="93">
        <v>1000.0</v>
      </c>
      <c r="K109" s="73"/>
      <c r="L109" s="73"/>
      <c r="M109" s="73"/>
      <c r="N109" s="74"/>
    </row>
    <row r="110" ht="30.0" hidden="1" customHeight="1">
      <c r="A110" s="68">
        <v>110.0</v>
      </c>
      <c r="B110" s="68"/>
      <c r="C110" s="68"/>
      <c r="D110" s="69" t="str">
        <f>CONCATENATE(PROPER('DASMA INFO'!$G110),", ",PROPER('DASMA INFO'!$E110)," ",PROPER('DASMA INFO'!$F110),"."," (",UPPER('DASMA INFO'!$H110),")")</f>
        <v>Defante, Gina . ()</v>
      </c>
      <c r="E110" s="70" t="s">
        <v>1103</v>
      </c>
      <c r="F110" s="70"/>
      <c r="G110" s="70" t="s">
        <v>1104</v>
      </c>
      <c r="H110" s="69"/>
      <c r="I110" s="92">
        <v>0.05</v>
      </c>
      <c r="J110" s="93">
        <v>1000.0</v>
      </c>
      <c r="K110" s="73"/>
      <c r="L110" s="73"/>
      <c r="M110" s="73"/>
      <c r="N110" s="74"/>
    </row>
    <row r="111" ht="30.0" hidden="1" customHeight="1">
      <c r="A111" s="68">
        <v>111.0</v>
      </c>
      <c r="B111" s="68"/>
      <c r="C111" s="68"/>
      <c r="D111" s="69" t="str">
        <f>CONCATENATE(PROPER('DASMA INFO'!$G111),", ",PROPER('DASMA INFO'!$E111)," ",PROPER('DASMA INFO'!$F111),"."," (",UPPER('DASMA INFO'!$H111),")")</f>
        <v>Oma, Cesar . ()</v>
      </c>
      <c r="E111" s="70" t="s">
        <v>692</v>
      </c>
      <c r="F111" s="70"/>
      <c r="G111" s="70" t="s">
        <v>1105</v>
      </c>
      <c r="H111" s="69"/>
      <c r="I111" s="92">
        <v>0.05</v>
      </c>
      <c r="J111" s="93">
        <v>1000.0</v>
      </c>
      <c r="K111" s="73"/>
      <c r="L111" s="73"/>
      <c r="M111" s="73"/>
      <c r="N111" s="74"/>
    </row>
    <row r="112" ht="30.0" hidden="1" customHeight="1">
      <c r="A112" s="68">
        <v>112.0</v>
      </c>
      <c r="B112" s="68"/>
      <c r="C112" s="68"/>
      <c r="D112" s="69" t="str">
        <f>CONCATENATE(PROPER('DASMA INFO'!$G112),", ",PROPER('DASMA INFO'!$E112)," ",PROPER('DASMA INFO'!$F112),"."," (",UPPER('DASMA INFO'!$H112),")")</f>
        <v>Trinidad, Malou . ()</v>
      </c>
      <c r="E112" s="70" t="s">
        <v>1106</v>
      </c>
      <c r="F112" s="70"/>
      <c r="G112" s="70" t="s">
        <v>1107</v>
      </c>
      <c r="H112" s="69"/>
      <c r="I112" s="92">
        <v>0.05</v>
      </c>
      <c r="J112" s="93">
        <v>1000.0</v>
      </c>
      <c r="K112" s="73"/>
      <c r="L112" s="73"/>
      <c r="M112" s="73"/>
      <c r="N112" s="74"/>
    </row>
    <row r="113" ht="30.0" hidden="1" customHeight="1">
      <c r="A113" s="68">
        <v>113.0</v>
      </c>
      <c r="B113" s="68"/>
      <c r="C113" s="68"/>
      <c r="D113" s="69" t="str">
        <f>CONCATENATE(PROPER('DASMA INFO'!$G113),", ",PROPER('DASMA INFO'!$E113)," ",PROPER('DASMA INFO'!$F113),"."," (",UPPER('DASMA INFO'!$H113),")")</f>
        <v>Hernandez, Leah . ()</v>
      </c>
      <c r="E113" s="70" t="s">
        <v>1108</v>
      </c>
      <c r="F113" s="70"/>
      <c r="G113" s="70" t="s">
        <v>635</v>
      </c>
      <c r="H113" s="69"/>
      <c r="I113" s="92">
        <v>0.05</v>
      </c>
      <c r="J113" s="93">
        <v>1000.0</v>
      </c>
      <c r="K113" s="73"/>
      <c r="L113" s="73"/>
      <c r="M113" s="73"/>
      <c r="N113" s="74"/>
    </row>
    <row r="114" ht="30.0" hidden="1" customHeight="1">
      <c r="A114" s="68">
        <v>114.0</v>
      </c>
      <c r="B114" s="68"/>
      <c r="C114" s="68"/>
      <c r="D114" s="69" t="str">
        <f>CONCATENATE(PROPER('DASMA INFO'!$G114),", ",PROPER('DASMA INFO'!$E114)," ",PROPER('DASMA INFO'!$F114),"."," (",UPPER('DASMA INFO'!$H114),")")</f>
        <v>Catingco, Orlando . ()</v>
      </c>
      <c r="E114" s="70" t="s">
        <v>68</v>
      </c>
      <c r="F114" s="70"/>
      <c r="G114" s="70" t="s">
        <v>1109</v>
      </c>
      <c r="H114" s="69"/>
      <c r="I114" s="92">
        <v>0.05</v>
      </c>
      <c r="J114" s="93">
        <v>1000.0</v>
      </c>
      <c r="K114" s="73"/>
      <c r="L114" s="73"/>
      <c r="M114" s="73"/>
      <c r="N114" s="74"/>
    </row>
    <row r="115" ht="30.0" hidden="1" customHeight="1">
      <c r="A115" s="68">
        <v>115.0</v>
      </c>
      <c r="B115" s="68"/>
      <c r="C115" s="68"/>
      <c r="D115" s="69" t="str">
        <f>CONCATENATE(PROPER('DASMA INFO'!$G115),", ",PROPER('DASMA INFO'!$E115)," ",PROPER('DASMA INFO'!$F115),"."," (",UPPER('DASMA INFO'!$H115),")")</f>
        <v>Zubiaga, Salvacion . ()</v>
      </c>
      <c r="E115" s="70" t="s">
        <v>1110</v>
      </c>
      <c r="F115" s="70"/>
      <c r="G115" s="70" t="s">
        <v>1111</v>
      </c>
      <c r="H115" s="69"/>
      <c r="I115" s="92">
        <v>0.05</v>
      </c>
      <c r="J115" s="93">
        <v>1000.0</v>
      </c>
      <c r="K115" s="73"/>
      <c r="L115" s="73"/>
      <c r="M115" s="73"/>
      <c r="N115" s="74"/>
    </row>
    <row r="116" ht="30.0" hidden="1" customHeight="1">
      <c r="A116" s="68">
        <v>116.0</v>
      </c>
      <c r="B116" s="68"/>
      <c r="C116" s="68"/>
      <c r="D116" s="69" t="str">
        <f>CONCATENATE(PROPER('DASMA INFO'!$G116),", ",PROPER('DASMA INFO'!$E116)," ",PROPER('DASMA INFO'!$F116),"."," (",UPPER('DASMA INFO'!$H116),")")</f>
        <v>Albus, Ma. Milagros . ()</v>
      </c>
      <c r="E116" s="70" t="s">
        <v>1112</v>
      </c>
      <c r="F116" s="70"/>
      <c r="G116" s="70" t="s">
        <v>1113</v>
      </c>
      <c r="H116" s="69"/>
      <c r="I116" s="92">
        <v>0.05</v>
      </c>
      <c r="J116" s="93">
        <v>1000.0</v>
      </c>
      <c r="K116" s="73"/>
      <c r="L116" s="73"/>
      <c r="M116" s="73"/>
      <c r="N116" s="74"/>
    </row>
    <row r="117" ht="30.0" hidden="1" customHeight="1">
      <c r="A117" s="68">
        <v>117.0</v>
      </c>
      <c r="B117" s="68"/>
      <c r="C117" s="68"/>
      <c r="D117" s="69" t="str">
        <f>CONCATENATE(PROPER('DASMA INFO'!$G117),", ",PROPER('DASMA INFO'!$E117)," ",PROPER('DASMA INFO'!$F117),"."," (",UPPER('DASMA INFO'!$H117),")")</f>
        <v>Sto. Domingo, Janice . ()</v>
      </c>
      <c r="E117" s="70" t="s">
        <v>887</v>
      </c>
      <c r="F117" s="70"/>
      <c r="G117" s="70" t="s">
        <v>1114</v>
      </c>
      <c r="H117" s="69"/>
      <c r="I117" s="92">
        <v>0.05</v>
      </c>
      <c r="J117" s="93">
        <v>1000.0</v>
      </c>
      <c r="K117" s="73"/>
      <c r="L117" s="73"/>
      <c r="M117" s="73"/>
      <c r="N117" s="74"/>
    </row>
    <row r="118" ht="30.0" hidden="1" customHeight="1">
      <c r="A118" s="68">
        <v>118.0</v>
      </c>
      <c r="B118" s="68"/>
      <c r="C118" s="68"/>
      <c r="D118" s="69" t="str">
        <f>CONCATENATE(PROPER('DASMA INFO'!$G118),", ",PROPER('DASMA INFO'!$E118)," ",PROPER('DASMA INFO'!$F118),"."," (",UPPER('DASMA INFO'!$H118),")")</f>
        <v>Trajanco, Joy-Ann . ()</v>
      </c>
      <c r="E118" s="70" t="s">
        <v>1115</v>
      </c>
      <c r="F118" s="70"/>
      <c r="G118" s="70" t="s">
        <v>1116</v>
      </c>
      <c r="H118" s="69"/>
      <c r="I118" s="92">
        <v>0.05</v>
      </c>
      <c r="J118" s="93">
        <v>1000.0</v>
      </c>
      <c r="K118" s="73"/>
      <c r="L118" s="73"/>
      <c r="M118" s="73"/>
      <c r="N118" s="74"/>
    </row>
    <row r="119" ht="30.0" hidden="1" customHeight="1">
      <c r="A119" s="68">
        <v>119.0</v>
      </c>
      <c r="B119" s="68"/>
      <c r="C119" s="68"/>
      <c r="D119" s="69" t="str">
        <f>CONCATENATE(PROPER('DASMA INFO'!$G119),", ",PROPER('DASMA INFO'!$E119)," ",PROPER('DASMA INFO'!$F119),"."," (",UPPER('DASMA INFO'!$H119),")")</f>
        <v>Villanueva, Emaly . ()</v>
      </c>
      <c r="E119" s="70" t="s">
        <v>1117</v>
      </c>
      <c r="F119" s="70"/>
      <c r="G119" s="70" t="s">
        <v>454</v>
      </c>
      <c r="H119" s="69"/>
      <c r="I119" s="92">
        <v>0.05</v>
      </c>
      <c r="J119" s="93">
        <v>1000.0</v>
      </c>
      <c r="K119" s="73"/>
      <c r="L119" s="73"/>
      <c r="M119" s="73"/>
      <c r="N119" s="74"/>
    </row>
    <row r="120" ht="30.0" hidden="1" customHeight="1">
      <c r="A120" s="68">
        <v>120.0</v>
      </c>
      <c r="B120" s="68"/>
      <c r="C120" s="68"/>
      <c r="D120" s="69" t="str">
        <f>CONCATENATE(PROPER('DASMA INFO'!$G120),", ",PROPER('DASMA INFO'!$E120)," ",PROPER('DASMA INFO'!$F120),"."," (",UPPER('DASMA INFO'!$H120),")")</f>
        <v>Calisin, Elorde . ()</v>
      </c>
      <c r="E120" s="70" t="s">
        <v>1118</v>
      </c>
      <c r="F120" s="70"/>
      <c r="G120" s="70" t="s">
        <v>1119</v>
      </c>
      <c r="H120" s="69"/>
      <c r="I120" s="92">
        <v>0.05</v>
      </c>
      <c r="J120" s="93">
        <v>1000.0</v>
      </c>
      <c r="K120" s="73"/>
      <c r="L120" s="73"/>
      <c r="M120" s="73"/>
      <c r="N120" s="74"/>
    </row>
    <row r="121" ht="30.0" hidden="1" customHeight="1">
      <c r="A121" s="68">
        <v>121.0</v>
      </c>
      <c r="B121" s="68"/>
      <c r="C121" s="68"/>
      <c r="D121" s="69" t="str">
        <f>CONCATENATE(PROPER('DASMA INFO'!$G121),", ",PROPER('DASMA INFO'!$E121)," ",PROPER('DASMA INFO'!$F121),"."," (",UPPER('DASMA INFO'!$H121),")")</f>
        <v>Panganiban, Reynaldo . ()</v>
      </c>
      <c r="E121" s="70" t="s">
        <v>1028</v>
      </c>
      <c r="F121" s="70"/>
      <c r="G121" s="70" t="s">
        <v>918</v>
      </c>
      <c r="H121" s="69"/>
      <c r="I121" s="92">
        <v>0.05</v>
      </c>
      <c r="J121" s="93">
        <v>1000.0</v>
      </c>
      <c r="K121" s="73"/>
      <c r="L121" s="73"/>
      <c r="M121" s="73"/>
      <c r="N121" s="74"/>
    </row>
    <row r="122" ht="30.0" hidden="1" customHeight="1">
      <c r="A122" s="68">
        <v>122.0</v>
      </c>
      <c r="B122" s="68"/>
      <c r="C122" s="68"/>
      <c r="D122" s="69" t="str">
        <f>CONCATENATE(PROPER('DASMA INFO'!$G122),", ",PROPER('DASMA INFO'!$E122)," ",PROPER('DASMA INFO'!$F122),"."," (",UPPER('DASMA INFO'!$H122),")")</f>
        <v>Bautista, Sherman . ()</v>
      </c>
      <c r="E122" s="70" t="s">
        <v>1120</v>
      </c>
      <c r="F122" s="70"/>
      <c r="G122" s="70" t="s">
        <v>275</v>
      </c>
      <c r="H122" s="69"/>
      <c r="I122" s="92">
        <v>0.05</v>
      </c>
      <c r="J122" s="93">
        <v>1000.0</v>
      </c>
      <c r="K122" s="73"/>
      <c r="L122" s="73"/>
      <c r="M122" s="73"/>
      <c r="N122" s="74"/>
    </row>
    <row r="123" ht="30.0" hidden="1" customHeight="1">
      <c r="A123" s="68">
        <v>123.0</v>
      </c>
      <c r="B123" s="68"/>
      <c r="C123" s="68"/>
      <c r="D123" s="69" t="str">
        <f>CONCATENATE(PROPER('DASMA INFO'!$G123),", ",PROPER('DASMA INFO'!$E123)," ",PROPER('DASMA INFO'!$F123),"."," (",UPPER('DASMA INFO'!$H123),")")</f>
        <v>Bunao, Elijah . ()</v>
      </c>
      <c r="E123" s="70" t="s">
        <v>1121</v>
      </c>
      <c r="F123" s="70"/>
      <c r="G123" s="70" t="s">
        <v>1122</v>
      </c>
      <c r="H123" s="69"/>
      <c r="I123" s="92">
        <v>0.05</v>
      </c>
      <c r="J123" s="93">
        <v>1000.0</v>
      </c>
      <c r="K123" s="73"/>
      <c r="L123" s="73"/>
      <c r="M123" s="73"/>
      <c r="N123" s="74"/>
    </row>
    <row r="124" ht="30.0" hidden="1" customHeight="1">
      <c r="A124" s="68">
        <v>124.0</v>
      </c>
      <c r="B124" s="68"/>
      <c r="C124" s="68"/>
      <c r="D124" s="69" t="str">
        <f>CONCATENATE(PROPER('DASMA INFO'!$G124),", ",PROPER('DASMA INFO'!$E124)," ",PROPER('DASMA INFO'!$F124),"."," (",UPPER('DASMA INFO'!$H124),")")</f>
        <v>Royla, Rex . ()</v>
      </c>
      <c r="E124" s="70" t="s">
        <v>1123</v>
      </c>
      <c r="F124" s="70"/>
      <c r="G124" s="70" t="s">
        <v>1124</v>
      </c>
      <c r="H124" s="69"/>
      <c r="I124" s="92">
        <v>0.05</v>
      </c>
      <c r="J124" s="93">
        <v>1000.0</v>
      </c>
      <c r="K124" s="73"/>
      <c r="L124" s="73"/>
      <c r="M124" s="73"/>
      <c r="N124" s="74"/>
    </row>
    <row r="125" ht="30.0" hidden="1" customHeight="1">
      <c r="A125" s="68">
        <v>125.0</v>
      </c>
      <c r="B125" s="68"/>
      <c r="C125" s="68"/>
      <c r="D125" s="69" t="str">
        <f>CONCATENATE(PROPER('DASMA INFO'!$G125),", ",PROPER('DASMA INFO'!$E125)," ",PROPER('DASMA INFO'!$F125),"."," (",UPPER('DASMA INFO'!$H125),")")</f>
        <v>Sarria, Alona . ()</v>
      </c>
      <c r="E125" s="70" t="s">
        <v>1125</v>
      </c>
      <c r="F125" s="70"/>
      <c r="G125" s="70" t="s">
        <v>1126</v>
      </c>
      <c r="H125" s="69"/>
      <c r="I125" s="92">
        <v>0.05</v>
      </c>
      <c r="J125" s="93">
        <v>1000.0</v>
      </c>
      <c r="K125" s="73"/>
      <c r="L125" s="73"/>
      <c r="M125" s="73"/>
      <c r="N125" s="74"/>
    </row>
    <row r="126" ht="30.0" hidden="1" customHeight="1">
      <c r="A126" s="68">
        <v>126.0</v>
      </c>
      <c r="B126" s="68"/>
      <c r="C126" s="68"/>
      <c r="D126" s="69" t="str">
        <f>CONCATENATE(PROPER('DASMA INFO'!$G126),", ",PROPER('DASMA INFO'!$E126)," ",PROPER('DASMA INFO'!$F126),"."," (",UPPER('DASMA INFO'!$H126),")")</f>
        <v>Pannzek, Analie T. ()</v>
      </c>
      <c r="E126" s="70" t="s">
        <v>1127</v>
      </c>
      <c r="F126" s="70" t="s">
        <v>752</v>
      </c>
      <c r="G126" s="70" t="s">
        <v>1128</v>
      </c>
      <c r="H126" s="69"/>
      <c r="I126" s="92">
        <v>0.05</v>
      </c>
      <c r="J126" s="93">
        <v>1000.0</v>
      </c>
      <c r="K126" s="73"/>
      <c r="L126" s="73"/>
      <c r="M126" s="73"/>
      <c r="N126" s="74"/>
    </row>
    <row r="127" ht="30.0" hidden="1" customHeight="1">
      <c r="A127" s="68">
        <v>127.0</v>
      </c>
      <c r="B127" s="68"/>
      <c r="C127" s="68"/>
      <c r="D127" s="69" t="str">
        <f>CONCATENATE(PROPER('DASMA INFO'!$G127),", ",PROPER('DASMA INFO'!$E127)," ",PROPER('DASMA INFO'!$F127),"."," (",UPPER('DASMA INFO'!$H127),")")</f>
        <v>Panagsagan, Elsie B. ()</v>
      </c>
      <c r="E127" s="70" t="s">
        <v>1129</v>
      </c>
      <c r="F127" s="70" t="s">
        <v>627</v>
      </c>
      <c r="G127" s="70" t="s">
        <v>1130</v>
      </c>
      <c r="H127" s="69"/>
      <c r="I127" s="92">
        <v>0.05</v>
      </c>
      <c r="J127" s="93">
        <v>1000.0</v>
      </c>
      <c r="K127" s="73" t="s">
        <v>1131</v>
      </c>
      <c r="L127" s="73"/>
      <c r="M127" s="73"/>
      <c r="N127" s="74"/>
    </row>
    <row r="128" ht="30.0" hidden="1" customHeight="1">
      <c r="A128" s="68">
        <v>128.0</v>
      </c>
      <c r="B128" s="68"/>
      <c r="C128" s="68"/>
      <c r="D128" s="69" t="str">
        <f>CONCATENATE(PROPER('DASMA INFO'!$G128),", ",PROPER('DASMA INFO'!$E128)," ",PROPER('DASMA INFO'!$F128),"."," (",UPPER('DASMA INFO'!$H128),")")</f>
        <v>Trampe, Jeffsy . ()</v>
      </c>
      <c r="E128" s="70" t="s">
        <v>1132</v>
      </c>
      <c r="F128" s="70"/>
      <c r="G128" s="70" t="s">
        <v>1133</v>
      </c>
      <c r="H128" s="69"/>
      <c r="I128" s="92">
        <v>0.05</v>
      </c>
      <c r="J128" s="93">
        <v>1000.0</v>
      </c>
      <c r="K128" s="73"/>
      <c r="L128" s="73"/>
      <c r="M128" s="73"/>
      <c r="N128" s="74"/>
    </row>
    <row r="129" ht="30.0" hidden="1" customHeight="1">
      <c r="A129" s="68">
        <v>129.0</v>
      </c>
      <c r="B129" s="68"/>
      <c r="C129" s="68"/>
      <c r="D129" s="69" t="str">
        <f>CONCATENATE(PROPER('DASMA INFO'!$G129),", ",PROPER('DASMA INFO'!$E129)," ",PROPER('DASMA INFO'!$F129),"."," (",UPPER('DASMA INFO'!$H129),")")</f>
        <v>Bais, Aileen . ()</v>
      </c>
      <c r="E129" s="70" t="s">
        <v>298</v>
      </c>
      <c r="F129" s="70"/>
      <c r="G129" s="70" t="s">
        <v>1134</v>
      </c>
      <c r="H129" s="69"/>
      <c r="I129" s="92">
        <v>0.05</v>
      </c>
      <c r="J129" s="93">
        <v>1000.0</v>
      </c>
      <c r="K129" s="73"/>
      <c r="L129" s="73"/>
      <c r="M129" s="73"/>
      <c r="N129" s="74"/>
    </row>
    <row r="130" ht="30.0" hidden="1" customHeight="1">
      <c r="A130" s="68">
        <v>130.0</v>
      </c>
      <c r="B130" s="68"/>
      <c r="C130" s="68"/>
      <c r="D130" s="69" t="str">
        <f>CONCATENATE(PROPER('DASMA INFO'!$G130),", ",PROPER('DASMA INFO'!$E130)," ",PROPER('DASMA INFO'!$F130),"."," (",UPPER('DASMA INFO'!$H130),")")</f>
        <v>De Leon, Paulo . ()</v>
      </c>
      <c r="E130" s="70" t="s">
        <v>1135</v>
      </c>
      <c r="F130" s="70"/>
      <c r="G130" s="70" t="s">
        <v>1136</v>
      </c>
      <c r="H130" s="69"/>
      <c r="I130" s="92">
        <v>0.05</v>
      </c>
      <c r="J130" s="93">
        <v>1000.0</v>
      </c>
      <c r="K130" s="73"/>
      <c r="L130" s="73"/>
      <c r="M130" s="73"/>
      <c r="N130" s="74"/>
    </row>
    <row r="131" ht="30.0" hidden="1" customHeight="1">
      <c r="A131" s="68">
        <v>131.0</v>
      </c>
      <c r="B131" s="68"/>
      <c r="C131" s="68"/>
      <c r="D131" s="69" t="str">
        <f>CONCATENATE(PROPER('DASMA INFO'!$G131),", ",PROPER('DASMA INFO'!$E131)," ",PROPER('DASMA INFO'!$F131),"."," (",UPPER('DASMA INFO'!$H131),")")</f>
        <v>Contapay, Hilda . ()</v>
      </c>
      <c r="E131" s="70" t="s">
        <v>1137</v>
      </c>
      <c r="F131" s="70"/>
      <c r="G131" s="70" t="s">
        <v>1138</v>
      </c>
      <c r="H131" s="69"/>
      <c r="I131" s="92">
        <v>0.05</v>
      </c>
      <c r="J131" s="93">
        <v>1000.0</v>
      </c>
      <c r="K131" s="73"/>
      <c r="L131" s="73"/>
      <c r="M131" s="73"/>
      <c r="N131" s="74"/>
    </row>
    <row r="132" ht="30.0" hidden="1" customHeight="1">
      <c r="A132" s="68">
        <v>132.0</v>
      </c>
      <c r="B132" s="68"/>
      <c r="C132" s="68"/>
      <c r="D132" s="69" t="str">
        <f>CONCATENATE(PROPER('DASMA INFO'!$G132),", ",PROPER('DASMA INFO'!$E132)," ",PROPER('DASMA INFO'!$F132),"."," (",UPPER('DASMA INFO'!$H132),")")</f>
        <v>Vallado, Marissa C. ()</v>
      </c>
      <c r="E132" s="70" t="s">
        <v>227</v>
      </c>
      <c r="F132" s="70" t="s">
        <v>318</v>
      </c>
      <c r="G132" s="70" t="s">
        <v>1139</v>
      </c>
      <c r="H132" s="69"/>
      <c r="I132" s="92">
        <v>0.05</v>
      </c>
      <c r="J132" s="93">
        <v>1000.0</v>
      </c>
      <c r="K132" s="73"/>
      <c r="L132" s="73"/>
      <c r="M132" s="73"/>
      <c r="N132" s="74"/>
    </row>
    <row r="133" ht="30.0" hidden="1" customHeight="1">
      <c r="A133" s="68">
        <v>133.0</v>
      </c>
      <c r="B133" s="68"/>
      <c r="C133" s="68"/>
      <c r="D133" s="69" t="str">
        <f>CONCATENATE(PROPER('DASMA INFO'!$G133),", ",PROPER('DASMA INFO'!$E133)," ",PROPER('DASMA INFO'!$F133),"."," (",UPPER('DASMA INFO'!$H133),")")</f>
        <v>Edralin, Cabil . ()</v>
      </c>
      <c r="E133" s="70" t="s">
        <v>1140</v>
      </c>
      <c r="F133" s="70"/>
      <c r="G133" s="70" t="s">
        <v>1141</v>
      </c>
      <c r="H133" s="69"/>
      <c r="I133" s="92">
        <v>0.05</v>
      </c>
      <c r="J133" s="93">
        <v>1000.0</v>
      </c>
      <c r="K133" s="73"/>
      <c r="L133" s="73"/>
      <c r="M133" s="73"/>
      <c r="N133" s="74"/>
    </row>
    <row r="134" ht="30.0" hidden="1" customHeight="1">
      <c r="A134" s="68">
        <v>134.0</v>
      </c>
      <c r="B134" s="68"/>
      <c r="C134" s="68"/>
      <c r="D134" s="69" t="str">
        <f>CONCATENATE(PROPER('DASMA INFO'!$G134),", ",PROPER('DASMA INFO'!$E134)," ",PROPER('DASMA INFO'!$F134),"."," (",UPPER('DASMA INFO'!$H134),")")</f>
        <v>Turreda, Laila . ()</v>
      </c>
      <c r="E134" s="70" t="s">
        <v>1142</v>
      </c>
      <c r="F134" s="70"/>
      <c r="G134" s="70" t="s">
        <v>1143</v>
      </c>
      <c r="H134" s="69"/>
      <c r="I134" s="92">
        <v>0.05</v>
      </c>
      <c r="J134" s="93">
        <v>1000.0</v>
      </c>
      <c r="K134" s="73"/>
      <c r="L134" s="73"/>
      <c r="M134" s="73"/>
      <c r="N134" s="74"/>
    </row>
    <row r="135" ht="30.0" hidden="1" customHeight="1">
      <c r="A135" s="68">
        <v>135.0</v>
      </c>
      <c r="B135" s="68"/>
      <c r="C135" s="68"/>
      <c r="D135" s="69" t="str">
        <f>CONCATENATE(PROPER('DASMA INFO'!$G135),", ",PROPER('DASMA INFO'!$E135)," ",PROPER('DASMA INFO'!$F135),"."," (",UPPER('DASMA INFO'!$H135),")")</f>
        <v>Marquez, Helen M. ()</v>
      </c>
      <c r="E135" s="70" t="s">
        <v>617</v>
      </c>
      <c r="F135" s="70" t="s">
        <v>587</v>
      </c>
      <c r="G135" s="70" t="s">
        <v>751</v>
      </c>
      <c r="H135" s="69"/>
      <c r="I135" s="92">
        <v>0.05</v>
      </c>
      <c r="J135" s="93">
        <v>1000.0</v>
      </c>
      <c r="K135" s="73" t="s">
        <v>1144</v>
      </c>
      <c r="L135" s="73"/>
      <c r="M135" s="73"/>
      <c r="N135" s="74"/>
    </row>
    <row r="136" ht="30.0" hidden="1" customHeight="1">
      <c r="A136" s="68">
        <v>136.0</v>
      </c>
      <c r="B136" s="68"/>
      <c r="C136" s="68"/>
      <c r="D136" s="69" t="str">
        <f>CONCATENATE(PROPER('DASMA INFO'!$G136),", ",PROPER('DASMA INFO'!$E136)," ",PROPER('DASMA INFO'!$F136),"."," (",UPPER('DASMA INFO'!$H136),")")</f>
        <v>Amansec, Trinidad P. ()</v>
      </c>
      <c r="E136" s="70" t="s">
        <v>1107</v>
      </c>
      <c r="F136" s="70" t="s">
        <v>513</v>
      </c>
      <c r="G136" s="70" t="s">
        <v>1145</v>
      </c>
      <c r="H136" s="69"/>
      <c r="I136" s="92">
        <v>0.05</v>
      </c>
      <c r="J136" s="93">
        <v>1000.0</v>
      </c>
      <c r="K136" s="73" t="s">
        <v>1146</v>
      </c>
      <c r="L136" s="73"/>
      <c r="M136" s="73"/>
      <c r="N136" s="74"/>
    </row>
    <row r="137" ht="30.0" hidden="1" customHeight="1">
      <c r="A137" s="68">
        <v>137.0</v>
      </c>
      <c r="B137" s="68"/>
      <c r="C137" s="68"/>
      <c r="D137" s="69" t="str">
        <f>CONCATENATE(PROPER('DASMA INFO'!$G137),", ",PROPER('DASMA INFO'!$E137)," ",PROPER('DASMA INFO'!$F137),"."," (",UPPER('DASMA INFO'!$H137),")")</f>
        <v>Baladjay, Melanie G. ()</v>
      </c>
      <c r="E137" s="70" t="s">
        <v>1147</v>
      </c>
      <c r="F137" s="70" t="s">
        <v>1032</v>
      </c>
      <c r="G137" s="70" t="s">
        <v>1148</v>
      </c>
      <c r="H137" s="69"/>
      <c r="I137" s="92">
        <v>0.05</v>
      </c>
      <c r="J137" s="93">
        <v>1000.0</v>
      </c>
      <c r="K137" s="73" t="s">
        <v>1131</v>
      </c>
      <c r="L137" s="73"/>
      <c r="M137" s="73"/>
      <c r="N137" s="74"/>
    </row>
    <row r="138" ht="30.0" hidden="1" customHeight="1">
      <c r="A138" s="68">
        <v>138.0</v>
      </c>
      <c r="B138" s="68"/>
      <c r="C138" s="68"/>
      <c r="D138" s="69" t="str">
        <f>CONCATENATE(PROPER('DASMA INFO'!$G138),", ",PROPER('DASMA INFO'!$E138)," ",PROPER('DASMA INFO'!$F138),"."," (",UPPER('DASMA INFO'!$H138),")")</f>
        <v>Eduarte, Ester . ()</v>
      </c>
      <c r="E138" s="70" t="s">
        <v>966</v>
      </c>
      <c r="F138" s="70"/>
      <c r="G138" s="70" t="s">
        <v>1149</v>
      </c>
      <c r="H138" s="69"/>
      <c r="I138" s="92">
        <v>0.05</v>
      </c>
      <c r="J138" s="93">
        <v>1000.0</v>
      </c>
      <c r="K138" s="73"/>
      <c r="L138" s="73"/>
      <c r="M138" s="73"/>
      <c r="N138" s="74"/>
    </row>
    <row r="139" ht="30.0" hidden="1" customHeight="1">
      <c r="A139" s="68">
        <v>139.0</v>
      </c>
      <c r="B139" s="68"/>
      <c r="C139" s="68"/>
      <c r="D139" s="69" t="str">
        <f>CONCATENATE(PROPER('DASMA INFO'!$G139),", ",PROPER('DASMA INFO'!$E139)," ",PROPER('DASMA INFO'!$F139),"."," (",UPPER('DASMA INFO'!$H139),")")</f>
        <v>Eduarte, Shyrie . ()</v>
      </c>
      <c r="E139" s="70" t="s">
        <v>1150</v>
      </c>
      <c r="F139" s="70"/>
      <c r="G139" s="70" t="s">
        <v>1149</v>
      </c>
      <c r="H139" s="69"/>
      <c r="I139" s="92">
        <v>0.05</v>
      </c>
      <c r="J139" s="93">
        <v>1000.0</v>
      </c>
      <c r="K139" s="73"/>
      <c r="L139" s="73"/>
      <c r="M139" s="73"/>
      <c r="N139" s="74"/>
    </row>
    <row r="140" ht="30.0" hidden="1" customHeight="1">
      <c r="A140" s="68">
        <v>140.0</v>
      </c>
      <c r="B140" s="68"/>
      <c r="C140" s="68"/>
      <c r="D140" s="69" t="str">
        <f>CONCATENATE(PROPER('DASMA INFO'!$G140),", ",PROPER('DASMA INFO'!$E140)," ",PROPER('DASMA INFO'!$F140),"."," (",UPPER('DASMA INFO'!$H140),")")</f>
        <v>Panganiban, Marilyn . ()</v>
      </c>
      <c r="E140" s="70" t="s">
        <v>231</v>
      </c>
      <c r="F140" s="70"/>
      <c r="G140" s="70" t="s">
        <v>918</v>
      </c>
      <c r="H140" s="69"/>
      <c r="I140" s="92">
        <v>0.05</v>
      </c>
      <c r="J140" s="93">
        <v>1000.0</v>
      </c>
      <c r="K140" s="73"/>
      <c r="L140" s="73"/>
      <c r="M140" s="73"/>
      <c r="N140" s="74"/>
    </row>
    <row r="141" ht="30.0" hidden="1" customHeight="1">
      <c r="A141" s="68">
        <v>141.0</v>
      </c>
      <c r="B141" s="68"/>
      <c r="C141" s="68"/>
      <c r="D141" s="69" t="str">
        <f>CONCATENATE(PROPER('DASMA INFO'!$G141),", ",PROPER('DASMA INFO'!$E141)," ",PROPER('DASMA INFO'!$F141),"."," (",UPPER('DASMA INFO'!$H141),")")</f>
        <v>Donizo, Edilberto . ()</v>
      </c>
      <c r="E141" s="70" t="s">
        <v>1151</v>
      </c>
      <c r="F141" s="70"/>
      <c r="G141" s="70" t="s">
        <v>1152</v>
      </c>
      <c r="H141" s="69"/>
      <c r="I141" s="92">
        <v>0.05</v>
      </c>
      <c r="J141" s="93">
        <v>1000.0</v>
      </c>
      <c r="K141" s="73"/>
      <c r="L141" s="73"/>
      <c r="M141" s="73"/>
      <c r="N141" s="74"/>
    </row>
    <row r="142" ht="30.0" hidden="1" customHeight="1">
      <c r="A142" s="68">
        <v>142.0</v>
      </c>
      <c r="B142" s="68"/>
      <c r="C142" s="68"/>
      <c r="D142" s="69" t="str">
        <f>CONCATENATE(PROPER('DASMA INFO'!$G142),", ",PROPER('DASMA INFO'!$E142)," ",PROPER('DASMA INFO'!$F142),"."," (",UPPER('DASMA INFO'!$H142),")")</f>
        <v>Dahe, Myrna . ()</v>
      </c>
      <c r="E142" s="70" t="s">
        <v>586</v>
      </c>
      <c r="F142" s="70"/>
      <c r="G142" s="70" t="s">
        <v>1087</v>
      </c>
      <c r="H142" s="69"/>
      <c r="I142" s="92">
        <v>0.05</v>
      </c>
      <c r="J142" s="93">
        <v>1000.0</v>
      </c>
      <c r="K142" s="73"/>
      <c r="L142" s="73"/>
      <c r="M142" s="73"/>
      <c r="N142" s="74"/>
    </row>
    <row r="143" ht="30.0" hidden="1" customHeight="1">
      <c r="A143" s="68">
        <v>143.0</v>
      </c>
      <c r="B143" s="68"/>
      <c r="C143" s="68"/>
      <c r="D143" s="69" t="str">
        <f>CONCATENATE(PROPER('DASMA INFO'!$G143),", ",PROPER('DASMA INFO'!$E143)," ",PROPER('DASMA INFO'!$F143),"."," (",UPPER('DASMA INFO'!$H143),")")</f>
        <v>Dela Cuesta, Rosita N. ()</v>
      </c>
      <c r="E143" s="70" t="s">
        <v>1153</v>
      </c>
      <c r="F143" s="70" t="s">
        <v>1154</v>
      </c>
      <c r="G143" s="70" t="s">
        <v>1155</v>
      </c>
      <c r="H143" s="70"/>
      <c r="I143" s="92">
        <v>0.05</v>
      </c>
      <c r="J143" s="93">
        <v>1000.0</v>
      </c>
      <c r="K143" s="73" t="s">
        <v>1156</v>
      </c>
      <c r="L143" s="73"/>
      <c r="M143" s="73"/>
      <c r="N143" s="74"/>
    </row>
    <row r="144" ht="30.0" hidden="1" customHeight="1">
      <c r="A144" s="68">
        <v>144.0</v>
      </c>
      <c r="B144" s="68"/>
      <c r="C144" s="68"/>
      <c r="D144" s="69" t="str">
        <f>CONCATENATE(PROPER('DASMA INFO'!$G144),", ",PROPER('DASMA INFO'!$E144)," ",PROPER('DASMA INFO'!$F144),"."," (",UPPER('DASMA INFO'!$H144),")")</f>
        <v>Lago, Cynthia . ()</v>
      </c>
      <c r="E144" s="70" t="s">
        <v>1157</v>
      </c>
      <c r="F144" s="70"/>
      <c r="G144" s="70" t="s">
        <v>1158</v>
      </c>
      <c r="H144" s="70"/>
      <c r="I144" s="92">
        <v>0.05</v>
      </c>
      <c r="J144" s="93">
        <v>1000.0</v>
      </c>
      <c r="K144" s="73"/>
      <c r="L144" s="73"/>
      <c r="M144" s="73"/>
      <c r="N144" s="74"/>
    </row>
    <row r="145" ht="30.0" hidden="1" customHeight="1">
      <c r="A145" s="68">
        <v>145.0</v>
      </c>
      <c r="B145" s="68"/>
      <c r="C145" s="68"/>
      <c r="D145" s="69" t="str">
        <f>CONCATENATE(PROPER('DASMA INFO'!$G145),", ",PROPER('DASMA INFO'!$E145)," ",PROPER('DASMA INFO'!$F145),"."," (",UPPER('DASMA INFO'!$H145),")")</f>
        <v>De Vera, Tanya . ()</v>
      </c>
      <c r="E145" s="70" t="s">
        <v>1159</v>
      </c>
      <c r="F145" s="70"/>
      <c r="G145" s="70" t="s">
        <v>601</v>
      </c>
      <c r="H145" s="70"/>
      <c r="I145" s="92">
        <v>0.05</v>
      </c>
      <c r="J145" s="93">
        <v>1000.0</v>
      </c>
      <c r="K145" s="73"/>
      <c r="L145" s="73"/>
      <c r="M145" s="73"/>
      <c r="N145" s="74"/>
    </row>
    <row r="146" ht="30.0" hidden="1" customHeight="1">
      <c r="A146" s="68">
        <v>146.0</v>
      </c>
      <c r="B146" s="68"/>
      <c r="C146" s="68"/>
      <c r="D146" s="69" t="str">
        <f>CONCATENATE(PROPER('DASMA INFO'!$G146),", ",PROPER('DASMA INFO'!$E146)," ",PROPER('DASMA INFO'!$F146),"."," (",UPPER('DASMA INFO'!$H146),")")</f>
        <v>Norona, Cornelio . ()</v>
      </c>
      <c r="E146" s="70" t="s">
        <v>1160</v>
      </c>
      <c r="F146" s="70"/>
      <c r="G146" s="70" t="s">
        <v>1161</v>
      </c>
      <c r="H146" s="70"/>
      <c r="I146" s="92">
        <v>0.05</v>
      </c>
      <c r="J146" s="93">
        <v>1000.0</v>
      </c>
      <c r="K146" s="73"/>
      <c r="L146" s="73"/>
      <c r="M146" s="73"/>
      <c r="N146" s="74"/>
    </row>
    <row r="147" ht="30.0" hidden="1" customHeight="1">
      <c r="A147" s="68">
        <v>147.0</v>
      </c>
      <c r="B147" s="68"/>
      <c r="C147" s="68"/>
      <c r="D147" s="69" t="str">
        <f>CONCATENATE(PROPER('DASMA INFO'!$G147),", ",PROPER('DASMA INFO'!$E147)," ",PROPER('DASMA INFO'!$F147),"."," (",UPPER('DASMA INFO'!$H147),")")</f>
        <v>Dela Cruz, Arwin . ()</v>
      </c>
      <c r="E147" s="70" t="s">
        <v>1162</v>
      </c>
      <c r="F147" s="70"/>
      <c r="G147" s="70" t="s">
        <v>636</v>
      </c>
      <c r="H147" s="70"/>
      <c r="I147" s="92">
        <v>0.05</v>
      </c>
      <c r="J147" s="93">
        <v>1000.0</v>
      </c>
      <c r="K147" s="73"/>
      <c r="L147" s="73"/>
      <c r="M147" s="73"/>
      <c r="N147" s="74"/>
    </row>
    <row r="148" ht="30.0" hidden="1" customHeight="1">
      <c r="A148" s="68">
        <v>148.0</v>
      </c>
      <c r="B148" s="68"/>
      <c r="C148" s="68"/>
      <c r="D148" s="69" t="str">
        <f>CONCATENATE(PROPER('DASMA INFO'!$G148),", ",PROPER('DASMA INFO'!$E148)," ",PROPER('DASMA INFO'!$F148),"."," (",UPPER('DASMA INFO'!$H148),")")</f>
        <v>Imperial, Marivil . ()</v>
      </c>
      <c r="E148" s="70" t="s">
        <v>1163</v>
      </c>
      <c r="F148" s="70"/>
      <c r="G148" s="70" t="s">
        <v>812</v>
      </c>
      <c r="H148" s="70"/>
      <c r="I148" s="92">
        <v>0.05</v>
      </c>
      <c r="J148" s="93">
        <v>1000.0</v>
      </c>
      <c r="K148" s="73"/>
      <c r="L148" s="73"/>
      <c r="M148" s="73"/>
      <c r="N148" s="74"/>
    </row>
    <row r="149" ht="30.0" hidden="1" customHeight="1">
      <c r="A149" s="68">
        <v>149.0</v>
      </c>
      <c r="B149" s="68"/>
      <c r="C149" s="68"/>
      <c r="D149" s="69" t="str">
        <f>CONCATENATE(PROPER('DASMA INFO'!$G149),", ",PROPER('DASMA INFO'!$E149)," ",PROPER('DASMA INFO'!$F149),"."," (",UPPER('DASMA INFO'!$H149),")")</f>
        <v>Panes, Valentino A. ()</v>
      </c>
      <c r="E149" s="70" t="s">
        <v>1164</v>
      </c>
      <c r="F149" s="70" t="s">
        <v>427</v>
      </c>
      <c r="G149" s="70" t="s">
        <v>1165</v>
      </c>
      <c r="H149" s="69"/>
      <c r="I149" s="92">
        <v>0.05</v>
      </c>
      <c r="J149" s="93">
        <v>1000.0</v>
      </c>
      <c r="K149" s="73"/>
      <c r="L149" s="73"/>
      <c r="M149" s="73"/>
      <c r="N149" s="74"/>
    </row>
    <row r="150" ht="30.0" hidden="1" customHeight="1">
      <c r="A150" s="68">
        <v>150.0</v>
      </c>
      <c r="B150" s="68"/>
      <c r="C150" s="68"/>
      <c r="D150" s="69" t="str">
        <f>CONCATENATE(PROPER('DASMA INFO'!$G150),", ",PROPER('DASMA INFO'!$E150)," ",PROPER('DASMA INFO'!$F150),"."," (",UPPER('DASMA INFO'!$H150),")")</f>
        <v>, Jet . ()</v>
      </c>
      <c r="E150" s="70" t="s">
        <v>1166</v>
      </c>
      <c r="F150" s="70"/>
      <c r="G150" s="70"/>
      <c r="H150" s="69"/>
      <c r="I150" s="92">
        <v>0.05</v>
      </c>
      <c r="J150" s="93">
        <v>1000.0</v>
      </c>
      <c r="K150" s="73"/>
      <c r="L150" s="73"/>
      <c r="M150" s="73"/>
      <c r="N150" s="74"/>
    </row>
    <row r="151" ht="30.0" hidden="1" customHeight="1">
      <c r="A151" s="68">
        <v>151.0</v>
      </c>
      <c r="B151" s="68"/>
      <c r="C151" s="68"/>
      <c r="D151" s="69" t="str">
        <f>CONCATENATE(PROPER('DASMA INFO'!$G151),", ",PROPER('DASMA INFO'!$E151)," ",PROPER('DASMA INFO'!$F151),"."," (",UPPER('DASMA INFO'!$H151),")")</f>
        <v>Olvina, Nena . ()</v>
      </c>
      <c r="E151" s="70" t="s">
        <v>1167</v>
      </c>
      <c r="F151" s="70"/>
      <c r="G151" s="70" t="s">
        <v>1168</v>
      </c>
      <c r="H151" s="69"/>
      <c r="I151" s="92">
        <v>0.05</v>
      </c>
      <c r="J151" s="93">
        <v>1000.0</v>
      </c>
      <c r="K151" s="73"/>
      <c r="L151" s="73"/>
      <c r="M151" s="73"/>
      <c r="N151" s="74"/>
    </row>
    <row r="152" ht="30.0" hidden="1" customHeight="1">
      <c r="A152" s="68">
        <v>152.0</v>
      </c>
      <c r="B152" s="68"/>
      <c r="C152" s="68"/>
      <c r="D152" s="69" t="str">
        <f>CONCATENATE(PROPER('DASMA INFO'!$G152),", ",PROPER('DASMA INFO'!$E152)," ",PROPER('DASMA INFO'!$F152),"."," (",UPPER('DASMA INFO'!$H152),")")</f>
        <v>Alday, Edmar . ()</v>
      </c>
      <c r="E152" s="70" t="s">
        <v>1169</v>
      </c>
      <c r="F152" s="70"/>
      <c r="G152" s="70" t="s">
        <v>1170</v>
      </c>
      <c r="H152" s="69"/>
      <c r="I152" s="92">
        <v>0.05</v>
      </c>
      <c r="J152" s="93">
        <v>1000.0</v>
      </c>
      <c r="K152" s="73"/>
      <c r="L152" s="73"/>
      <c r="M152" s="73"/>
      <c r="N152" s="74"/>
    </row>
    <row r="153" ht="30.0" hidden="1" customHeight="1">
      <c r="A153" s="68">
        <v>153.0</v>
      </c>
      <c r="B153" s="68"/>
      <c r="C153" s="68"/>
      <c r="D153" s="69" t="str">
        <f>CONCATENATE(PROPER('DASMA INFO'!$G153),", ",PROPER('DASMA INFO'!$E153)," ",PROPER('DASMA INFO'!$F153),"."," (",UPPER('DASMA INFO'!$H153),")")</f>
        <v>Cuenca, Adrian . ()</v>
      </c>
      <c r="E153" s="70" t="s">
        <v>1171</v>
      </c>
      <c r="F153" s="70"/>
      <c r="G153" s="70" t="s">
        <v>1172</v>
      </c>
      <c r="H153" s="69"/>
      <c r="I153" s="92">
        <v>0.05</v>
      </c>
      <c r="J153" s="93">
        <v>1000.0</v>
      </c>
      <c r="K153" s="73"/>
      <c r="L153" s="73"/>
      <c r="M153" s="73"/>
      <c r="N153" s="74"/>
    </row>
    <row r="154" ht="30.0" hidden="1" customHeight="1">
      <c r="A154" s="68">
        <v>154.0</v>
      </c>
      <c r="B154" s="68"/>
      <c r="C154" s="68"/>
      <c r="D154" s="69" t="str">
        <f>CONCATENATE(PROPER('DASMA INFO'!$G154),", ",PROPER('DASMA INFO'!$E154)," ",PROPER('DASMA INFO'!$F154),"."," (",UPPER('DASMA INFO'!$H154),")")</f>
        <v>De Lara, Herminiano . ()</v>
      </c>
      <c r="E154" s="70" t="s">
        <v>1173</v>
      </c>
      <c r="F154" s="70"/>
      <c r="G154" s="70" t="s">
        <v>163</v>
      </c>
      <c r="H154" s="69"/>
      <c r="I154" s="92">
        <v>0.05</v>
      </c>
      <c r="J154" s="93">
        <v>1000.0</v>
      </c>
      <c r="K154" s="73"/>
      <c r="L154" s="73"/>
      <c r="M154" s="73"/>
      <c r="N154" s="74"/>
    </row>
    <row r="155" ht="30.0" hidden="1" customHeight="1">
      <c r="A155" s="68">
        <v>155.0</v>
      </c>
      <c r="B155" s="68"/>
      <c r="C155" s="68"/>
      <c r="D155" s="69" t="str">
        <f>CONCATENATE(PROPER('DASMA INFO'!$G155),", ",PROPER('DASMA INFO'!$E155)," ",PROPER('DASMA INFO'!$F155),"."," (",UPPER('DASMA INFO'!$H155),")")</f>
        <v>Laurada, Myrna . ()</v>
      </c>
      <c r="E155" s="70" t="s">
        <v>586</v>
      </c>
      <c r="F155" s="70"/>
      <c r="G155" s="70" t="s">
        <v>1174</v>
      </c>
      <c r="H155" s="69"/>
      <c r="I155" s="92">
        <v>0.05</v>
      </c>
      <c r="J155" s="93">
        <v>1000.0</v>
      </c>
      <c r="K155" s="73"/>
      <c r="L155" s="73"/>
      <c r="M155" s="73"/>
      <c r="N155" s="74"/>
    </row>
    <row r="156" ht="30.0" hidden="1" customHeight="1">
      <c r="A156" s="68">
        <v>156.0</v>
      </c>
      <c r="B156" s="68"/>
      <c r="C156" s="68"/>
      <c r="D156" s="69" t="str">
        <f>CONCATENATE(PROPER('DASMA INFO'!$G156),", ",PROPER('DASMA INFO'!$E156)," ",PROPER('DASMA INFO'!$F156),"."," (",UPPER('DASMA INFO'!$H156),")")</f>
        <v>Villanueva, Rosalie . ()</v>
      </c>
      <c r="E156" s="70" t="s">
        <v>780</v>
      </c>
      <c r="F156" s="70"/>
      <c r="G156" s="70" t="s">
        <v>454</v>
      </c>
      <c r="H156" s="69"/>
      <c r="I156" s="92">
        <v>0.05</v>
      </c>
      <c r="J156" s="93">
        <v>1000.0</v>
      </c>
      <c r="K156" s="73"/>
      <c r="L156" s="73"/>
      <c r="M156" s="73"/>
      <c r="N156" s="74"/>
    </row>
    <row r="157" ht="30.0" hidden="1" customHeight="1">
      <c r="A157" s="68">
        <v>157.0</v>
      </c>
      <c r="B157" s="68"/>
      <c r="C157" s="68"/>
      <c r="D157" s="69" t="str">
        <f>CONCATENATE(PROPER('DASMA INFO'!$G157),", ",PROPER('DASMA INFO'!$E157)," ",PROPER('DASMA INFO'!$F157),"."," (",UPPER('DASMA INFO'!$H157),")")</f>
        <v>Reyes, Thelma . ()</v>
      </c>
      <c r="E157" s="70" t="s">
        <v>542</v>
      </c>
      <c r="F157" s="70"/>
      <c r="G157" s="70" t="s">
        <v>122</v>
      </c>
      <c r="H157" s="69"/>
      <c r="I157" s="92">
        <v>0.05</v>
      </c>
      <c r="J157" s="93">
        <v>1000.0</v>
      </c>
      <c r="K157" s="73"/>
      <c r="L157" s="73"/>
      <c r="M157" s="73"/>
      <c r="N157" s="74"/>
    </row>
    <row r="158" ht="30.0" hidden="1" customHeight="1">
      <c r="A158" s="68">
        <v>158.0</v>
      </c>
      <c r="B158" s="68"/>
      <c r="C158" s="68"/>
      <c r="D158" s="69" t="str">
        <f>CONCATENATE(PROPER('DASMA INFO'!$G158),", ",PROPER('DASMA INFO'!$E158)," ",PROPER('DASMA INFO'!$F158),"."," (",UPPER('DASMA INFO'!$H158),")")</f>
        <v>Fernandez, Geraldine . ()</v>
      </c>
      <c r="E158" s="70" t="s">
        <v>1175</v>
      </c>
      <c r="F158" s="70"/>
      <c r="G158" s="70" t="s">
        <v>762</v>
      </c>
      <c r="H158" s="69"/>
      <c r="I158" s="92">
        <v>0.05</v>
      </c>
      <c r="J158" s="93">
        <v>1000.0</v>
      </c>
      <c r="K158" s="73"/>
      <c r="L158" s="73"/>
      <c r="M158" s="73"/>
      <c r="N158" s="74"/>
    </row>
    <row r="159" ht="30.0" hidden="1" customHeight="1">
      <c r="A159" s="68">
        <v>159.0</v>
      </c>
      <c r="B159" s="68"/>
      <c r="C159" s="68"/>
      <c r="D159" s="69" t="str">
        <f>CONCATENATE(PROPER('DASMA INFO'!$G159),", ",PROPER('DASMA INFO'!$E159)," ",PROPER('DASMA INFO'!$F159),"."," (",UPPER('DASMA INFO'!$H159),")")</f>
        <v>Melodillar, Joyce . ()</v>
      </c>
      <c r="E159" s="70" t="s">
        <v>1176</v>
      </c>
      <c r="F159" s="70"/>
      <c r="G159" s="70" t="s">
        <v>1177</v>
      </c>
      <c r="H159" s="69"/>
      <c r="I159" s="92">
        <v>0.05</v>
      </c>
      <c r="J159" s="93">
        <v>1000.0</v>
      </c>
      <c r="K159" s="73"/>
      <c r="L159" s="73"/>
      <c r="M159" s="73"/>
      <c r="N159" s="74"/>
    </row>
    <row r="160" ht="30.0" hidden="1" customHeight="1">
      <c r="A160" s="68">
        <v>160.0</v>
      </c>
      <c r="B160" s="68"/>
      <c r="C160" s="68"/>
      <c r="D160" s="69" t="str">
        <f>CONCATENATE(PROPER('DASMA INFO'!$G160),", ",PROPER('DASMA INFO'!$E160)," ",PROPER('DASMA INFO'!$F160),"."," (",UPPER('DASMA INFO'!$H160),")")</f>
        <v>Valencia, Danillo . ()</v>
      </c>
      <c r="E160" s="70" t="s">
        <v>1178</v>
      </c>
      <c r="F160" s="70"/>
      <c r="G160" s="70" t="s">
        <v>898</v>
      </c>
      <c r="H160" s="69"/>
      <c r="I160" s="92">
        <v>0.05</v>
      </c>
      <c r="J160" s="93">
        <v>1000.0</v>
      </c>
      <c r="K160" s="73"/>
      <c r="L160" s="73"/>
      <c r="M160" s="73"/>
      <c r="N160" s="74"/>
    </row>
    <row r="161" ht="30.0" hidden="1" customHeight="1">
      <c r="A161" s="68">
        <v>161.0</v>
      </c>
      <c r="B161" s="68"/>
      <c r="C161" s="68"/>
      <c r="D161" s="69" t="str">
        <f>CONCATENATE(PROPER('DASMA INFO'!$G161),", ",PROPER('DASMA INFO'!$E161)," ",PROPER('DASMA INFO'!$F161),"."," (",UPPER('DASMA INFO'!$H161),")")</f>
        <v>Misumi, Teresita . ()</v>
      </c>
      <c r="E161" s="70" t="s">
        <v>876</v>
      </c>
      <c r="F161" s="70"/>
      <c r="G161" s="70" t="s">
        <v>1179</v>
      </c>
      <c r="H161" s="69"/>
      <c r="I161" s="92">
        <v>0.05</v>
      </c>
      <c r="J161" s="93">
        <v>1000.0</v>
      </c>
      <c r="K161" s="73"/>
      <c r="L161" s="73"/>
      <c r="M161" s="73"/>
      <c r="N161" s="74"/>
    </row>
    <row r="162" ht="30.0" hidden="1" customHeight="1">
      <c r="A162" s="68">
        <v>162.0</v>
      </c>
      <c r="B162" s="68"/>
      <c r="C162" s="68"/>
      <c r="D162" s="69" t="str">
        <f>CONCATENATE(PROPER('DASMA INFO'!$G162),", ",PROPER('DASMA INFO'!$E162)," ",PROPER('DASMA INFO'!$F162),"."," (",UPPER('DASMA INFO'!$H162),")")</f>
        <v>Valencia, Felicitas . ()</v>
      </c>
      <c r="E162" s="70" t="s">
        <v>1180</v>
      </c>
      <c r="F162" s="70"/>
      <c r="G162" s="70" t="s">
        <v>898</v>
      </c>
      <c r="H162" s="69"/>
      <c r="I162" s="92">
        <v>0.05</v>
      </c>
      <c r="J162" s="93">
        <v>1000.0</v>
      </c>
      <c r="K162" s="73"/>
      <c r="L162" s="73"/>
      <c r="M162" s="73"/>
      <c r="N162" s="74"/>
    </row>
    <row r="163" ht="30.0" hidden="1" customHeight="1">
      <c r="A163" s="68">
        <v>163.0</v>
      </c>
      <c r="B163" s="68"/>
      <c r="C163" s="68"/>
      <c r="D163" s="69" t="str">
        <f>CONCATENATE(PROPER('DASMA INFO'!$G163),", ",PROPER('DASMA INFO'!$E163)," ",PROPER('DASMA INFO'!$F163),"."," (",UPPER('DASMA INFO'!$H163),")")</f>
        <v>Valencia, Lorena . ()</v>
      </c>
      <c r="E163" s="70" t="s">
        <v>335</v>
      </c>
      <c r="F163" s="70"/>
      <c r="G163" s="70" t="s">
        <v>898</v>
      </c>
      <c r="H163" s="69"/>
      <c r="I163" s="92">
        <v>0.05</v>
      </c>
      <c r="J163" s="93">
        <v>1000.0</v>
      </c>
      <c r="K163" s="73"/>
      <c r="L163" s="73"/>
      <c r="M163" s="73"/>
      <c r="N163" s="74"/>
    </row>
    <row r="164" ht="30.0" hidden="1" customHeight="1">
      <c r="A164" s="68">
        <v>164.0</v>
      </c>
      <c r="B164" s="68"/>
      <c r="C164" s="68"/>
      <c r="D164" s="69" t="str">
        <f>CONCATENATE(PROPER('DASMA INFO'!$G164),", ",PROPER('DASMA INFO'!$E164)," ",PROPER('DASMA INFO'!$F164),"."," (",UPPER('DASMA INFO'!$H164),")")</f>
        <v>Cueto, Veronica . ()</v>
      </c>
      <c r="E164" s="70" t="s">
        <v>1181</v>
      </c>
      <c r="F164" s="70"/>
      <c r="G164" s="70" t="s">
        <v>1182</v>
      </c>
      <c r="H164" s="69"/>
      <c r="I164" s="92">
        <v>0.05</v>
      </c>
      <c r="J164" s="93">
        <v>1000.0</v>
      </c>
      <c r="K164" s="73"/>
      <c r="L164" s="73"/>
      <c r="M164" s="73"/>
      <c r="N164" s="74"/>
    </row>
    <row r="165" ht="30.0" hidden="1" customHeight="1">
      <c r="A165" s="68">
        <v>165.0</v>
      </c>
      <c r="B165" s="68"/>
      <c r="C165" s="68"/>
      <c r="D165" s="69" t="str">
        <f>CONCATENATE(PROPER('DASMA INFO'!$G165),", ",PROPER('DASMA INFO'!$E165)," ",PROPER('DASMA INFO'!$F165),"."," (",UPPER('DASMA INFO'!$H165),")")</f>
        <v>Castillo, Mayanne . ()</v>
      </c>
      <c r="E165" s="70" t="s">
        <v>1183</v>
      </c>
      <c r="F165" s="70"/>
      <c r="G165" s="70" t="s">
        <v>1184</v>
      </c>
      <c r="H165" s="69"/>
      <c r="I165" s="92">
        <v>0.05</v>
      </c>
      <c r="J165" s="93">
        <v>1000.0</v>
      </c>
      <c r="K165" s="73"/>
      <c r="L165" s="73"/>
      <c r="M165" s="73"/>
      <c r="N165" s="74"/>
    </row>
    <row r="166" ht="30.0" hidden="1" customHeight="1">
      <c r="A166" s="68">
        <v>166.0</v>
      </c>
      <c r="B166" s="68"/>
      <c r="C166" s="68"/>
      <c r="D166" s="69" t="str">
        <f>CONCATENATE(PROPER('DASMA INFO'!$G166),", ",PROPER('DASMA INFO'!$E166)," ",PROPER('DASMA INFO'!$F166),"."," (",UPPER('DASMA INFO'!$H166),")")</f>
        <v>Torreda, Joel . ()</v>
      </c>
      <c r="E166" s="70" t="s">
        <v>846</v>
      </c>
      <c r="F166" s="70"/>
      <c r="G166" s="70" t="s">
        <v>1185</v>
      </c>
      <c r="H166" s="69"/>
      <c r="I166" s="92">
        <v>0.05</v>
      </c>
      <c r="J166" s="93">
        <v>1000.0</v>
      </c>
      <c r="K166" s="73"/>
      <c r="L166" s="73"/>
      <c r="M166" s="73"/>
      <c r="N166" s="74"/>
    </row>
    <row r="167" ht="30.0" hidden="1" customHeight="1">
      <c r="A167" s="68">
        <v>167.0</v>
      </c>
      <c r="B167" s="68"/>
      <c r="C167" s="68"/>
      <c r="D167" s="69" t="str">
        <f>CONCATENATE(PROPER('DASMA INFO'!$G167),", ",PROPER('DASMA INFO'!$E167)," ",PROPER('DASMA INFO'!$F167),"."," (",UPPER('DASMA INFO'!$H167),")")</f>
        <v>Malba, Randy D. ()</v>
      </c>
      <c r="E167" s="70" t="s">
        <v>145</v>
      </c>
      <c r="F167" s="70" t="s">
        <v>1078</v>
      </c>
      <c r="G167" s="70" t="s">
        <v>1186</v>
      </c>
      <c r="H167" s="69"/>
      <c r="I167" s="92">
        <v>0.05</v>
      </c>
      <c r="J167" s="93">
        <v>1000.0</v>
      </c>
      <c r="K167" s="73" t="s">
        <v>1187</v>
      </c>
      <c r="L167" s="73"/>
      <c r="M167" s="73"/>
      <c r="N167" s="74"/>
    </row>
    <row r="168" ht="30.0" hidden="1" customHeight="1">
      <c r="A168" s="68">
        <v>168.0</v>
      </c>
      <c r="B168" s="68"/>
      <c r="C168" s="68"/>
      <c r="D168" s="69" t="str">
        <f>CONCATENATE(PROPER('DASMA INFO'!$G168),", ",PROPER('DASMA INFO'!$E168)," ",PROPER('DASMA INFO'!$F168),"."," (",UPPER('DASMA INFO'!$H168),")")</f>
        <v>Valencia, Lian Janelle . ()</v>
      </c>
      <c r="E168" s="70" t="s">
        <v>1188</v>
      </c>
      <c r="F168" s="70"/>
      <c r="G168" s="70" t="s">
        <v>898</v>
      </c>
      <c r="H168" s="69"/>
      <c r="I168" s="92">
        <v>0.05</v>
      </c>
      <c r="J168" s="93">
        <v>1000.0</v>
      </c>
      <c r="K168" s="73"/>
      <c r="L168" s="73"/>
      <c r="M168" s="73"/>
      <c r="N168" s="74"/>
    </row>
    <row r="169" ht="30.0" hidden="1" customHeight="1">
      <c r="A169" s="68">
        <v>169.0</v>
      </c>
      <c r="B169" s="68"/>
      <c r="C169" s="68"/>
      <c r="D169" s="69" t="str">
        <f>CONCATENATE(PROPER('DASMA INFO'!$G169),", ",PROPER('DASMA INFO'!$E169)," ",PROPER('DASMA INFO'!$F169),"."," (",UPPER('DASMA INFO'!$H169),")")</f>
        <v>Albasin, Mishyl . ()</v>
      </c>
      <c r="E169" s="70" t="s">
        <v>1189</v>
      </c>
      <c r="F169" s="70"/>
      <c r="G169" s="70" t="s">
        <v>1190</v>
      </c>
      <c r="H169" s="69"/>
      <c r="I169" s="92">
        <v>0.05</v>
      </c>
      <c r="J169" s="93">
        <v>1000.0</v>
      </c>
      <c r="K169" s="73"/>
      <c r="L169" s="73"/>
      <c r="M169" s="73"/>
      <c r="N169" s="74"/>
    </row>
    <row r="170" ht="30.0" hidden="1" customHeight="1">
      <c r="A170" s="68">
        <v>170.0</v>
      </c>
      <c r="B170" s="68"/>
      <c r="C170" s="68"/>
      <c r="D170" s="69" t="str">
        <f>CONCATENATE(PROPER('DASMA INFO'!$G170),", ",PROPER('DASMA INFO'!$E170)," ",PROPER('DASMA INFO'!$F170),"."," (",UPPER('DASMA INFO'!$H170),")")</f>
        <v>Javines, Mitchie . ()</v>
      </c>
      <c r="E170" s="70" t="s">
        <v>1191</v>
      </c>
      <c r="F170" s="70"/>
      <c r="G170" s="70" t="s">
        <v>1192</v>
      </c>
      <c r="H170" s="69"/>
      <c r="I170" s="92">
        <v>0.05</v>
      </c>
      <c r="J170" s="93">
        <v>1000.0</v>
      </c>
      <c r="K170" s="73"/>
      <c r="L170" s="73"/>
      <c r="M170" s="73"/>
      <c r="N170" s="74"/>
    </row>
    <row r="171" ht="30.0" hidden="1" customHeight="1">
      <c r="A171" s="68">
        <v>171.0</v>
      </c>
      <c r="B171" s="68"/>
      <c r="C171" s="68"/>
      <c r="D171" s="69" t="str">
        <f>CONCATENATE(PROPER('DASMA INFO'!$G171),", ",PROPER('DASMA INFO'!$E171)," ",PROPER('DASMA INFO'!$F171),"."," (",UPPER('DASMA INFO'!$H171),")")</f>
        <v>Dimagula, Armundo . ()</v>
      </c>
      <c r="E171" s="70" t="s">
        <v>1193</v>
      </c>
      <c r="F171" s="70"/>
      <c r="G171" s="70" t="s">
        <v>1194</v>
      </c>
      <c r="H171" s="69"/>
      <c r="I171" s="92">
        <v>0.05</v>
      </c>
      <c r="J171" s="93">
        <v>1000.0</v>
      </c>
      <c r="K171" s="73"/>
      <c r="L171" s="73"/>
      <c r="M171" s="73"/>
      <c r="N171" s="74"/>
    </row>
    <row r="172" ht="30.0" hidden="1" customHeight="1">
      <c r="A172" s="68">
        <v>172.0</v>
      </c>
      <c r="B172" s="68"/>
      <c r="C172" s="68"/>
      <c r="D172" s="69" t="str">
        <f>CONCATENATE(PROPER('DASMA INFO'!$G172),", ",PROPER('DASMA INFO'!$E172)," ",PROPER('DASMA INFO'!$F172),"."," (",UPPER('DASMA INFO'!$H172),")")</f>
        <v>Adoyogan, Salvacil . ()</v>
      </c>
      <c r="E172" s="70" t="s">
        <v>1195</v>
      </c>
      <c r="F172" s="70"/>
      <c r="G172" s="70" t="s">
        <v>1196</v>
      </c>
      <c r="H172" s="69"/>
      <c r="I172" s="92">
        <v>0.05</v>
      </c>
      <c r="J172" s="93">
        <v>1000.0</v>
      </c>
      <c r="K172" s="73"/>
      <c r="L172" s="73"/>
      <c r="M172" s="73"/>
      <c r="N172" s="74"/>
    </row>
    <row r="173" ht="30.0" hidden="1" customHeight="1">
      <c r="A173" s="68">
        <v>173.0</v>
      </c>
      <c r="B173" s="68"/>
      <c r="C173" s="68"/>
      <c r="D173" s="69" t="str">
        <f>CONCATENATE(PROPER('DASMA INFO'!$G173),", ",PROPER('DASMA INFO'!$E173)," ",PROPER('DASMA INFO'!$F173),"."," (",UPPER('DASMA INFO'!$H173),")")</f>
        <v>Demetrial, Eddie . ()</v>
      </c>
      <c r="E173" s="70" t="s">
        <v>1197</v>
      </c>
      <c r="F173" s="70"/>
      <c r="G173" s="70" t="s">
        <v>1198</v>
      </c>
      <c r="H173" s="69"/>
      <c r="I173" s="92">
        <v>0.05</v>
      </c>
      <c r="J173" s="93">
        <v>1000.0</v>
      </c>
      <c r="K173" s="73"/>
      <c r="L173" s="73"/>
      <c r="M173" s="73"/>
      <c r="N173" s="74"/>
    </row>
    <row r="174" ht="30.0" hidden="1" customHeight="1">
      <c r="A174" s="68">
        <v>174.0</v>
      </c>
      <c r="B174" s="68"/>
      <c r="C174" s="68"/>
      <c r="D174" s="69" t="str">
        <f>CONCATENATE(PROPER('DASMA INFO'!$G174),", ",PROPER('DASMA INFO'!$E174)," ",PROPER('DASMA INFO'!$F174),"."," (",UPPER('DASMA INFO'!$H174),")")</f>
        <v>Dy, Alvin . ()</v>
      </c>
      <c r="E174" s="70" t="s">
        <v>451</v>
      </c>
      <c r="F174" s="70"/>
      <c r="G174" s="70" t="s">
        <v>1199</v>
      </c>
      <c r="H174" s="69"/>
      <c r="I174" s="92">
        <v>0.05</v>
      </c>
      <c r="J174" s="93">
        <v>1000.0</v>
      </c>
      <c r="K174" s="73"/>
      <c r="L174" s="73"/>
      <c r="M174" s="73"/>
      <c r="N174" s="74"/>
    </row>
    <row r="175" ht="30.0" hidden="1" customHeight="1">
      <c r="A175" s="68">
        <v>175.0</v>
      </c>
      <c r="B175" s="68"/>
      <c r="C175" s="68"/>
      <c r="D175" s="69" t="str">
        <f>CONCATENATE(PROPER('DASMA INFO'!$G175),", ",PROPER('DASMA INFO'!$E175)," ",PROPER('DASMA INFO'!$F175),"."," (",UPPER('DASMA INFO'!$H175),")")</f>
        <v>Alday, Evelyn . ()</v>
      </c>
      <c r="E175" s="70" t="s">
        <v>229</v>
      </c>
      <c r="F175" s="70"/>
      <c r="G175" s="70" t="s">
        <v>1170</v>
      </c>
      <c r="H175" s="69"/>
      <c r="I175" s="92">
        <v>0.05</v>
      </c>
      <c r="J175" s="93">
        <v>1000.0</v>
      </c>
      <c r="K175" s="73"/>
      <c r="L175" s="73"/>
      <c r="M175" s="73"/>
      <c r="N175" s="74"/>
    </row>
    <row r="176" ht="30.0" hidden="1" customHeight="1">
      <c r="A176" s="68">
        <v>176.0</v>
      </c>
      <c r="B176" s="68"/>
      <c r="C176" s="68"/>
      <c r="D176" s="69" t="str">
        <f>CONCATENATE(PROPER('DASMA INFO'!$G176),", ",PROPER('DASMA INFO'!$E176)," ",PROPER('DASMA INFO'!$F176),"."," (",UPPER('DASMA INFO'!$H176),")")</f>
        <v>Calleja, Nida V. ()</v>
      </c>
      <c r="E176" s="70" t="s">
        <v>1200</v>
      </c>
      <c r="F176" s="70" t="s">
        <v>620</v>
      </c>
      <c r="G176" s="70" t="s">
        <v>1201</v>
      </c>
      <c r="H176" s="69"/>
      <c r="I176" s="92">
        <v>0.05</v>
      </c>
      <c r="J176" s="93">
        <v>1000.0</v>
      </c>
      <c r="K176" s="73" t="s">
        <v>1202</v>
      </c>
      <c r="L176" s="73"/>
      <c r="M176" s="73"/>
      <c r="N176" s="74"/>
    </row>
    <row r="177" ht="30.0" hidden="1" customHeight="1">
      <c r="A177" s="68">
        <v>177.0</v>
      </c>
      <c r="B177" s="68"/>
      <c r="C177" s="68"/>
      <c r="D177" s="69" t="str">
        <f>CONCATENATE(PROPER('DASMA INFO'!$G177),", ",PROPER('DASMA INFO'!$E177)," ",PROPER('DASMA INFO'!$F177),"."," (",UPPER('DASMA INFO'!$H177),")")</f>
        <v>Preconcillo, Mary Ann . ()</v>
      </c>
      <c r="E177" s="70" t="s">
        <v>834</v>
      </c>
      <c r="F177" s="70"/>
      <c r="G177" s="70" t="s">
        <v>1203</v>
      </c>
      <c r="H177" s="69"/>
      <c r="I177" s="92">
        <v>0.05</v>
      </c>
      <c r="J177" s="93">
        <v>1000.0</v>
      </c>
      <c r="K177" s="73"/>
      <c r="L177" s="73"/>
      <c r="M177" s="73"/>
      <c r="N177" s="74"/>
    </row>
    <row r="178" ht="30.0" hidden="1" customHeight="1">
      <c r="A178" s="68">
        <v>178.0</v>
      </c>
      <c r="B178" s="68"/>
      <c r="C178" s="68"/>
      <c r="D178" s="69" t="str">
        <f>CONCATENATE(PROPER('DASMA INFO'!$G178),", ",PROPER('DASMA INFO'!$E178)," ",PROPER('DASMA INFO'!$F178),"."," (",UPPER('DASMA INFO'!$H178),")")</f>
        <v>Viernes, Ma. Michelle . ()</v>
      </c>
      <c r="E178" s="70" t="s">
        <v>1204</v>
      </c>
      <c r="F178" s="70"/>
      <c r="G178" s="70" t="s">
        <v>1205</v>
      </c>
      <c r="H178" s="69"/>
      <c r="I178" s="92">
        <v>0.05</v>
      </c>
      <c r="J178" s="93">
        <v>1000.0</v>
      </c>
      <c r="K178" s="73"/>
      <c r="L178" s="73"/>
      <c r="M178" s="73"/>
      <c r="N178" s="74"/>
    </row>
    <row r="179" ht="30.0" hidden="1" customHeight="1">
      <c r="A179" s="68">
        <v>179.0</v>
      </c>
      <c r="B179" s="68"/>
      <c r="C179" s="68"/>
      <c r="D179" s="69" t="str">
        <f>CONCATENATE(PROPER('DASMA INFO'!$G179),", ",PROPER('DASMA INFO'!$E179)," ",PROPER('DASMA INFO'!$F179),"."," (",UPPER('DASMA INFO'!$H179),")")</f>
        <v>,  . ()</v>
      </c>
      <c r="E179" s="70"/>
      <c r="F179" s="70"/>
      <c r="G179" s="70"/>
      <c r="H179" s="69"/>
      <c r="I179" s="92">
        <v>0.05</v>
      </c>
      <c r="J179" s="93">
        <v>1000.0</v>
      </c>
      <c r="K179" s="73"/>
      <c r="L179" s="73"/>
      <c r="M179" s="73"/>
      <c r="N179" s="74"/>
    </row>
    <row r="180" ht="30.0" hidden="1" customHeight="1">
      <c r="A180" s="68">
        <v>180.0</v>
      </c>
      <c r="B180" s="68"/>
      <c r="C180" s="68"/>
      <c r="D180" s="69" t="str">
        <f>CONCATENATE(PROPER('DASMA INFO'!$G180),", ",PROPER('DASMA INFO'!$E180)," ",PROPER('DASMA INFO'!$F180),"."," (",UPPER('DASMA INFO'!$H180),")")</f>
        <v>Alvarez, Glenn . ()</v>
      </c>
      <c r="E180" s="70" t="s">
        <v>600</v>
      </c>
      <c r="F180" s="70"/>
      <c r="G180" s="70" t="s">
        <v>1206</v>
      </c>
      <c r="H180" s="69"/>
      <c r="I180" s="92">
        <v>0.05</v>
      </c>
      <c r="J180" s="93">
        <v>1000.0</v>
      </c>
      <c r="K180" s="73"/>
      <c r="L180" s="73"/>
      <c r="M180" s="73"/>
      <c r="N180" s="74"/>
    </row>
    <row r="181" ht="30.0" hidden="1" customHeight="1">
      <c r="A181" s="68">
        <v>181.0</v>
      </c>
      <c r="B181" s="68"/>
      <c r="C181" s="68"/>
      <c r="D181" s="69" t="str">
        <f>CONCATENATE(PROPER('DASMA INFO'!$G181),", ",PROPER('DASMA INFO'!$E181)," ",PROPER('DASMA INFO'!$F181),"."," (",UPPER('DASMA INFO'!$H181),")")</f>
        <v>Alonzosana, Wilma . ()</v>
      </c>
      <c r="E181" s="70" t="s">
        <v>471</v>
      </c>
      <c r="F181" s="70"/>
      <c r="G181" s="70" t="s">
        <v>1207</v>
      </c>
      <c r="H181" s="69"/>
      <c r="I181" s="92">
        <v>0.05</v>
      </c>
      <c r="J181" s="93">
        <v>1000.0</v>
      </c>
      <c r="K181" s="73"/>
      <c r="L181" s="73"/>
      <c r="M181" s="73"/>
      <c r="N181" s="74"/>
    </row>
    <row r="182" ht="30.0" hidden="1" customHeight="1">
      <c r="A182" s="68">
        <v>182.0</v>
      </c>
      <c r="B182" s="68"/>
      <c r="C182" s="68"/>
      <c r="D182" s="69" t="str">
        <f>CONCATENATE(PROPER('DASMA INFO'!$G182),", ",PROPER('DASMA INFO'!$E182)," ",PROPER('DASMA INFO'!$F182),"."," (",UPPER('DASMA INFO'!$H182),")")</f>
        <v>Andrade, Ma. Cynthia . ()</v>
      </c>
      <c r="E182" s="70" t="s">
        <v>1208</v>
      </c>
      <c r="F182" s="70"/>
      <c r="G182" s="70" t="s">
        <v>1209</v>
      </c>
      <c r="H182" s="69"/>
      <c r="I182" s="92">
        <v>0.05</v>
      </c>
      <c r="J182" s="93">
        <v>1000.0</v>
      </c>
      <c r="K182" s="73"/>
      <c r="L182" s="73"/>
      <c r="M182" s="73"/>
      <c r="N182" s="74"/>
    </row>
    <row r="183" ht="30.0" hidden="1" customHeight="1">
      <c r="A183" s="68">
        <v>183.0</v>
      </c>
      <c r="B183" s="68"/>
      <c r="C183" s="68"/>
      <c r="D183" s="69" t="str">
        <f>CONCATENATE(PROPER('DASMA INFO'!$G183),", ",PROPER('DASMA INFO'!$E183)," ",PROPER('DASMA INFO'!$F183),"."," (",UPPER('DASMA INFO'!$H183),")")</f>
        <v>Morales, Gazel . ()</v>
      </c>
      <c r="E183" s="70" t="s">
        <v>1210</v>
      </c>
      <c r="F183" s="70"/>
      <c r="G183" s="70" t="s">
        <v>895</v>
      </c>
      <c r="H183" s="69"/>
      <c r="I183" s="92">
        <v>0.05</v>
      </c>
      <c r="J183" s="93">
        <v>1000.0</v>
      </c>
      <c r="K183" s="73"/>
      <c r="L183" s="73"/>
      <c r="M183" s="73"/>
      <c r="N183" s="74"/>
    </row>
    <row r="184" ht="30.0" hidden="1" customHeight="1">
      <c r="A184" s="68">
        <v>184.0</v>
      </c>
      <c r="B184" s="68"/>
      <c r="C184" s="68"/>
      <c r="D184" s="69" t="str">
        <f>CONCATENATE(PROPER('DASMA INFO'!$G184),", ",PROPER('DASMA INFO'!$E184)," ",PROPER('DASMA INFO'!$F184),"."," (",UPPER('DASMA INFO'!$H184),")")</f>
        <v>Morales, Fidel . ()</v>
      </c>
      <c r="E184" s="70" t="s">
        <v>217</v>
      </c>
      <c r="F184" s="70"/>
      <c r="G184" s="70" t="s">
        <v>895</v>
      </c>
      <c r="H184" s="69"/>
      <c r="I184" s="92">
        <v>0.05</v>
      </c>
      <c r="J184" s="93">
        <v>1000.0</v>
      </c>
      <c r="K184" s="73"/>
      <c r="L184" s="73"/>
      <c r="M184" s="73"/>
      <c r="N184" s="74"/>
    </row>
    <row r="185" ht="30.0" hidden="1" customHeight="1">
      <c r="A185" s="68">
        <v>185.0</v>
      </c>
      <c r="B185" s="68"/>
      <c r="C185" s="68"/>
      <c r="D185" s="69" t="str">
        <f>CONCATENATE(PROPER('DASMA INFO'!$G185),", ",PROPER('DASMA INFO'!$E185)," ",PROPER('DASMA INFO'!$F185),"."," (",UPPER('DASMA INFO'!$H185),")")</f>
        <v>Mandaya, Janifel . ()</v>
      </c>
      <c r="E185" s="70" t="s">
        <v>1211</v>
      </c>
      <c r="F185" s="70"/>
      <c r="G185" s="70" t="s">
        <v>1212</v>
      </c>
      <c r="H185" s="69"/>
      <c r="I185" s="92">
        <v>0.05</v>
      </c>
      <c r="J185" s="93">
        <v>1000.0</v>
      </c>
      <c r="K185" s="73"/>
      <c r="L185" s="73"/>
      <c r="M185" s="73"/>
      <c r="N185" s="74"/>
    </row>
    <row r="186" ht="30.0" hidden="1" customHeight="1">
      <c r="A186" s="68">
        <v>186.0</v>
      </c>
      <c r="B186" s="68"/>
      <c r="C186" s="68"/>
      <c r="D186" s="69" t="str">
        <f>CONCATENATE(PROPER('DASMA INFO'!$G186),", ",PROPER('DASMA INFO'!$E186)," ",PROPER('DASMA INFO'!$F186),"."," (",UPPER('DASMA INFO'!$H186),")")</f>
        <v>Mandaya, Tessa . ()</v>
      </c>
      <c r="E186" s="70" t="s">
        <v>1213</v>
      </c>
      <c r="F186" s="70"/>
      <c r="G186" s="70" t="s">
        <v>1212</v>
      </c>
      <c r="H186" s="69"/>
      <c r="I186" s="92">
        <v>0.05</v>
      </c>
      <c r="J186" s="93">
        <v>1000.0</v>
      </c>
      <c r="K186" s="73"/>
      <c r="L186" s="73"/>
      <c r="M186" s="73"/>
      <c r="N186" s="74"/>
    </row>
    <row r="187" ht="30.0" hidden="1" customHeight="1">
      <c r="A187" s="68">
        <v>187.0</v>
      </c>
      <c r="B187" s="68"/>
      <c r="C187" s="68"/>
      <c r="D187" s="69" t="str">
        <f>CONCATENATE(PROPER('DASMA INFO'!$G187),", ",PROPER('DASMA INFO'!$E187)," ",PROPER('DASMA INFO'!$F187),"."," (",UPPER('DASMA INFO'!$H187),")")</f>
        <v>Romano, Dorina . ()</v>
      </c>
      <c r="E187" s="70" t="s">
        <v>1214</v>
      </c>
      <c r="F187" s="70"/>
      <c r="G187" s="70" t="s">
        <v>1215</v>
      </c>
      <c r="H187" s="69"/>
      <c r="I187" s="92">
        <v>0.05</v>
      </c>
      <c r="J187" s="93">
        <v>1000.0</v>
      </c>
      <c r="K187" s="73"/>
      <c r="L187" s="73"/>
      <c r="M187" s="73"/>
      <c r="N187" s="74"/>
    </row>
    <row r="188" ht="30.0" hidden="1" customHeight="1">
      <c r="A188" s="68">
        <v>188.0</v>
      </c>
      <c r="B188" s="68"/>
      <c r="C188" s="68"/>
      <c r="D188" s="69" t="str">
        <f>CONCATENATE(PROPER('DASMA INFO'!$G188),", ",PROPER('DASMA INFO'!$E188)," ",PROPER('DASMA INFO'!$F188),"."," (",UPPER('DASMA INFO'!$H188),")")</f>
        <v>Ramos, Jeny . ()</v>
      </c>
      <c r="E188" s="70" t="s">
        <v>1216</v>
      </c>
      <c r="F188" s="70"/>
      <c r="G188" s="70" t="s">
        <v>74</v>
      </c>
      <c r="H188" s="69"/>
      <c r="I188" s="92">
        <v>0.05</v>
      </c>
      <c r="J188" s="93">
        <v>1000.0</v>
      </c>
      <c r="K188" s="73"/>
      <c r="L188" s="73"/>
      <c r="M188" s="73"/>
      <c r="N188" s="74"/>
    </row>
    <row r="189" ht="30.0" hidden="1" customHeight="1">
      <c r="A189" s="68">
        <v>189.0</v>
      </c>
      <c r="B189" s="68"/>
      <c r="C189" s="68"/>
      <c r="D189" s="69" t="str">
        <f>CONCATENATE(PROPER('DASMA INFO'!$G189),", ",PROPER('DASMA INFO'!$E189)," ",PROPER('DASMA INFO'!$F189),"."," (",UPPER('DASMA INFO'!$H189),")")</f>
        <v>Calma, Felicitas . ()</v>
      </c>
      <c r="E189" s="70" t="s">
        <v>1180</v>
      </c>
      <c r="F189" s="70"/>
      <c r="G189" s="70" t="s">
        <v>344</v>
      </c>
      <c r="H189" s="69"/>
      <c r="I189" s="92">
        <v>0.05</v>
      </c>
      <c r="J189" s="93">
        <v>1000.0</v>
      </c>
      <c r="K189" s="73"/>
      <c r="L189" s="73"/>
      <c r="M189" s="73"/>
      <c r="N189" s="74"/>
    </row>
    <row r="190" ht="30.0" hidden="1" customHeight="1">
      <c r="A190" s="68">
        <v>190.0</v>
      </c>
      <c r="B190" s="68"/>
      <c r="C190" s="68"/>
      <c r="D190" s="69" t="str">
        <f>CONCATENATE(PROPER('DASMA INFO'!$G190),", ",PROPER('DASMA INFO'!$E190)," ",PROPER('DASMA INFO'!$F190),"."," (",UPPER('DASMA INFO'!$H190),")")</f>
        <v>Camulte, Fil V. ()</v>
      </c>
      <c r="E190" s="70" t="s">
        <v>1217</v>
      </c>
      <c r="F190" s="70" t="s">
        <v>620</v>
      </c>
      <c r="G190" s="70" t="s">
        <v>1218</v>
      </c>
      <c r="H190" s="69"/>
      <c r="I190" s="92">
        <v>0.05</v>
      </c>
      <c r="J190" s="93">
        <v>1000.0</v>
      </c>
      <c r="K190" s="73"/>
      <c r="L190" s="73"/>
      <c r="M190" s="73"/>
      <c r="N190" s="74"/>
    </row>
    <row r="191" ht="30.0" hidden="1" customHeight="1">
      <c r="A191" s="68">
        <v>191.0</v>
      </c>
      <c r="B191" s="68"/>
      <c r="C191" s="68"/>
      <c r="D191" s="69" t="str">
        <f>CONCATENATE(PROPER('DASMA INFO'!$G191),", ",PROPER('DASMA INFO'!$E191)," ",PROPER('DASMA INFO'!$F191),"."," (",UPPER('DASMA INFO'!$H191),")")</f>
        <v>Samonte, Emy . ()</v>
      </c>
      <c r="E191" s="70" t="s">
        <v>1219</v>
      </c>
      <c r="F191" s="70"/>
      <c r="G191" s="70" t="s">
        <v>1220</v>
      </c>
      <c r="H191" s="69"/>
      <c r="I191" s="92">
        <v>0.05</v>
      </c>
      <c r="J191" s="93">
        <v>1000.0</v>
      </c>
      <c r="K191" s="73"/>
      <c r="L191" s="73"/>
      <c r="M191" s="73"/>
      <c r="N191" s="74"/>
    </row>
    <row r="192" ht="30.0" hidden="1" customHeight="1">
      <c r="A192" s="68">
        <v>192.0</v>
      </c>
      <c r="B192" s="68"/>
      <c r="C192" s="68"/>
      <c r="D192" s="69" t="str">
        <f>CONCATENATE(PROPER('DASMA INFO'!$G192),", ",PROPER('DASMA INFO'!$E192)," ",PROPER('DASMA INFO'!$F192),"."," (",UPPER('DASMA INFO'!$H192),")")</f>
        <v>Mapanoo, Carmen . ()</v>
      </c>
      <c r="E192" s="70" t="s">
        <v>1221</v>
      </c>
      <c r="F192" s="70"/>
      <c r="G192" s="70" t="s">
        <v>252</v>
      </c>
      <c r="H192" s="69"/>
      <c r="I192" s="92">
        <v>0.05</v>
      </c>
      <c r="J192" s="93">
        <v>1000.0</v>
      </c>
      <c r="K192" s="73"/>
      <c r="L192" s="73"/>
      <c r="M192" s="73"/>
      <c r="N192" s="74"/>
    </row>
    <row r="193" ht="30.0" hidden="1" customHeight="1">
      <c r="A193" s="68">
        <v>193.0</v>
      </c>
      <c r="B193" s="68"/>
      <c r="C193" s="68"/>
      <c r="D193" s="69" t="str">
        <f>CONCATENATE(PROPER('DASMA INFO'!$G193),", ",PROPER('DASMA INFO'!$E193)," ",PROPER('DASMA INFO'!$F193),"."," (",UPPER('DASMA INFO'!$H193),")")</f>
        <v>Villaflor, Gemma . ()</v>
      </c>
      <c r="E193" s="70" t="s">
        <v>1222</v>
      </c>
      <c r="F193" s="70"/>
      <c r="G193" s="70" t="s">
        <v>1223</v>
      </c>
      <c r="H193" s="69"/>
      <c r="I193" s="92">
        <v>0.05</v>
      </c>
      <c r="J193" s="93">
        <v>1000.0</v>
      </c>
      <c r="K193" s="73"/>
      <c r="L193" s="73"/>
      <c r="M193" s="73"/>
      <c r="N193" s="74"/>
    </row>
    <row r="194" ht="30.0" hidden="1" customHeight="1">
      <c r="A194" s="68">
        <v>194.0</v>
      </c>
      <c r="B194" s="68"/>
      <c r="C194" s="68"/>
      <c r="D194" s="69" t="str">
        <f>CONCATENATE(PROPER('DASMA INFO'!$G194),", ",PROPER('DASMA INFO'!$E194)," ",PROPER('DASMA INFO'!$F194),"."," (",UPPER('DASMA INFO'!$H194),")")</f>
        <v>Vejerano, Alicia . ()</v>
      </c>
      <c r="E194" s="70" t="s">
        <v>1224</v>
      </c>
      <c r="F194" s="70"/>
      <c r="G194" s="70" t="s">
        <v>1225</v>
      </c>
      <c r="H194" s="69"/>
      <c r="I194" s="92">
        <v>0.05</v>
      </c>
      <c r="J194" s="93">
        <v>1000.0</v>
      </c>
      <c r="K194" s="73"/>
      <c r="L194" s="73"/>
      <c r="M194" s="73"/>
      <c r="N194" s="74"/>
    </row>
    <row r="195" ht="30.0" hidden="1" customHeight="1">
      <c r="A195" s="68">
        <v>195.0</v>
      </c>
      <c r="B195" s="68"/>
      <c r="C195" s="68"/>
      <c r="D195" s="69" t="str">
        <f>CONCATENATE(PROPER('DASMA INFO'!$G195),", ",PROPER('DASMA INFO'!$E195)," ",PROPER('DASMA INFO'!$F195),"."," (",UPPER('DASMA INFO'!$H195),")")</f>
        <v>Macapugas, Rico P. ()</v>
      </c>
      <c r="E195" s="70" t="s">
        <v>1226</v>
      </c>
      <c r="F195" s="70" t="s">
        <v>513</v>
      </c>
      <c r="G195" s="70" t="s">
        <v>1227</v>
      </c>
      <c r="H195" s="69"/>
      <c r="I195" s="92">
        <v>0.05</v>
      </c>
      <c r="J195" s="93">
        <v>1000.0</v>
      </c>
      <c r="K195" s="73"/>
      <c r="L195" s="73"/>
      <c r="M195" s="73"/>
      <c r="N195" s="74"/>
    </row>
    <row r="196" ht="30.0" hidden="1" customHeight="1">
      <c r="A196" s="68">
        <v>196.0</v>
      </c>
      <c r="B196" s="68"/>
      <c r="C196" s="68"/>
      <c r="D196" s="69" t="str">
        <f>CONCATENATE(PROPER('DASMA INFO'!$G196),", ",PROPER('DASMA INFO'!$E196)," ",PROPER('DASMA INFO'!$F196),"."," (",UPPER('DASMA INFO'!$H196),")")</f>
        <v>Guzman, Mercedes . ()</v>
      </c>
      <c r="E196" s="70" t="s">
        <v>1228</v>
      </c>
      <c r="F196" s="70"/>
      <c r="G196" s="70" t="s">
        <v>1229</v>
      </c>
      <c r="H196" s="69"/>
      <c r="I196" s="92">
        <v>0.05</v>
      </c>
      <c r="J196" s="93">
        <v>1000.0</v>
      </c>
      <c r="K196" s="73"/>
      <c r="L196" s="73"/>
      <c r="M196" s="73"/>
      <c r="N196" s="74"/>
    </row>
    <row r="197" ht="30.0" hidden="1" customHeight="1">
      <c r="A197" s="68">
        <v>197.0</v>
      </c>
      <c r="B197" s="68"/>
      <c r="C197" s="68"/>
      <c r="D197" s="69" t="str">
        <f>CONCATENATE(PROPER('DASMA INFO'!$G197),", ",PROPER('DASMA INFO'!$E197)," ",PROPER('DASMA INFO'!$F197),"."," (",UPPER('DASMA INFO'!$H197),")")</f>
        <v>Nito, Yu . ()</v>
      </c>
      <c r="E197" s="70" t="s">
        <v>297</v>
      </c>
      <c r="F197" s="70"/>
      <c r="G197" s="70" t="s">
        <v>296</v>
      </c>
      <c r="H197" s="69"/>
      <c r="I197" s="92">
        <v>0.05</v>
      </c>
      <c r="J197" s="93">
        <v>1000.0</v>
      </c>
      <c r="K197" s="73"/>
      <c r="L197" s="73"/>
      <c r="M197" s="73"/>
      <c r="N197" s="74"/>
    </row>
    <row r="198" ht="30.0" hidden="1" customHeight="1">
      <c r="A198" s="68">
        <v>198.0</v>
      </c>
      <c r="B198" s="68"/>
      <c r="C198" s="68"/>
      <c r="D198" s="69" t="str">
        <f>CONCATENATE(PROPER('DASMA INFO'!$G198),", ",PROPER('DASMA INFO'!$E198)," ",PROPER('DASMA INFO'!$F198),"."," (",UPPER('DASMA INFO'!$H198),")")</f>
        <v>Austria, Kristina Karen S. ()</v>
      </c>
      <c r="E198" s="70" t="s">
        <v>1230</v>
      </c>
      <c r="F198" s="70" t="s">
        <v>342</v>
      </c>
      <c r="G198" s="70" t="s">
        <v>295</v>
      </c>
      <c r="H198" s="69"/>
      <c r="I198" s="92">
        <v>0.05</v>
      </c>
      <c r="J198" s="93">
        <v>1000.0</v>
      </c>
      <c r="K198" s="73"/>
      <c r="L198" s="73"/>
      <c r="M198" s="73"/>
      <c r="N198" s="74"/>
    </row>
    <row r="199" ht="30.0" hidden="1" customHeight="1">
      <c r="A199" s="68">
        <v>199.0</v>
      </c>
      <c r="B199" s="68"/>
      <c r="C199" s="68"/>
      <c r="D199" s="69" t="str">
        <f>CONCATENATE(PROPER('DASMA INFO'!$G199),", ",PROPER('DASMA INFO'!$E199)," ",PROPER('DASMA INFO'!$F199),"."," (",UPPER('DASMA INFO'!$H199),")")</f>
        <v>Tolentino, Nestor C. ()</v>
      </c>
      <c r="E199" s="70" t="s">
        <v>205</v>
      </c>
      <c r="F199" s="70" t="s">
        <v>318</v>
      </c>
      <c r="G199" s="70" t="s">
        <v>206</v>
      </c>
      <c r="H199" s="69"/>
      <c r="I199" s="92">
        <v>0.05</v>
      </c>
      <c r="J199" s="93">
        <v>1000.0</v>
      </c>
      <c r="K199" s="73" t="s">
        <v>1231</v>
      </c>
      <c r="L199" s="73"/>
      <c r="M199" s="73"/>
      <c r="N199" s="74"/>
    </row>
    <row r="200" ht="30.0" hidden="1" customHeight="1">
      <c r="A200" s="68">
        <v>200.0</v>
      </c>
      <c r="B200" s="68"/>
      <c r="C200" s="68"/>
      <c r="D200" s="69" t="str">
        <f>CONCATENATE(PROPER('DASMA INFO'!$G200),", ",PROPER('DASMA INFO'!$E200)," ",PROPER('DASMA INFO'!$F200),"."," (",UPPER('DASMA INFO'!$H200),")")</f>
        <v>Arenas, Reynally . ()</v>
      </c>
      <c r="E200" s="70" t="s">
        <v>1232</v>
      </c>
      <c r="F200" s="70"/>
      <c r="G200" s="70" t="s">
        <v>1233</v>
      </c>
      <c r="H200" s="69"/>
      <c r="I200" s="92">
        <v>0.05</v>
      </c>
      <c r="J200" s="93">
        <v>1000.0</v>
      </c>
      <c r="K200" s="73"/>
      <c r="L200" s="73"/>
      <c r="M200" s="73"/>
      <c r="N200" s="74"/>
    </row>
    <row r="201" ht="30.0" hidden="1" customHeight="1">
      <c r="A201" s="68">
        <v>201.0</v>
      </c>
      <c r="B201" s="68"/>
      <c r="C201" s="68"/>
      <c r="D201" s="69" t="str">
        <f>CONCATENATE(PROPER('DASMA INFO'!$G201),", ",PROPER('DASMA INFO'!$E201)," ",PROPER('DASMA INFO'!$F201),"."," (",UPPER('DASMA INFO'!$H201),")")</f>
        <v>Arenas, Darlene . ()</v>
      </c>
      <c r="E201" s="70" t="s">
        <v>1234</v>
      </c>
      <c r="F201" s="70"/>
      <c r="G201" s="70" t="s">
        <v>1233</v>
      </c>
      <c r="H201" s="69"/>
      <c r="I201" s="92">
        <v>0.05</v>
      </c>
      <c r="J201" s="93">
        <v>1000.0</v>
      </c>
      <c r="K201" s="73"/>
      <c r="L201" s="73"/>
      <c r="M201" s="73"/>
      <c r="N201" s="74"/>
    </row>
    <row r="202" ht="30.0" hidden="1" customHeight="1">
      <c r="A202" s="68">
        <v>202.0</v>
      </c>
      <c r="B202" s="68"/>
      <c r="C202" s="68"/>
      <c r="D202" s="69" t="str">
        <f>CONCATENATE(PROPER('DASMA INFO'!$G202),", ",PROPER('DASMA INFO'!$E202)," ",PROPER('DASMA INFO'!$F202),"."," (",UPPER('DASMA INFO'!$H202),")")</f>
        <v>Melad, Melissa . ()</v>
      </c>
      <c r="E202" s="70" t="s">
        <v>1235</v>
      </c>
      <c r="F202" s="70"/>
      <c r="G202" s="70" t="s">
        <v>1236</v>
      </c>
      <c r="H202" s="69"/>
      <c r="I202" s="92">
        <v>0.05</v>
      </c>
      <c r="J202" s="93">
        <v>1000.0</v>
      </c>
      <c r="K202" s="73"/>
      <c r="L202" s="73"/>
      <c r="M202" s="73"/>
      <c r="N202" s="74"/>
    </row>
    <row r="203" ht="30.0" hidden="1" customHeight="1">
      <c r="A203" s="68">
        <v>203.0</v>
      </c>
      <c r="B203" s="68"/>
      <c r="C203" s="68"/>
      <c r="D203" s="69" t="str">
        <f>CONCATENATE(PROPER('DASMA INFO'!$G203),", ",PROPER('DASMA INFO'!$E203)," ",PROPER('DASMA INFO'!$F203),"."," (",UPPER('DASMA INFO'!$H203),")")</f>
        <v>Contreras, Vanessa S. ()</v>
      </c>
      <c r="E203" s="70" t="s">
        <v>1237</v>
      </c>
      <c r="F203" s="70" t="s">
        <v>342</v>
      </c>
      <c r="G203" s="70" t="s">
        <v>1238</v>
      </c>
      <c r="H203" s="69"/>
      <c r="I203" s="92">
        <v>0.05</v>
      </c>
      <c r="J203" s="93">
        <v>1000.0</v>
      </c>
      <c r="K203" s="73"/>
      <c r="L203" s="73"/>
      <c r="M203" s="73"/>
      <c r="N203" s="74"/>
    </row>
    <row r="204" ht="30.0" hidden="1" customHeight="1">
      <c r="A204" s="68">
        <v>204.0</v>
      </c>
      <c r="B204" s="68"/>
      <c r="C204" s="68"/>
      <c r="D204" s="69" t="str">
        <f>CONCATENATE(PROPER('DASMA INFO'!$G204),", ",PROPER('DASMA INFO'!$E204)," ",PROPER('DASMA INFO'!$F204),"."," (",UPPER('DASMA INFO'!$H204),")")</f>
        <v>Maldamer, Nevin . ()</v>
      </c>
      <c r="E204" s="70" t="s">
        <v>1239</v>
      </c>
      <c r="F204" s="70"/>
      <c r="G204" s="70" t="s">
        <v>1240</v>
      </c>
      <c r="H204" s="69"/>
      <c r="I204" s="92">
        <v>0.05</v>
      </c>
      <c r="J204" s="93">
        <v>1000.0</v>
      </c>
      <c r="K204" s="73"/>
      <c r="L204" s="73"/>
      <c r="M204" s="73"/>
      <c r="N204" s="74"/>
    </row>
    <row r="205" ht="30.0" hidden="1" customHeight="1">
      <c r="A205" s="68">
        <v>205.0</v>
      </c>
      <c r="B205" s="68"/>
      <c r="C205" s="68"/>
      <c r="D205" s="69" t="str">
        <f>CONCATENATE(PROPER('DASMA INFO'!$G205),", ",PROPER('DASMA INFO'!$E205)," ",PROPER('DASMA INFO'!$F205),"."," (",UPPER('DASMA INFO'!$H205),")")</f>
        <v>De Leon, Jessnard . ()</v>
      </c>
      <c r="E205" s="70" t="s">
        <v>1241</v>
      </c>
      <c r="F205" s="70"/>
      <c r="G205" s="70" t="s">
        <v>1136</v>
      </c>
      <c r="H205" s="69"/>
      <c r="I205" s="92">
        <v>0.05</v>
      </c>
      <c r="J205" s="93">
        <v>1000.0</v>
      </c>
      <c r="K205" s="73"/>
      <c r="L205" s="73"/>
      <c r="M205" s="73"/>
      <c r="N205" s="74"/>
    </row>
    <row r="206" ht="30.0" hidden="1" customHeight="1">
      <c r="A206" s="68">
        <v>206.0</v>
      </c>
      <c r="B206" s="68"/>
      <c r="C206" s="68"/>
      <c r="D206" s="69" t="str">
        <f>CONCATENATE(PROPER('DASMA INFO'!$G206),", ",PROPER('DASMA INFO'!$E206)," ",PROPER('DASMA INFO'!$F206),"."," (",UPPER('DASMA INFO'!$H206),")")</f>
        <v>Chavez, Hansvon R. ()</v>
      </c>
      <c r="E206" s="70" t="s">
        <v>1242</v>
      </c>
      <c r="F206" s="70" t="s">
        <v>260</v>
      </c>
      <c r="G206" s="70" t="s">
        <v>179</v>
      </c>
      <c r="H206" s="69"/>
      <c r="I206" s="92">
        <v>0.05</v>
      </c>
      <c r="J206" s="93">
        <v>1000.0</v>
      </c>
      <c r="K206" s="73"/>
      <c r="L206" s="73"/>
      <c r="M206" s="73"/>
      <c r="N206" s="74"/>
    </row>
    <row r="207" ht="30.0" hidden="1" customHeight="1">
      <c r="A207" s="68">
        <v>207.0</v>
      </c>
      <c r="B207" s="68"/>
      <c r="C207" s="68"/>
      <c r="D207" s="69" t="str">
        <f>CONCATENATE(PROPER('DASMA INFO'!$G207),", ",PROPER('DASMA INFO'!$E207)," ",PROPER('DASMA INFO'!$F207),"."," (",UPPER('DASMA INFO'!$H207),")")</f>
        <v>Moscatiles, Preseda . ()</v>
      </c>
      <c r="E207" s="70" t="s">
        <v>1243</v>
      </c>
      <c r="F207" s="70"/>
      <c r="G207" s="70" t="s">
        <v>1244</v>
      </c>
      <c r="H207" s="69"/>
      <c r="I207" s="92">
        <v>0.05</v>
      </c>
      <c r="J207" s="93">
        <v>1000.0</v>
      </c>
      <c r="K207" s="73"/>
      <c r="L207" s="73"/>
      <c r="M207" s="73"/>
      <c r="N207" s="74"/>
    </row>
    <row r="208" ht="30.0" hidden="1" customHeight="1">
      <c r="A208" s="68">
        <v>208.0</v>
      </c>
      <c r="B208" s="68"/>
      <c r="C208" s="68"/>
      <c r="D208" s="69" t="str">
        <f>CONCATENATE(PROPER('DASMA INFO'!$G208),", ",PROPER('DASMA INFO'!$E208)," ",PROPER('DASMA INFO'!$F208),"."," (",UPPER('DASMA INFO'!$H208),")")</f>
        <v>Tablada, Cesar . ()</v>
      </c>
      <c r="E208" s="70" t="s">
        <v>692</v>
      </c>
      <c r="F208" s="70"/>
      <c r="G208" s="70" t="s">
        <v>1036</v>
      </c>
      <c r="H208" s="69"/>
      <c r="I208" s="92">
        <v>0.05</v>
      </c>
      <c r="J208" s="93">
        <v>1000.0</v>
      </c>
      <c r="K208" s="73"/>
      <c r="L208" s="73"/>
      <c r="M208" s="73"/>
      <c r="N208" s="74"/>
    </row>
    <row r="209" ht="30.0" hidden="1" customHeight="1">
      <c r="A209" s="68">
        <v>209.0</v>
      </c>
      <c r="B209" s="68"/>
      <c r="C209" s="68"/>
      <c r="D209" s="69" t="str">
        <f>CONCATENATE(PROPER('DASMA INFO'!$G209),", ",PROPER('DASMA INFO'!$E209)," ",PROPER('DASMA INFO'!$F209),"."," (",UPPER('DASMA INFO'!$H209),")")</f>
        <v>Sabal, Gina . ()</v>
      </c>
      <c r="E209" s="70" t="s">
        <v>1103</v>
      </c>
      <c r="F209" s="70"/>
      <c r="G209" s="70" t="s">
        <v>1245</v>
      </c>
      <c r="H209" s="69"/>
      <c r="I209" s="92">
        <v>0.05</v>
      </c>
      <c r="J209" s="93">
        <v>1000.0</v>
      </c>
      <c r="K209" s="73"/>
      <c r="L209" s="73"/>
      <c r="M209" s="73"/>
      <c r="N209" s="74"/>
    </row>
    <row r="210" ht="30.0" hidden="1" customHeight="1">
      <c r="A210" s="68">
        <v>210.0</v>
      </c>
      <c r="B210" s="68"/>
      <c r="C210" s="68"/>
      <c r="D210" s="69" t="str">
        <f>CONCATENATE(PROPER('DASMA INFO'!$G210),", ",PROPER('DASMA INFO'!$E210)," ",PROPER('DASMA INFO'!$F210),"."," (",UPPER('DASMA INFO'!$H210),")")</f>
        <v>Pajanostan, Lilibeth . ()</v>
      </c>
      <c r="E210" s="70" t="s">
        <v>1246</v>
      </c>
      <c r="F210" s="70"/>
      <c r="G210" s="70" t="s">
        <v>1247</v>
      </c>
      <c r="H210" s="69"/>
      <c r="I210" s="92">
        <v>0.05</v>
      </c>
      <c r="J210" s="93">
        <v>1000.0</v>
      </c>
      <c r="K210" s="73"/>
      <c r="L210" s="73"/>
      <c r="M210" s="73"/>
      <c r="N210" s="74"/>
    </row>
    <row r="211" ht="30.0" hidden="1" customHeight="1">
      <c r="A211" s="68">
        <v>211.0</v>
      </c>
      <c r="B211" s="68"/>
      <c r="C211" s="68"/>
      <c r="D211" s="69" t="str">
        <f>CONCATENATE(PROPER('DASMA INFO'!$G211),", ",PROPER('DASMA INFO'!$E211)," ",PROPER('DASMA INFO'!$F211),"."," (",UPPER('DASMA INFO'!$H211),")")</f>
        <v>,  . ()</v>
      </c>
      <c r="E211" s="70"/>
      <c r="F211" s="70"/>
      <c r="G211" s="70"/>
      <c r="H211" s="69"/>
      <c r="I211" s="92">
        <v>0.05</v>
      </c>
      <c r="J211" s="93">
        <v>1000.0</v>
      </c>
      <c r="K211" s="73"/>
      <c r="L211" s="73"/>
      <c r="M211" s="73"/>
      <c r="N211" s="74"/>
    </row>
    <row r="212" ht="30.0" hidden="1" customHeight="1">
      <c r="A212" s="68">
        <v>212.0</v>
      </c>
      <c r="B212" s="68"/>
      <c r="C212" s="68"/>
      <c r="D212" s="69" t="str">
        <f>CONCATENATE(PROPER('DASMA INFO'!$G212),", ",PROPER('DASMA INFO'!$E212)," ",PROPER('DASMA INFO'!$F212),"."," (",UPPER('DASMA INFO'!$H212),")")</f>
        <v>Evangelista, Arthur . ()</v>
      </c>
      <c r="E212" s="70" t="s">
        <v>484</v>
      </c>
      <c r="F212" s="70"/>
      <c r="G212" s="70" t="s">
        <v>1248</v>
      </c>
      <c r="H212" s="69"/>
      <c r="I212" s="92">
        <v>0.05</v>
      </c>
      <c r="J212" s="93">
        <v>1000.0</v>
      </c>
      <c r="K212" s="73"/>
      <c r="L212" s="73"/>
      <c r="M212" s="73"/>
      <c r="N212" s="74"/>
    </row>
    <row r="213" ht="30.0" hidden="1" customHeight="1">
      <c r="A213" s="68">
        <v>213.0</v>
      </c>
      <c r="B213" s="68"/>
      <c r="C213" s="68"/>
      <c r="D213" s="69" t="str">
        <f>CONCATENATE(PROPER('DASMA INFO'!$G213),", ",PROPER('DASMA INFO'!$E213)," ",PROPER('DASMA INFO'!$F213),"."," (",UPPER('DASMA INFO'!$H213),")")</f>
        <v>Sugano, Beverly Jane . ()</v>
      </c>
      <c r="E213" s="70" t="s">
        <v>1249</v>
      </c>
      <c r="F213" s="70"/>
      <c r="G213" s="70" t="s">
        <v>1250</v>
      </c>
      <c r="H213" s="69"/>
      <c r="I213" s="92">
        <v>0.05</v>
      </c>
      <c r="J213" s="93">
        <v>1000.0</v>
      </c>
      <c r="K213" s="73"/>
      <c r="L213" s="73"/>
      <c r="M213" s="73"/>
      <c r="N213" s="74"/>
    </row>
    <row r="214" ht="30.0" hidden="1" customHeight="1">
      <c r="A214" s="68">
        <v>214.0</v>
      </c>
      <c r="B214" s="68"/>
      <c r="C214" s="68"/>
      <c r="D214" s="69" t="str">
        <f>CONCATENATE(PROPER('DASMA INFO'!$G214),", ",PROPER('DASMA INFO'!$E214)," ",PROPER('DASMA INFO'!$F214),"."," (",UPPER('DASMA INFO'!$H214),")")</f>
        <v>Sabio, Cecilia . ()</v>
      </c>
      <c r="E214" s="70" t="s">
        <v>306</v>
      </c>
      <c r="F214" s="70"/>
      <c r="G214" s="70" t="s">
        <v>1251</v>
      </c>
      <c r="H214" s="69"/>
      <c r="I214" s="92">
        <v>0.05</v>
      </c>
      <c r="J214" s="93">
        <v>1000.0</v>
      </c>
      <c r="K214" s="73"/>
      <c r="L214" s="73"/>
      <c r="M214" s="73"/>
      <c r="N214" s="74"/>
    </row>
    <row r="215" ht="30.0" hidden="1" customHeight="1">
      <c r="A215" s="68">
        <v>215.0</v>
      </c>
      <c r="B215" s="68"/>
      <c r="C215" s="68"/>
      <c r="D215" s="69" t="str">
        <f>CONCATENATE(PROPER('DASMA INFO'!$G215),", ",PROPER('DASMA INFO'!$E215)," ",PROPER('DASMA INFO'!$F215),"."," (",UPPER('DASMA INFO'!$H215),")")</f>
        <v>Basilan, Leilani . ()</v>
      </c>
      <c r="E215" s="70" t="s">
        <v>1252</v>
      </c>
      <c r="F215" s="70"/>
      <c r="G215" s="70" t="s">
        <v>1253</v>
      </c>
      <c r="H215" s="69"/>
      <c r="I215" s="92">
        <v>0.05</v>
      </c>
      <c r="J215" s="93">
        <v>1000.0</v>
      </c>
      <c r="K215" s="73"/>
      <c r="L215" s="73"/>
      <c r="M215" s="73"/>
      <c r="N215" s="74"/>
    </row>
    <row r="216" ht="30.0" hidden="1" customHeight="1">
      <c r="A216" s="68">
        <v>216.0</v>
      </c>
      <c r="B216" s="68"/>
      <c r="C216" s="68"/>
      <c r="D216" s="69" t="str">
        <f>CONCATENATE(PROPER('DASMA INFO'!$G216),", ",PROPER('DASMA INFO'!$E216)," ",PROPER('DASMA INFO'!$F216),"."," (",UPPER('DASMA INFO'!$H216),")")</f>
        <v>Miranda, Mario . ()</v>
      </c>
      <c r="E216" s="70" t="s">
        <v>1254</v>
      </c>
      <c r="F216" s="70"/>
      <c r="G216" s="70" t="s">
        <v>1255</v>
      </c>
      <c r="H216" s="69"/>
      <c r="I216" s="92">
        <v>0.05</v>
      </c>
      <c r="J216" s="93">
        <v>1000.0</v>
      </c>
      <c r="K216" s="73"/>
      <c r="L216" s="73"/>
      <c r="M216" s="73"/>
      <c r="N216" s="74"/>
    </row>
    <row r="217" ht="30.0" hidden="1" customHeight="1">
      <c r="A217" s="68">
        <v>217.0</v>
      </c>
      <c r="B217" s="68"/>
      <c r="C217" s="68"/>
      <c r="D217" s="69" t="str">
        <f>CONCATENATE(PROPER('DASMA INFO'!$G217),", ",PROPER('DASMA INFO'!$E217)," ",PROPER('DASMA INFO'!$F217),"."," (",UPPER('DASMA INFO'!$H217),")")</f>
        <v>Agustino, Glenn . ()</v>
      </c>
      <c r="E217" s="70" t="s">
        <v>600</v>
      </c>
      <c r="F217" s="70"/>
      <c r="G217" s="70" t="s">
        <v>1256</v>
      </c>
      <c r="H217" s="69"/>
      <c r="I217" s="92">
        <v>0.05</v>
      </c>
      <c r="J217" s="93">
        <v>1000.0</v>
      </c>
      <c r="K217" s="73"/>
      <c r="L217" s="73"/>
      <c r="M217" s="73"/>
      <c r="N217" s="74"/>
    </row>
    <row r="218" ht="30.0" hidden="1" customHeight="1">
      <c r="A218" s="68">
        <v>218.0</v>
      </c>
      <c r="B218" s="68"/>
      <c r="C218" s="68"/>
      <c r="D218" s="69" t="str">
        <f>CONCATENATE(PROPER('DASMA INFO'!$G218),", ",PROPER('DASMA INFO'!$E218)," ",PROPER('DASMA INFO'!$F218),"."," (",UPPER('DASMA INFO'!$H218),")")</f>
        <v>Vista, Analyn . ()</v>
      </c>
      <c r="E218" s="70" t="s">
        <v>151</v>
      </c>
      <c r="F218" s="70"/>
      <c r="G218" s="70" t="s">
        <v>1257</v>
      </c>
      <c r="H218" s="69"/>
      <c r="I218" s="92">
        <v>0.05</v>
      </c>
      <c r="J218" s="93">
        <v>1000.0</v>
      </c>
      <c r="K218" s="73"/>
      <c r="L218" s="73"/>
      <c r="M218" s="73"/>
      <c r="N218" s="74"/>
    </row>
    <row r="219" ht="30.0" hidden="1" customHeight="1">
      <c r="A219" s="68">
        <v>219.0</v>
      </c>
      <c r="B219" s="68"/>
      <c r="C219" s="68"/>
      <c r="D219" s="69" t="str">
        <f>CONCATENATE(PROPER('DASMA INFO'!$G219),", ",PROPER('DASMA INFO'!$E219)," ",PROPER('DASMA INFO'!$F219),"."," (",UPPER('DASMA INFO'!$H219),")")</f>
        <v>Lacerna, Leo . ()</v>
      </c>
      <c r="E219" s="70" t="s">
        <v>1258</v>
      </c>
      <c r="F219" s="70"/>
      <c r="G219" s="70" t="s">
        <v>910</v>
      </c>
      <c r="H219" s="69"/>
      <c r="I219" s="92">
        <v>0.05</v>
      </c>
      <c r="J219" s="93">
        <v>1000.0</v>
      </c>
      <c r="K219" s="73"/>
      <c r="L219" s="73"/>
      <c r="M219" s="73"/>
      <c r="N219" s="74"/>
    </row>
    <row r="220" ht="30.0" hidden="1" customHeight="1">
      <c r="A220" s="68">
        <v>220.0</v>
      </c>
      <c r="B220" s="68"/>
      <c r="C220" s="68"/>
      <c r="D220" s="69" t="str">
        <f>CONCATENATE(PROPER('DASMA INFO'!$G220),", ",PROPER('DASMA INFO'!$E220)," ",PROPER('DASMA INFO'!$F220),"."," (",UPPER('DASMA INFO'!$H220),")")</f>
        <v>Andrade, Maricar . ()</v>
      </c>
      <c r="E220" s="70" t="s">
        <v>521</v>
      </c>
      <c r="F220" s="70"/>
      <c r="G220" s="70" t="s">
        <v>1209</v>
      </c>
      <c r="H220" s="69"/>
      <c r="I220" s="92">
        <v>0.05</v>
      </c>
      <c r="J220" s="93">
        <v>1000.0</v>
      </c>
      <c r="K220" s="73"/>
      <c r="L220" s="73"/>
      <c r="M220" s="73"/>
      <c r="N220" s="74"/>
    </row>
    <row r="221" ht="30.0" hidden="1" customHeight="1">
      <c r="A221" s="68">
        <v>221.0</v>
      </c>
      <c r="B221" s="68"/>
      <c r="C221" s="68"/>
      <c r="D221" s="69" t="str">
        <f>CONCATENATE(PROPER('DASMA INFO'!$G221),", ",PROPER('DASMA INFO'!$E221)," ",PROPER('DASMA INFO'!$F221),"."," (",UPPER('DASMA INFO'!$H221),")")</f>
        <v>De Lara, Marlon R. ()</v>
      </c>
      <c r="E221" s="70" t="s">
        <v>685</v>
      </c>
      <c r="F221" s="70" t="s">
        <v>260</v>
      </c>
      <c r="G221" s="70" t="s">
        <v>163</v>
      </c>
      <c r="H221" s="70"/>
      <c r="I221" s="92">
        <v>0.05</v>
      </c>
      <c r="J221" s="93">
        <v>1000.0</v>
      </c>
      <c r="K221" s="73" t="s">
        <v>1053</v>
      </c>
      <c r="L221" s="73"/>
      <c r="M221" s="73"/>
      <c r="N221" s="74"/>
    </row>
    <row r="222" ht="30.0" hidden="1" customHeight="1">
      <c r="A222" s="68">
        <v>222.0</v>
      </c>
      <c r="B222" s="68"/>
      <c r="C222" s="68"/>
      <c r="D222" s="69" t="str">
        <f>CONCATENATE(PROPER('DASMA INFO'!$G222),", ",PROPER('DASMA INFO'!$E222)," ",PROPER('DASMA INFO'!$F222),"."," (",UPPER('DASMA INFO'!$H222),")")</f>
        <v>Almodiente, Nono . ()</v>
      </c>
      <c r="E222" s="70" t="s">
        <v>1259</v>
      </c>
      <c r="F222" s="70"/>
      <c r="G222" s="70" t="s">
        <v>1260</v>
      </c>
      <c r="H222" s="70"/>
      <c r="I222" s="92">
        <v>0.05</v>
      </c>
      <c r="J222" s="93">
        <v>1000.0</v>
      </c>
      <c r="K222" s="73"/>
      <c r="L222" s="73"/>
      <c r="M222" s="73"/>
      <c r="N222" s="74"/>
    </row>
    <row r="223" ht="30.0" hidden="1" customHeight="1">
      <c r="A223" s="68">
        <v>223.0</v>
      </c>
      <c r="B223" s="68"/>
      <c r="C223" s="68"/>
      <c r="D223" s="69" t="str">
        <f>CONCATENATE(PROPER('DASMA INFO'!$G223),", ",PROPER('DASMA INFO'!$E223)," ",PROPER('DASMA INFO'!$F223),"."," (",UPPER('DASMA INFO'!$H223),")")</f>
        <v>Ordillo, Richard P. ()</v>
      </c>
      <c r="E223" s="70" t="s">
        <v>1039</v>
      </c>
      <c r="F223" s="70" t="s">
        <v>513</v>
      </c>
      <c r="G223" s="70" t="s">
        <v>1261</v>
      </c>
      <c r="H223" s="69"/>
      <c r="I223" s="92">
        <v>0.05</v>
      </c>
      <c r="J223" s="93">
        <v>1000.0</v>
      </c>
      <c r="K223" s="73" t="s">
        <v>1053</v>
      </c>
      <c r="L223" s="73"/>
      <c r="M223" s="73"/>
      <c r="N223" s="74"/>
    </row>
    <row r="224" ht="30.0" hidden="1" customHeight="1">
      <c r="A224" s="68">
        <v>224.0</v>
      </c>
      <c r="B224" s="68"/>
      <c r="C224" s="68"/>
      <c r="D224" s="69" t="str">
        <f>CONCATENATE(PROPER('DASMA INFO'!$G224),", ",PROPER('DASMA INFO'!$E224)," ",PROPER('DASMA INFO'!$F224),"."," (",UPPER('DASMA INFO'!$H224),")")</f>
        <v>Torres, Juan Miguel V. ()</v>
      </c>
      <c r="E224" s="70" t="s">
        <v>1262</v>
      </c>
      <c r="F224" s="70" t="s">
        <v>620</v>
      </c>
      <c r="G224" s="70" t="s">
        <v>343</v>
      </c>
      <c r="H224" s="70"/>
      <c r="I224" s="92">
        <v>0.05</v>
      </c>
      <c r="J224" s="93">
        <v>1000.0</v>
      </c>
      <c r="K224" s="73" t="s">
        <v>1017</v>
      </c>
      <c r="L224" s="73"/>
      <c r="M224" s="73"/>
      <c r="N224" s="74"/>
    </row>
    <row r="225" ht="30.0" hidden="1" customHeight="1">
      <c r="A225" s="68">
        <v>225.0</v>
      </c>
      <c r="B225" s="68"/>
      <c r="C225" s="68"/>
      <c r="D225" s="69" t="str">
        <f>CONCATENATE(PROPER('DASMA INFO'!$G225),", ",PROPER('DASMA INFO'!$E225)," ",PROPER('DASMA INFO'!$F225),"."," (",UPPER('DASMA INFO'!$H225),")")</f>
        <v>Amith, Marg Paul . ()</v>
      </c>
      <c r="E225" s="70" t="s">
        <v>1263</v>
      </c>
      <c r="F225" s="70"/>
      <c r="G225" s="70" t="s">
        <v>1264</v>
      </c>
      <c r="H225" s="70"/>
      <c r="I225" s="92">
        <v>0.05</v>
      </c>
      <c r="J225" s="93">
        <v>1000.0</v>
      </c>
      <c r="K225" s="73"/>
      <c r="L225" s="73"/>
      <c r="M225" s="73"/>
      <c r="N225" s="74"/>
    </row>
    <row r="226" ht="30.0" hidden="1" customHeight="1">
      <c r="A226" s="68">
        <v>226.0</v>
      </c>
      <c r="B226" s="68"/>
      <c r="C226" s="68"/>
      <c r="D226" s="69" t="str">
        <f>CONCATENATE(PROPER('DASMA INFO'!$G226),", ",PROPER('DASMA INFO'!$E226)," ",PROPER('DASMA INFO'!$F226),"."," (",UPPER('DASMA INFO'!$H226),")")</f>
        <v>Soylon, Catalino . ()</v>
      </c>
      <c r="E226" s="70" t="s">
        <v>194</v>
      </c>
      <c r="F226" s="70"/>
      <c r="G226" s="69" t="s">
        <v>189</v>
      </c>
      <c r="H226" s="69"/>
      <c r="I226" s="92">
        <v>0.05</v>
      </c>
      <c r="J226" s="93">
        <v>1000.0</v>
      </c>
      <c r="K226" s="73" t="s">
        <v>1265</v>
      </c>
      <c r="L226" s="73"/>
      <c r="M226" s="73"/>
      <c r="N226" s="74"/>
    </row>
    <row r="227" ht="30.0" hidden="1" customHeight="1">
      <c r="A227" s="68">
        <v>227.0</v>
      </c>
      <c r="B227" s="68"/>
      <c r="C227" s="68"/>
      <c r="D227" s="69" t="str">
        <f>CONCATENATE(PROPER('DASMA INFO'!$G227),", ",PROPER('DASMA INFO'!$E227)," ",PROPER('DASMA INFO'!$F227),"."," (",UPPER('DASMA INFO'!$H227),")")</f>
        <v>Liwan, Emil . ()</v>
      </c>
      <c r="E227" s="70" t="s">
        <v>1266</v>
      </c>
      <c r="F227" s="70"/>
      <c r="G227" s="69" t="s">
        <v>1267</v>
      </c>
      <c r="H227" s="69"/>
      <c r="I227" s="92">
        <v>0.05</v>
      </c>
      <c r="J227" s="93">
        <v>1000.0</v>
      </c>
      <c r="K227" s="73"/>
      <c r="L227" s="73"/>
      <c r="M227" s="73"/>
      <c r="N227" s="74"/>
    </row>
    <row r="228" ht="30.0" hidden="1" customHeight="1">
      <c r="A228" s="68">
        <v>228.0</v>
      </c>
      <c r="B228" s="68"/>
      <c r="C228" s="68"/>
      <c r="D228" s="69" t="str">
        <f>CONCATENATE(PROPER('DASMA INFO'!$G228),", ",PROPER('DASMA INFO'!$E228)," ",PROPER('DASMA INFO'!$F228),"."," (",UPPER('DASMA INFO'!$H228),")")</f>
        <v>Jurado, Yolanda . ()</v>
      </c>
      <c r="E228" s="70" t="s">
        <v>961</v>
      </c>
      <c r="F228" s="70"/>
      <c r="G228" s="69" t="s">
        <v>1268</v>
      </c>
      <c r="H228" s="69"/>
      <c r="I228" s="92">
        <v>0.05</v>
      </c>
      <c r="J228" s="93">
        <v>1000.0</v>
      </c>
      <c r="K228" s="73"/>
      <c r="L228" s="73"/>
      <c r="M228" s="73"/>
      <c r="N228" s="74"/>
    </row>
    <row r="229" ht="30.0" hidden="1" customHeight="1">
      <c r="A229" s="68">
        <v>229.0</v>
      </c>
      <c r="B229" s="68"/>
      <c r="C229" s="68"/>
      <c r="D229" s="69" t="str">
        <f>CONCATENATE(PROPER('DASMA INFO'!$G229),", ",PROPER('DASMA INFO'!$E229)," ",PROPER('DASMA INFO'!$F229),"."," (",UPPER('DASMA INFO'!$H229),")")</f>
        <v>Luz, Vanessa . ()</v>
      </c>
      <c r="E229" s="70" t="s">
        <v>1237</v>
      </c>
      <c r="F229" s="70"/>
      <c r="G229" s="69" t="s">
        <v>1269</v>
      </c>
      <c r="H229" s="69"/>
      <c r="I229" s="92">
        <v>0.05</v>
      </c>
      <c r="J229" s="93">
        <v>1000.0</v>
      </c>
      <c r="K229" s="73"/>
      <c r="L229" s="73"/>
      <c r="M229" s="73"/>
      <c r="N229" s="74"/>
    </row>
    <row r="230" ht="30.0" hidden="1" customHeight="1">
      <c r="A230" s="68">
        <v>230.0</v>
      </c>
      <c r="B230" s="68"/>
      <c r="C230" s="68"/>
      <c r="D230" s="69" t="str">
        <f>CONCATENATE(PROPER('DASMA INFO'!$G230),", ",PROPER('DASMA INFO'!$E230)," ",PROPER('DASMA INFO'!$F230),"."," (",UPPER('DASMA INFO'!$H230),")")</f>
        <v>Alcala, Helen . ()</v>
      </c>
      <c r="E230" s="70" t="s">
        <v>617</v>
      </c>
      <c r="F230" s="70"/>
      <c r="G230" s="69" t="s">
        <v>1270</v>
      </c>
      <c r="H230" s="69"/>
      <c r="I230" s="92">
        <v>0.05</v>
      </c>
      <c r="J230" s="93">
        <v>1000.0</v>
      </c>
      <c r="K230" s="73"/>
      <c r="L230" s="73"/>
      <c r="M230" s="73"/>
      <c r="N230" s="74"/>
    </row>
    <row r="231" ht="30.0" hidden="1" customHeight="1">
      <c r="A231" s="68">
        <v>231.0</v>
      </c>
      <c r="B231" s="68"/>
      <c r="C231" s="68"/>
      <c r="D231" s="69" t="str">
        <f>CONCATENATE(PROPER('DASMA INFO'!$G231),", ",PROPER('DASMA INFO'!$E231)," ",PROPER('DASMA INFO'!$F231),"."," (",UPPER('DASMA INFO'!$H231),")")</f>
        <v>Moquiring, Socorro . ()</v>
      </c>
      <c r="E231" s="70" t="s">
        <v>73</v>
      </c>
      <c r="F231" s="70"/>
      <c r="G231" s="69" t="s">
        <v>1271</v>
      </c>
      <c r="H231" s="69"/>
      <c r="I231" s="92">
        <v>0.05</v>
      </c>
      <c r="J231" s="93">
        <v>1000.0</v>
      </c>
      <c r="K231" s="73"/>
      <c r="L231" s="73"/>
      <c r="M231" s="73"/>
      <c r="N231" s="74"/>
    </row>
    <row r="232" ht="30.0" hidden="1" customHeight="1">
      <c r="A232" s="68">
        <v>232.0</v>
      </c>
      <c r="B232" s="68"/>
      <c r="C232" s="68"/>
      <c r="D232" s="69" t="str">
        <f>CONCATENATE(PROPER('DASMA INFO'!$G232),", ",PROPER('DASMA INFO'!$E232)," ",PROPER('DASMA INFO'!$F232),"."," (",UPPER('DASMA INFO'!$H232),")")</f>
        <v>Roldes, Jerry  . ()</v>
      </c>
      <c r="E232" s="70" t="s">
        <v>1272</v>
      </c>
      <c r="F232" s="70"/>
      <c r="G232" s="69" t="s">
        <v>1273</v>
      </c>
      <c r="H232" s="69"/>
      <c r="I232" s="92">
        <v>0.05</v>
      </c>
      <c r="J232" s="93">
        <v>1000.0</v>
      </c>
      <c r="K232" s="73"/>
      <c r="L232" s="73"/>
      <c r="M232" s="73"/>
      <c r="N232" s="74"/>
    </row>
    <row r="233" ht="30.0" hidden="1" customHeight="1">
      <c r="A233" s="68">
        <v>233.0</v>
      </c>
      <c r="B233" s="68"/>
      <c r="C233" s="68"/>
      <c r="D233" s="69" t="str">
        <f>CONCATENATE(PROPER('DASMA INFO'!$G233),", ",PROPER('DASMA INFO'!$E233)," ",PROPER('DASMA INFO'!$F233),"."," (",UPPER('DASMA INFO'!$H233),")")</f>
        <v>Tugano, Robles Niecel . ()</v>
      </c>
      <c r="E233" s="70" t="s">
        <v>1274</v>
      </c>
      <c r="F233" s="70"/>
      <c r="G233" s="70" t="s">
        <v>1275</v>
      </c>
      <c r="H233" s="69"/>
      <c r="I233" s="92">
        <v>0.05</v>
      </c>
      <c r="J233" s="93">
        <v>1000.0</v>
      </c>
      <c r="K233" s="73" t="s">
        <v>1276</v>
      </c>
      <c r="L233" s="73"/>
      <c r="M233" s="73"/>
      <c r="N233" s="74"/>
    </row>
    <row r="234" ht="30.0" hidden="1" customHeight="1">
      <c r="A234" s="68">
        <v>234.0</v>
      </c>
      <c r="B234" s="68"/>
      <c r="C234" s="68"/>
      <c r="D234" s="69" t="str">
        <f>CONCATENATE(PROPER('DASMA INFO'!$G234),", ",PROPER('DASMA INFO'!$E234)," ",PROPER('DASMA INFO'!$F234),"."," (",UPPER('DASMA INFO'!$H234),")")</f>
        <v>Sta Ana, Eric S. ()</v>
      </c>
      <c r="E234" s="70" t="s">
        <v>1277</v>
      </c>
      <c r="F234" s="70" t="s">
        <v>342</v>
      </c>
      <c r="G234" s="70" t="s">
        <v>1278</v>
      </c>
      <c r="H234" s="70"/>
      <c r="I234" s="92">
        <v>0.05</v>
      </c>
      <c r="J234" s="93">
        <v>1000.0</v>
      </c>
      <c r="K234" s="73"/>
      <c r="L234" s="73"/>
      <c r="M234" s="73"/>
      <c r="N234" s="74"/>
    </row>
    <row r="235" ht="30.0" hidden="1" customHeight="1">
      <c r="A235" s="68">
        <v>235.0</v>
      </c>
      <c r="B235" s="68"/>
      <c r="C235" s="68"/>
      <c r="D235" s="69" t="str">
        <f>CONCATENATE(PROPER('DASMA INFO'!$G235),", ",PROPER('DASMA INFO'!$E235)," ",PROPER('DASMA INFO'!$F235),"."," (",UPPER('DASMA INFO'!$H235),")")</f>
        <v>Ang, James . ()</v>
      </c>
      <c r="E235" s="70" t="s">
        <v>1279</v>
      </c>
      <c r="F235" s="70"/>
      <c r="G235" s="70" t="s">
        <v>1280</v>
      </c>
      <c r="H235" s="70"/>
      <c r="I235" s="92">
        <v>0.05</v>
      </c>
      <c r="J235" s="93">
        <v>1000.0</v>
      </c>
      <c r="K235" s="73"/>
      <c r="L235" s="73"/>
      <c r="M235" s="73"/>
      <c r="N235" s="74"/>
    </row>
    <row r="236" ht="30.0" hidden="1" customHeight="1">
      <c r="A236" s="68">
        <v>236.0</v>
      </c>
      <c r="B236" s="68"/>
      <c r="C236" s="68"/>
      <c r="D236" s="69" t="str">
        <f>CONCATENATE(PROPER('DASMA INFO'!$G236),", ",PROPER('DASMA INFO'!$E236)," ",PROPER('DASMA INFO'!$F236),"."," (",UPPER('DASMA INFO'!$H236),")")</f>
        <v>Gomez, Jimmy . ()</v>
      </c>
      <c r="E236" s="70" t="s">
        <v>409</v>
      </c>
      <c r="F236" s="70"/>
      <c r="G236" s="70" t="s">
        <v>1281</v>
      </c>
      <c r="H236" s="70"/>
      <c r="I236" s="92">
        <v>0.05</v>
      </c>
      <c r="J236" s="93">
        <v>1000.0</v>
      </c>
      <c r="K236" s="73"/>
      <c r="L236" s="73"/>
      <c r="M236" s="73"/>
      <c r="N236" s="74"/>
    </row>
    <row r="237" ht="30.0" hidden="1" customHeight="1">
      <c r="A237" s="68">
        <v>237.0</v>
      </c>
      <c r="B237" s="68"/>
      <c r="C237" s="68"/>
      <c r="D237" s="69" t="str">
        <f>CONCATENATE(PROPER('DASMA INFO'!$G237),", ",PROPER('DASMA INFO'!$E237)," ",PROPER('DASMA INFO'!$F237),"."," (",UPPER('DASMA INFO'!$H237),")")</f>
        <v>De Torres, Zineth . ()</v>
      </c>
      <c r="E237" s="70" t="s">
        <v>1067</v>
      </c>
      <c r="F237" s="70"/>
      <c r="G237" s="70" t="s">
        <v>1068</v>
      </c>
      <c r="H237" s="70"/>
      <c r="I237" s="92">
        <v>0.05</v>
      </c>
      <c r="J237" s="93">
        <v>1000.0</v>
      </c>
      <c r="K237" s="73"/>
      <c r="L237" s="73"/>
      <c r="M237" s="73"/>
      <c r="N237" s="74"/>
    </row>
    <row r="238" ht="30.0" hidden="1" customHeight="1">
      <c r="A238" s="68">
        <v>238.0</v>
      </c>
      <c r="B238" s="68"/>
      <c r="C238" s="68"/>
      <c r="D238" s="69" t="str">
        <f>CONCATENATE(PROPER('DASMA INFO'!$G238),", ",PROPER('DASMA INFO'!$E238)," ",PROPER('DASMA INFO'!$F238),"."," (",UPPER('DASMA INFO'!$H238),")")</f>
        <v>De Castro, Rolando . ()</v>
      </c>
      <c r="E238" s="70" t="s">
        <v>337</v>
      </c>
      <c r="F238" s="70"/>
      <c r="G238" s="70" t="s">
        <v>883</v>
      </c>
      <c r="H238" s="70"/>
      <c r="I238" s="92">
        <v>0.05</v>
      </c>
      <c r="J238" s="93">
        <v>1000.0</v>
      </c>
      <c r="K238" s="73"/>
      <c r="L238" s="73"/>
      <c r="M238" s="73"/>
      <c r="N238" s="74"/>
    </row>
    <row r="239" ht="30.0" hidden="1" customHeight="1">
      <c r="A239" s="68">
        <v>239.0</v>
      </c>
      <c r="B239" s="68"/>
      <c r="C239" s="68"/>
      <c r="D239" s="69" t="str">
        <f>CONCATENATE(PROPER('DASMA INFO'!$G239),", ",PROPER('DASMA INFO'!$E239)," ",PROPER('DASMA INFO'!$F239),"."," (",UPPER('DASMA INFO'!$H239),")")</f>
        <v>Baculpo, Cirico . ()</v>
      </c>
      <c r="E239" s="70" t="s">
        <v>1282</v>
      </c>
      <c r="F239" s="70"/>
      <c r="G239" s="70" t="s">
        <v>1049</v>
      </c>
      <c r="H239" s="70"/>
      <c r="I239" s="92">
        <v>0.05</v>
      </c>
      <c r="J239" s="93">
        <v>1000.0</v>
      </c>
      <c r="K239" s="73"/>
      <c r="L239" s="73"/>
      <c r="M239" s="73"/>
      <c r="N239" s="74"/>
    </row>
    <row r="240" ht="30.0" hidden="1" customHeight="1">
      <c r="A240" s="68">
        <v>240.0</v>
      </c>
      <c r="B240" s="68"/>
      <c r="C240" s="68"/>
      <c r="D240" s="69" t="str">
        <f>CONCATENATE(PROPER('DASMA INFO'!$G240),", ",PROPER('DASMA INFO'!$E240)," ",PROPER('DASMA INFO'!$F240),"."," (",UPPER('DASMA INFO'!$H240),")")</f>
        <v>Dipalac, Apples M. ()</v>
      </c>
      <c r="E240" s="70" t="s">
        <v>1283</v>
      </c>
      <c r="F240" s="70" t="s">
        <v>587</v>
      </c>
      <c r="G240" s="70" t="s">
        <v>1284</v>
      </c>
      <c r="H240" s="69"/>
      <c r="I240" s="92">
        <v>0.05</v>
      </c>
      <c r="J240" s="93">
        <v>1000.0</v>
      </c>
      <c r="K240" s="73"/>
      <c r="L240" s="73"/>
      <c r="M240" s="73"/>
      <c r="N240" s="74"/>
    </row>
    <row r="241" ht="30.0" hidden="1" customHeight="1">
      <c r="A241" s="68">
        <v>241.0</v>
      </c>
      <c r="B241" s="68"/>
      <c r="C241" s="68"/>
      <c r="D241" s="69" t="str">
        <f>CONCATENATE(PROPER('DASMA INFO'!$G241),", ",PROPER('DASMA INFO'!$E241)," ",PROPER('DASMA INFO'!$F241),"."," (",UPPER('DASMA INFO'!$H241),")")</f>
        <v>Severino, Brenda O. ()</v>
      </c>
      <c r="E241" s="70" t="s">
        <v>1285</v>
      </c>
      <c r="F241" s="70" t="s">
        <v>634</v>
      </c>
      <c r="G241" s="70" t="s">
        <v>1286</v>
      </c>
      <c r="H241" s="69"/>
      <c r="I241" s="92">
        <v>0.05</v>
      </c>
      <c r="J241" s="93">
        <v>1000.0</v>
      </c>
      <c r="K241" s="73"/>
      <c r="L241" s="73"/>
      <c r="M241" s="73"/>
      <c r="N241" s="74"/>
    </row>
    <row r="242" ht="30.0" hidden="1" customHeight="1">
      <c r="A242" s="68">
        <v>242.0</v>
      </c>
      <c r="B242" s="68"/>
      <c r="C242" s="68"/>
      <c r="D242" s="69" t="str">
        <f>CONCATENATE(PROPER('DASMA INFO'!$G242),", ",PROPER('DASMA INFO'!$E242)," ",PROPER('DASMA INFO'!$F242),"."," (",UPPER('DASMA INFO'!$H242),")")</f>
        <v>Ruiz, Sarah . ()</v>
      </c>
      <c r="E242" s="70" t="s">
        <v>1287</v>
      </c>
      <c r="F242" s="70"/>
      <c r="G242" s="70" t="s">
        <v>300</v>
      </c>
      <c r="H242" s="69"/>
      <c r="I242" s="92">
        <v>0.05</v>
      </c>
      <c r="J242" s="93">
        <v>1000.0</v>
      </c>
      <c r="K242" s="73"/>
      <c r="L242" s="73"/>
      <c r="M242" s="73"/>
      <c r="N242" s="74"/>
    </row>
    <row r="243" ht="30.0" hidden="1" customHeight="1">
      <c r="A243" s="68">
        <v>243.0</v>
      </c>
      <c r="B243" s="68"/>
      <c r="C243" s="68"/>
      <c r="D243" s="69" t="str">
        <f>CONCATENATE(PROPER('DASMA INFO'!$G243),", ",PROPER('DASMA INFO'!$E243)," ",PROPER('DASMA INFO'!$F243),"."," (",UPPER('DASMA INFO'!$H243),")")</f>
        <v>Suarez, Ariel . ()</v>
      </c>
      <c r="E243" s="70" t="s">
        <v>237</v>
      </c>
      <c r="F243" s="70"/>
      <c r="G243" s="70" t="s">
        <v>1288</v>
      </c>
      <c r="H243" s="69"/>
      <c r="I243" s="92">
        <v>0.05</v>
      </c>
      <c r="J243" s="93">
        <v>1000.0</v>
      </c>
      <c r="K243" s="73"/>
      <c r="L243" s="73"/>
      <c r="M243" s="73"/>
      <c r="N243" s="74"/>
    </row>
    <row r="244" ht="30.0" hidden="1" customHeight="1">
      <c r="A244" s="68">
        <v>244.0</v>
      </c>
      <c r="B244" s="68"/>
      <c r="C244" s="68"/>
      <c r="D244" s="69" t="str">
        <f>CONCATENATE(PROPER('DASMA INFO'!$G244),", ",PROPER('DASMA INFO'!$E244)," ",PROPER('DASMA INFO'!$F244),"."," (",UPPER('DASMA INFO'!$H244),")")</f>
        <v>Mata, Ariel . ()</v>
      </c>
      <c r="E244" s="70" t="s">
        <v>237</v>
      </c>
      <c r="F244" s="70"/>
      <c r="G244" s="70" t="s">
        <v>980</v>
      </c>
      <c r="H244" s="69"/>
      <c r="I244" s="92">
        <v>0.05</v>
      </c>
      <c r="J244" s="93">
        <v>1000.0</v>
      </c>
      <c r="K244" s="73"/>
      <c r="L244" s="73"/>
      <c r="M244" s="73"/>
      <c r="N244" s="74"/>
    </row>
    <row r="245" ht="30.0" hidden="1" customHeight="1">
      <c r="A245" s="68">
        <v>245.0</v>
      </c>
      <c r="B245" s="68"/>
      <c r="C245" s="68"/>
      <c r="D245" s="69" t="str">
        <f>CONCATENATE(PROPER('DASMA INFO'!$G245),", ",PROPER('DASMA INFO'!$E245)," ",PROPER('DASMA INFO'!$F245),"."," (",UPPER('DASMA INFO'!$H245),")")</f>
        <v>Sister, Eric . ()</v>
      </c>
      <c r="E245" s="70" t="s">
        <v>1277</v>
      </c>
      <c r="F245" s="70"/>
      <c r="G245" s="70" t="s">
        <v>1289</v>
      </c>
      <c r="H245" s="69"/>
      <c r="I245" s="92">
        <v>0.05</v>
      </c>
      <c r="J245" s="93">
        <v>1000.0</v>
      </c>
      <c r="K245" s="73"/>
      <c r="L245" s="73"/>
      <c r="M245" s="73"/>
      <c r="N245" s="74"/>
    </row>
    <row r="246" ht="30.0" hidden="1" customHeight="1">
      <c r="A246" s="68">
        <v>246.0</v>
      </c>
      <c r="B246" s="68"/>
      <c r="C246" s="68"/>
      <c r="D246" s="69" t="str">
        <f>CONCATENATE(PROPER('DASMA INFO'!$G246),", ",PROPER('DASMA INFO'!$E246)," ",PROPER('DASMA INFO'!$F246),"."," (",UPPER('DASMA INFO'!$H246),")")</f>
        <v>Moscatiles, Ma.Fatima . ()</v>
      </c>
      <c r="E246" s="70" t="s">
        <v>1290</v>
      </c>
      <c r="F246" s="70"/>
      <c r="G246" s="70" t="s">
        <v>1244</v>
      </c>
      <c r="H246" s="69"/>
      <c r="I246" s="92">
        <v>0.05</v>
      </c>
      <c r="J246" s="93">
        <v>1000.0</v>
      </c>
      <c r="K246" s="73"/>
      <c r="L246" s="73"/>
      <c r="M246" s="73"/>
      <c r="N246" s="74"/>
    </row>
    <row r="247" ht="30.0" hidden="1" customHeight="1">
      <c r="A247" s="68">
        <v>247.0</v>
      </c>
      <c r="B247" s="68"/>
      <c r="C247" s="68"/>
      <c r="D247" s="69" t="str">
        <f>CONCATENATE(PROPER('DASMA INFO'!$G247),", ",PROPER('DASMA INFO'!$E247)," ",PROPER('DASMA INFO'!$F247),"."," (",UPPER('DASMA INFO'!$H247),")")</f>
        <v>Obal, Anita . ()</v>
      </c>
      <c r="E247" s="70" t="s">
        <v>1291</v>
      </c>
      <c r="F247" s="70"/>
      <c r="G247" s="70" t="s">
        <v>1292</v>
      </c>
      <c r="H247" s="69"/>
      <c r="I247" s="92">
        <v>0.05</v>
      </c>
      <c r="J247" s="93">
        <v>1000.0</v>
      </c>
      <c r="K247" s="73"/>
      <c r="L247" s="73"/>
      <c r="M247" s="73"/>
      <c r="N247" s="74"/>
    </row>
    <row r="248" ht="30.0" hidden="1" customHeight="1">
      <c r="A248" s="68">
        <v>248.0</v>
      </c>
      <c r="B248" s="68"/>
      <c r="C248" s="68"/>
      <c r="D248" s="69" t="str">
        <f>CONCATENATE(PROPER('DASMA INFO'!$G248),", ",PROPER('DASMA INFO'!$E248)," ",PROPER('DASMA INFO'!$F248),"."," (",UPPER('DASMA INFO'!$H248),")")</f>
        <v>Avila, Elenita . ()</v>
      </c>
      <c r="E248" s="70" t="s">
        <v>148</v>
      </c>
      <c r="F248" s="70"/>
      <c r="G248" s="70" t="s">
        <v>218</v>
      </c>
      <c r="H248" s="69"/>
      <c r="I248" s="92">
        <v>0.05</v>
      </c>
      <c r="J248" s="93">
        <v>1000.0</v>
      </c>
      <c r="K248" s="73"/>
      <c r="L248" s="73"/>
      <c r="M248" s="73"/>
      <c r="N248" s="74"/>
    </row>
    <row r="249" ht="30.0" hidden="1" customHeight="1">
      <c r="A249" s="68">
        <v>249.0</v>
      </c>
      <c r="B249" s="68"/>
      <c r="C249" s="68"/>
      <c r="D249" s="69" t="str">
        <f>CONCATENATE(PROPER('DASMA INFO'!$G249),", ",PROPER('DASMA INFO'!$E249)," ",PROPER('DASMA INFO'!$F249),"."," (",UPPER('DASMA INFO'!$H249),")")</f>
        <v>Risnono, Rosifo . ()</v>
      </c>
      <c r="E249" s="70" t="s">
        <v>1293</v>
      </c>
      <c r="F249" s="70"/>
      <c r="G249" s="70" t="s">
        <v>1294</v>
      </c>
      <c r="H249" s="69"/>
      <c r="I249" s="92">
        <v>0.05</v>
      </c>
      <c r="J249" s="93">
        <v>1000.0</v>
      </c>
      <c r="K249" s="73"/>
      <c r="L249" s="73"/>
      <c r="M249" s="73"/>
      <c r="N249" s="74"/>
    </row>
    <row r="250" ht="30.0" hidden="1" customHeight="1">
      <c r="A250" s="68">
        <v>250.0</v>
      </c>
      <c r="B250" s="68"/>
      <c r="C250" s="68"/>
      <c r="D250" s="69" t="str">
        <f>CONCATENATE(PROPER('DASMA INFO'!$G250),", ",PROPER('DASMA INFO'!$E250)," ",PROPER('DASMA INFO'!$F250),"."," (",UPPER('DASMA INFO'!$H250),")")</f>
        <v>Piana, Baby Rose . ()</v>
      </c>
      <c r="E250" s="70" t="s">
        <v>1295</v>
      </c>
      <c r="F250" s="70"/>
      <c r="G250" s="70" t="s">
        <v>1296</v>
      </c>
      <c r="H250" s="69"/>
      <c r="I250" s="92">
        <v>0.05</v>
      </c>
      <c r="J250" s="93">
        <v>1000.0</v>
      </c>
      <c r="K250" s="73"/>
      <c r="L250" s="73"/>
      <c r="M250" s="73"/>
      <c r="N250" s="74"/>
    </row>
    <row r="251" ht="30.0" hidden="1" customHeight="1">
      <c r="A251" s="68">
        <v>251.0</v>
      </c>
      <c r="B251" s="68"/>
      <c r="C251" s="68"/>
      <c r="D251" s="69" t="str">
        <f>CONCATENATE(PROPER('DASMA INFO'!$G251),", ",PROPER('DASMA INFO'!$E251)," ",PROPER('DASMA INFO'!$F251),"."," (",UPPER('DASMA INFO'!$H251),")")</f>
        <v>Dayrit, Caila . ()</v>
      </c>
      <c r="E251" s="70" t="s">
        <v>1297</v>
      </c>
      <c r="F251" s="70"/>
      <c r="G251" s="70" t="s">
        <v>1298</v>
      </c>
      <c r="H251" s="69"/>
      <c r="I251" s="92">
        <v>0.05</v>
      </c>
      <c r="J251" s="93">
        <v>1000.0</v>
      </c>
      <c r="K251" s="73"/>
      <c r="L251" s="73"/>
      <c r="M251" s="73"/>
      <c r="N251" s="74"/>
    </row>
    <row r="252" ht="30.0" hidden="1" customHeight="1">
      <c r="A252" s="68">
        <v>252.0</v>
      </c>
      <c r="B252" s="68"/>
      <c r="C252" s="68"/>
      <c r="D252" s="69" t="str">
        <f>CONCATENATE(PROPER('DASMA INFO'!$G252),", ",PROPER('DASMA INFO'!$E252)," ",PROPER('DASMA INFO'!$F252),"."," (",UPPER('DASMA INFO'!$H252),")")</f>
        <v>Toledo, Sherwin . ()</v>
      </c>
      <c r="E252" s="70" t="s">
        <v>1299</v>
      </c>
      <c r="F252" s="70"/>
      <c r="G252" s="70" t="s">
        <v>1300</v>
      </c>
      <c r="H252" s="69"/>
      <c r="I252" s="92">
        <v>0.05</v>
      </c>
      <c r="J252" s="93">
        <v>1000.0</v>
      </c>
      <c r="K252" s="73"/>
      <c r="L252" s="73"/>
      <c r="M252" s="73"/>
      <c r="N252" s="74"/>
    </row>
    <row r="253" ht="30.0" hidden="1" customHeight="1">
      <c r="A253" s="68">
        <v>253.0</v>
      </c>
      <c r="B253" s="68"/>
      <c r="C253" s="68"/>
      <c r="D253" s="69" t="str">
        <f>CONCATENATE(PROPER('DASMA INFO'!$G253),", ",PROPER('DASMA INFO'!$E253)," ",PROPER('DASMA INFO'!$F253),"."," (",UPPER('DASMA INFO'!$H253),")")</f>
        <v>Lorilla, Alma . ()</v>
      </c>
      <c r="E253" s="70" t="s">
        <v>1056</v>
      </c>
      <c r="F253" s="70"/>
      <c r="G253" s="70" t="s">
        <v>1301</v>
      </c>
      <c r="H253" s="69"/>
      <c r="I253" s="92">
        <v>0.05</v>
      </c>
      <c r="J253" s="93">
        <v>1000.0</v>
      </c>
      <c r="K253" s="73"/>
      <c r="L253" s="73"/>
      <c r="M253" s="73"/>
      <c r="N253" s="74"/>
    </row>
    <row r="254" ht="30.0" hidden="1" customHeight="1">
      <c r="A254" s="68">
        <v>254.0</v>
      </c>
      <c r="B254" s="68"/>
      <c r="C254" s="68"/>
      <c r="D254" s="69" t="str">
        <f>CONCATENATE(PROPER('DASMA INFO'!$G254),", ",PROPER('DASMA INFO'!$E254)," ",PROPER('DASMA INFO'!$F254),"."," (",UPPER('DASMA INFO'!$H254),")")</f>
        <v>Villanueva, Juanito . ()</v>
      </c>
      <c r="E254" s="70" t="s">
        <v>637</v>
      </c>
      <c r="F254" s="70"/>
      <c r="G254" s="70" t="s">
        <v>454</v>
      </c>
      <c r="H254" s="69"/>
      <c r="I254" s="92">
        <v>0.05</v>
      </c>
      <c r="J254" s="93">
        <v>1000.0</v>
      </c>
      <c r="K254" s="73"/>
      <c r="L254" s="73"/>
      <c r="M254" s="73"/>
      <c r="N254" s="74"/>
    </row>
    <row r="255" ht="30.0" hidden="1" customHeight="1">
      <c r="A255" s="68">
        <v>255.0</v>
      </c>
      <c r="B255" s="68"/>
      <c r="C255" s="68"/>
      <c r="D255" s="69" t="str">
        <f>CONCATENATE(PROPER('DASMA INFO'!$G255),", ",PROPER('DASMA INFO'!$E255)," ",PROPER('DASMA INFO'!$F255),"."," (",UPPER('DASMA INFO'!$H255),")")</f>
        <v>Salonga, James . ()</v>
      </c>
      <c r="E255" s="70" t="s">
        <v>1279</v>
      </c>
      <c r="F255" s="70"/>
      <c r="G255" s="70" t="s">
        <v>1302</v>
      </c>
      <c r="H255" s="69"/>
      <c r="I255" s="92">
        <v>0.05</v>
      </c>
      <c r="J255" s="93">
        <v>1000.0</v>
      </c>
      <c r="K255" s="73"/>
      <c r="L255" s="73"/>
      <c r="M255" s="73"/>
      <c r="N255" s="74"/>
    </row>
    <row r="256" ht="30.0" hidden="1" customHeight="1">
      <c r="A256" s="68">
        <v>256.0</v>
      </c>
      <c r="B256" s="68"/>
      <c r="C256" s="68"/>
      <c r="D256" s="69" t="str">
        <f>CONCATENATE(PROPER('DASMA INFO'!$G256),", ",PROPER('DASMA INFO'!$E256)," ",PROPER('DASMA INFO'!$F256),"."," (",UPPER('DASMA INFO'!$H256),")")</f>
        <v>Ponsaran, John N. ()</v>
      </c>
      <c r="E256" s="70" t="s">
        <v>1303</v>
      </c>
      <c r="F256" s="70" t="s">
        <v>1154</v>
      </c>
      <c r="G256" s="70" t="s">
        <v>1304</v>
      </c>
      <c r="H256" s="69"/>
      <c r="I256" s="92">
        <v>0.05</v>
      </c>
      <c r="J256" s="93">
        <v>1000.0</v>
      </c>
      <c r="K256" s="73"/>
      <c r="L256" s="73"/>
      <c r="M256" s="73"/>
      <c r="N256" s="74"/>
    </row>
    <row r="257" ht="30.0" hidden="1" customHeight="1">
      <c r="A257" s="68">
        <v>257.0</v>
      </c>
      <c r="B257" s="68"/>
      <c r="C257" s="68"/>
      <c r="D257" s="69" t="str">
        <f>CONCATENATE(PROPER('DASMA INFO'!$G257),", ",PROPER('DASMA INFO'!$E257)," ",PROPER('DASMA INFO'!$F257),"."," (",UPPER('DASMA INFO'!$H257),")")</f>
        <v>Realosa, Floresita . ()</v>
      </c>
      <c r="E257" s="70" t="s">
        <v>1305</v>
      </c>
      <c r="F257" s="70"/>
      <c r="G257" s="70" t="s">
        <v>1306</v>
      </c>
      <c r="H257" s="69"/>
      <c r="I257" s="92">
        <v>0.05</v>
      </c>
      <c r="J257" s="93">
        <v>1000.0</v>
      </c>
      <c r="K257" s="73"/>
      <c r="L257" s="73"/>
      <c r="M257" s="73"/>
      <c r="N257" s="74"/>
    </row>
    <row r="258" ht="30.0" hidden="1" customHeight="1">
      <c r="A258" s="68">
        <v>258.0</v>
      </c>
      <c r="B258" s="68"/>
      <c r="C258" s="68"/>
      <c r="D258" s="69" t="str">
        <f>CONCATENATE(PROPER('DASMA INFO'!$G258),", ",PROPER('DASMA INFO'!$E258)," ",PROPER('DASMA INFO'!$F258),"."," (",UPPER('DASMA INFO'!$H258),")")</f>
        <v>Isles, Angelica . ()</v>
      </c>
      <c r="E258" s="70" t="s">
        <v>1307</v>
      </c>
      <c r="F258" s="70"/>
      <c r="G258" s="70" t="s">
        <v>1308</v>
      </c>
      <c r="H258" s="69"/>
      <c r="I258" s="92">
        <v>0.05</v>
      </c>
      <c r="J258" s="93">
        <v>1000.0</v>
      </c>
      <c r="K258" s="73"/>
      <c r="L258" s="73"/>
      <c r="M258" s="73"/>
      <c r="N258" s="74"/>
    </row>
    <row r="259" ht="30.0" hidden="1" customHeight="1">
      <c r="A259" s="68">
        <v>259.0</v>
      </c>
      <c r="B259" s="68"/>
      <c r="C259" s="68"/>
      <c r="D259" s="69" t="str">
        <f>CONCATENATE(PROPER('DASMA INFO'!$G259),", ",PROPER('DASMA INFO'!$E259)," ",PROPER('DASMA INFO'!$F259),"."," (",UPPER('DASMA INFO'!$H259),")")</f>
        <v>Hwang, Sm . ()</v>
      </c>
      <c r="E259" s="70" t="s">
        <v>1309</v>
      </c>
      <c r="F259" s="70"/>
      <c r="G259" s="70" t="s">
        <v>1310</v>
      </c>
      <c r="H259" s="69"/>
      <c r="I259" s="92">
        <v>0.05</v>
      </c>
      <c r="J259" s="93">
        <v>1000.0</v>
      </c>
      <c r="K259" s="73"/>
      <c r="L259" s="73"/>
      <c r="M259" s="73"/>
      <c r="N259" s="74"/>
    </row>
    <row r="260" ht="30.0" hidden="1" customHeight="1">
      <c r="A260" s="68">
        <v>260.0</v>
      </c>
      <c r="B260" s="68"/>
      <c r="C260" s="68"/>
      <c r="D260" s="69" t="str">
        <f>CONCATENATE(PROPER('DASMA INFO'!$G260),", ",PROPER('DASMA INFO'!$E260)," ",PROPER('DASMA INFO'!$F260),"."," (",UPPER('DASMA INFO'!$H260),")")</f>
        <v>Albay, Danilo . ()</v>
      </c>
      <c r="E260" s="70" t="s">
        <v>251</v>
      </c>
      <c r="F260" s="70"/>
      <c r="G260" s="70" t="s">
        <v>1311</v>
      </c>
      <c r="H260" s="69"/>
      <c r="I260" s="92">
        <v>0.05</v>
      </c>
      <c r="J260" s="93">
        <v>1000.0</v>
      </c>
      <c r="K260" s="73"/>
      <c r="L260" s="73"/>
      <c r="M260" s="73"/>
      <c r="N260" s="74"/>
    </row>
    <row r="261" ht="30.0" hidden="1" customHeight="1">
      <c r="A261" s="68">
        <v>261.0</v>
      </c>
      <c r="B261" s="68"/>
      <c r="C261" s="68"/>
      <c r="D261" s="69" t="str">
        <f>CONCATENATE(PROPER('DASMA INFO'!$G261),", ",PROPER('DASMA INFO'!$E261)," ",PROPER('DASMA INFO'!$F261),"."," (",UPPER('DASMA INFO'!$H261),")")</f>
        <v>Lozada, Francis . ()</v>
      </c>
      <c r="E261" s="70" t="s">
        <v>1312</v>
      </c>
      <c r="F261" s="70"/>
      <c r="G261" s="70" t="s">
        <v>1313</v>
      </c>
      <c r="H261" s="69"/>
      <c r="I261" s="92">
        <v>0.05</v>
      </c>
      <c r="J261" s="93">
        <v>1000.0</v>
      </c>
      <c r="K261" s="73"/>
      <c r="L261" s="73"/>
      <c r="M261" s="73"/>
      <c r="N261" s="74"/>
    </row>
    <row r="262" ht="30.0" hidden="1" customHeight="1">
      <c r="A262" s="68">
        <v>262.0</v>
      </c>
      <c r="B262" s="68"/>
      <c r="C262" s="68"/>
      <c r="D262" s="69" t="str">
        <f>CONCATENATE(PROPER('DASMA INFO'!$G262),", ",PROPER('DASMA INFO'!$E262)," ",PROPER('DASMA INFO'!$F262),"."," (",UPPER('DASMA INFO'!$H262),")")</f>
        <v>Bulaong, Rolando . ()</v>
      </c>
      <c r="E262" s="70" t="s">
        <v>337</v>
      </c>
      <c r="F262" s="70"/>
      <c r="G262" s="70" t="s">
        <v>420</v>
      </c>
      <c r="H262" s="69"/>
      <c r="I262" s="92">
        <v>0.05</v>
      </c>
      <c r="J262" s="93">
        <v>1000.0</v>
      </c>
      <c r="K262" s="73"/>
      <c r="L262" s="73"/>
      <c r="M262" s="73"/>
      <c r="N262" s="74"/>
    </row>
    <row r="263" ht="30.0" hidden="1" customHeight="1">
      <c r="A263" s="68">
        <v>263.0</v>
      </c>
      <c r="B263" s="68"/>
      <c r="C263" s="68"/>
      <c r="D263" s="69" t="str">
        <f>CONCATENATE(PROPER('DASMA INFO'!$G263),", ",PROPER('DASMA INFO'!$E263)," ",PROPER('DASMA INFO'!$F263),"."," (",UPPER('DASMA INFO'!$H263),")")</f>
        <v>Ardivela, Randy . ()</v>
      </c>
      <c r="E263" s="70" t="s">
        <v>145</v>
      </c>
      <c r="F263" s="70"/>
      <c r="G263" s="70" t="s">
        <v>1314</v>
      </c>
      <c r="H263" s="69"/>
      <c r="I263" s="92">
        <v>0.05</v>
      </c>
      <c r="J263" s="93">
        <v>1000.0</v>
      </c>
      <c r="K263" s="73"/>
      <c r="L263" s="73"/>
      <c r="M263" s="73"/>
      <c r="N263" s="74"/>
    </row>
    <row r="264" ht="30.0" hidden="1" customHeight="1">
      <c r="A264" s="68">
        <v>264.0</v>
      </c>
      <c r="B264" s="68"/>
      <c r="C264" s="68"/>
      <c r="D264" s="69" t="str">
        <f>CONCATENATE(PROPER('DASMA INFO'!$G264),", ",PROPER('DASMA INFO'!$E264)," ",PROPER('DASMA INFO'!$F264),"."," (",UPPER('DASMA INFO'!$H264),")")</f>
        <v>Larede, Reynoso . ()</v>
      </c>
      <c r="E264" s="70" t="s">
        <v>1315</v>
      </c>
      <c r="F264" s="70"/>
      <c r="G264" s="70" t="s">
        <v>1316</v>
      </c>
      <c r="H264" s="69"/>
      <c r="I264" s="92">
        <v>0.05</v>
      </c>
      <c r="J264" s="93">
        <v>1000.0</v>
      </c>
      <c r="K264" s="73"/>
      <c r="L264" s="73"/>
      <c r="M264" s="73"/>
      <c r="N264" s="74"/>
    </row>
    <row r="265" ht="30.0" hidden="1" customHeight="1">
      <c r="A265" s="68">
        <v>265.0</v>
      </c>
      <c r="B265" s="68"/>
      <c r="C265" s="68"/>
      <c r="D265" s="69" t="str">
        <f>CONCATENATE(PROPER('DASMA INFO'!$G265),", ",PROPER('DASMA INFO'!$E265)," ",PROPER('DASMA INFO'!$F265),"."," (",UPPER('DASMA INFO'!$H265),")")</f>
        <v>Batetolo, Armoando . ()</v>
      </c>
      <c r="E265" s="70" t="s">
        <v>1317</v>
      </c>
      <c r="F265" s="70"/>
      <c r="G265" s="70" t="s">
        <v>1318</v>
      </c>
      <c r="H265" s="69"/>
      <c r="I265" s="92">
        <v>0.05</v>
      </c>
      <c r="J265" s="93">
        <v>1000.0</v>
      </c>
      <c r="K265" s="73"/>
      <c r="L265" s="73"/>
      <c r="M265" s="73"/>
      <c r="N265" s="74"/>
    </row>
    <row r="266" ht="30.0" hidden="1" customHeight="1">
      <c r="A266" s="68">
        <v>266.0</v>
      </c>
      <c r="B266" s="68"/>
      <c r="C266" s="68"/>
      <c r="D266" s="69" t="str">
        <f>CONCATENATE(PROPER('DASMA INFO'!$G266),", ",PROPER('DASMA INFO'!$E266)," ",PROPER('DASMA INFO'!$F266),"."," (",UPPER('DASMA INFO'!$H266),")")</f>
        <v>Ambion, Marius Alexander . ()</v>
      </c>
      <c r="E266" s="70" t="s">
        <v>1319</v>
      </c>
      <c r="F266" s="70"/>
      <c r="G266" s="70" t="s">
        <v>1320</v>
      </c>
      <c r="H266" s="69"/>
      <c r="I266" s="92">
        <v>0.05</v>
      </c>
      <c r="J266" s="93">
        <v>1000.0</v>
      </c>
      <c r="K266" s="73"/>
      <c r="L266" s="73"/>
      <c r="M266" s="73"/>
      <c r="N266" s="74"/>
    </row>
    <row r="267" ht="30.0" hidden="1" customHeight="1">
      <c r="A267" s="68">
        <v>267.0</v>
      </c>
      <c r="B267" s="68"/>
      <c r="C267" s="68"/>
      <c r="D267" s="69" t="str">
        <f>CONCATENATE(PROPER('DASMA INFO'!$G267),", ",PROPER('DASMA INFO'!$E267)," ",PROPER('DASMA INFO'!$F267),"."," (",UPPER('DASMA INFO'!$H267),")")</f>
        <v>Guevarra, Eduardo . ()</v>
      </c>
      <c r="E267" s="70" t="s">
        <v>1007</v>
      </c>
      <c r="F267" s="70"/>
      <c r="G267" s="70" t="s">
        <v>1321</v>
      </c>
      <c r="H267" s="69"/>
      <c r="I267" s="92">
        <v>0.05</v>
      </c>
      <c r="J267" s="93">
        <v>1000.0</v>
      </c>
      <c r="K267" s="73"/>
      <c r="L267" s="73"/>
      <c r="M267" s="73"/>
      <c r="N267" s="74"/>
    </row>
    <row r="268" ht="30.0" hidden="1" customHeight="1">
      <c r="A268" s="68">
        <v>268.0</v>
      </c>
      <c r="B268" s="68"/>
      <c r="C268" s="68"/>
      <c r="D268" s="69" t="str">
        <f>CONCATENATE(PROPER('DASMA INFO'!$G268),", ",PROPER('DASMA INFO'!$E268)," ",PROPER('DASMA INFO'!$F268),"."," (",UPPER('DASMA INFO'!$H268),")")</f>
        <v>Calong, Majorie . ()</v>
      </c>
      <c r="E268" s="70" t="s">
        <v>1322</v>
      </c>
      <c r="F268" s="70"/>
      <c r="G268" s="70" t="s">
        <v>1323</v>
      </c>
      <c r="H268" s="69"/>
      <c r="I268" s="92">
        <v>0.05</v>
      </c>
      <c r="J268" s="93">
        <v>1000.0</v>
      </c>
      <c r="K268" s="73"/>
      <c r="L268" s="73"/>
      <c r="M268" s="73"/>
      <c r="N268" s="74"/>
    </row>
    <row r="269" ht="30.0" hidden="1" customHeight="1">
      <c r="A269" s="68">
        <v>269.0</v>
      </c>
      <c r="B269" s="68"/>
      <c r="C269" s="68"/>
      <c r="D269" s="69" t="str">
        <f>CONCATENATE(PROPER('DASMA INFO'!$G269),", ",PROPER('DASMA INFO'!$E269)," ",PROPER('DASMA INFO'!$F269),"."," (",UPPER('DASMA INFO'!$H269),")")</f>
        <v>Batarina, Gregorio R. ()</v>
      </c>
      <c r="E269" s="70" t="s">
        <v>400</v>
      </c>
      <c r="F269" s="70" t="s">
        <v>260</v>
      </c>
      <c r="G269" s="70" t="s">
        <v>1324</v>
      </c>
      <c r="H269" s="69"/>
      <c r="I269" s="92">
        <v>0.05</v>
      </c>
      <c r="J269" s="93">
        <v>1000.0</v>
      </c>
      <c r="K269" s="73" t="s">
        <v>1325</v>
      </c>
      <c r="L269" s="73"/>
      <c r="M269" s="73"/>
      <c r="N269" s="74"/>
    </row>
    <row r="270" ht="30.0" hidden="1" customHeight="1">
      <c r="A270" s="68">
        <v>270.0</v>
      </c>
      <c r="B270" s="68"/>
      <c r="C270" s="68"/>
      <c r="D270" s="69" t="str">
        <f>CONCATENATE(PROPER('DASMA INFO'!$G270),", ",PROPER('DASMA INFO'!$E270)," ",PROPER('DASMA INFO'!$F270),"."," (",UPPER('DASMA INFO'!$H270),")")</f>
        <v>Villanueva, Anthony . ()</v>
      </c>
      <c r="E270" s="70" t="s">
        <v>360</v>
      </c>
      <c r="F270" s="70"/>
      <c r="G270" s="70" t="s">
        <v>454</v>
      </c>
      <c r="H270" s="69"/>
      <c r="I270" s="92">
        <v>0.05</v>
      </c>
      <c r="J270" s="93">
        <v>1000.0</v>
      </c>
      <c r="K270" s="73"/>
      <c r="L270" s="73"/>
      <c r="M270" s="73"/>
      <c r="N270" s="74"/>
    </row>
    <row r="271" ht="30.0" hidden="1" customHeight="1">
      <c r="A271" s="68">
        <v>271.0</v>
      </c>
      <c r="B271" s="68"/>
      <c r="C271" s="68"/>
      <c r="D271" s="69" t="str">
        <f>CONCATENATE(PROPER('DASMA INFO'!$G271),", ",PROPER('DASMA INFO'!$E271)," ",PROPER('DASMA INFO'!$F271),"."," (",UPPER('DASMA INFO'!$H271),")")</f>
        <v>Ramos, Maribeth . ()</v>
      </c>
      <c r="E271" s="70" t="s">
        <v>1326</v>
      </c>
      <c r="F271" s="70"/>
      <c r="G271" s="70" t="s">
        <v>74</v>
      </c>
      <c r="H271" s="69"/>
      <c r="I271" s="92">
        <v>0.05</v>
      </c>
      <c r="J271" s="93">
        <v>1000.0</v>
      </c>
      <c r="K271" s="73"/>
      <c r="L271" s="73"/>
      <c r="M271" s="73"/>
      <c r="N271" s="74"/>
    </row>
    <row r="272" ht="30.0" hidden="1" customHeight="1">
      <c r="A272" s="68">
        <v>272.0</v>
      </c>
      <c r="B272" s="68"/>
      <c r="C272" s="68"/>
      <c r="D272" s="69" t="str">
        <f>CONCATENATE(PROPER('DASMA INFO'!$G272),", ",PROPER('DASMA INFO'!$E272)," ",PROPER('DASMA INFO'!$F272),"."," (",UPPER('DASMA INFO'!$H272),")")</f>
        <v>,  . ()</v>
      </c>
      <c r="E272" s="70"/>
      <c r="F272" s="70"/>
      <c r="G272" s="70"/>
      <c r="H272" s="69"/>
      <c r="I272" s="92">
        <v>0.05</v>
      </c>
      <c r="J272" s="93">
        <v>1000.0</v>
      </c>
      <c r="K272" s="73"/>
      <c r="L272" s="73"/>
      <c r="M272" s="73"/>
      <c r="N272" s="74"/>
    </row>
    <row r="273" ht="30.0" hidden="1" customHeight="1">
      <c r="A273" s="68">
        <v>273.0</v>
      </c>
      <c r="B273" s="68"/>
      <c r="C273" s="68"/>
      <c r="D273" s="69" t="str">
        <f>CONCATENATE(PROPER('DASMA INFO'!$G273),", ",PROPER('DASMA INFO'!$E273)," ",PROPER('DASMA INFO'!$F273),"."," (",UPPER('DASMA INFO'!$H273),")")</f>
        <v>Jurado, Jonnel . ()</v>
      </c>
      <c r="E273" s="70" t="s">
        <v>1327</v>
      </c>
      <c r="F273" s="70"/>
      <c r="G273" s="70" t="s">
        <v>1268</v>
      </c>
      <c r="H273" s="69"/>
      <c r="I273" s="92">
        <v>0.05</v>
      </c>
      <c r="J273" s="93">
        <v>1000.0</v>
      </c>
      <c r="K273" s="73"/>
      <c r="L273" s="73"/>
      <c r="M273" s="73"/>
      <c r="N273" s="74"/>
    </row>
    <row r="274" ht="30.0" hidden="1" customHeight="1">
      <c r="A274" s="68">
        <v>274.0</v>
      </c>
      <c r="B274" s="68"/>
      <c r="C274" s="68"/>
      <c r="D274" s="69" t="str">
        <f>CONCATENATE(PROPER('DASMA INFO'!$G274),", ",PROPER('DASMA INFO'!$E274)," ",PROPER('DASMA INFO'!$F274),"."," (",UPPER('DASMA INFO'!$H274),")")</f>
        <v>Gonzales, Wilson . ()</v>
      </c>
      <c r="E274" s="70" t="s">
        <v>739</v>
      </c>
      <c r="F274" s="70"/>
      <c r="G274" s="70" t="s">
        <v>394</v>
      </c>
      <c r="H274" s="69"/>
      <c r="I274" s="92">
        <v>0.05</v>
      </c>
      <c r="J274" s="93">
        <v>1000.0</v>
      </c>
      <c r="K274" s="73"/>
      <c r="L274" s="73"/>
      <c r="M274" s="73"/>
      <c r="N274" s="74"/>
    </row>
    <row r="275" ht="30.0" hidden="1" customHeight="1">
      <c r="A275" s="68">
        <v>275.0</v>
      </c>
      <c r="B275" s="68"/>
      <c r="C275" s="68"/>
      <c r="D275" s="69" t="str">
        <f>CONCATENATE(PROPER('DASMA INFO'!$G275),", ",PROPER('DASMA INFO'!$E275)," ",PROPER('DASMA INFO'!$F275),"."," (",UPPER('DASMA INFO'!$H275),")")</f>
        <v>Ninora, Malaya . ()</v>
      </c>
      <c r="E275" s="70" t="s">
        <v>1328</v>
      </c>
      <c r="F275" s="70"/>
      <c r="G275" s="70" t="s">
        <v>1329</v>
      </c>
      <c r="H275" s="69"/>
      <c r="I275" s="92">
        <v>0.05</v>
      </c>
      <c r="J275" s="93">
        <v>1000.0</v>
      </c>
      <c r="K275" s="73"/>
      <c r="L275" s="73"/>
      <c r="M275" s="73"/>
      <c r="N275" s="74"/>
    </row>
    <row r="276" ht="30.0" hidden="1" customHeight="1">
      <c r="A276" s="68">
        <v>276.0</v>
      </c>
      <c r="B276" s="68"/>
      <c r="C276" s="68"/>
      <c r="D276" s="69" t="str">
        <f>CONCATENATE(PROPER('DASMA INFO'!$G276),", ",PROPER('DASMA INFO'!$E276)," ",PROPER('DASMA INFO'!$F276),"."," (",UPPER('DASMA INFO'!$H276),")")</f>
        <v>Domingo, Merle . ()</v>
      </c>
      <c r="E276" s="70" t="s">
        <v>1330</v>
      </c>
      <c r="F276" s="70"/>
      <c r="G276" s="70" t="s">
        <v>1331</v>
      </c>
      <c r="H276" s="69"/>
      <c r="I276" s="92">
        <v>0.05</v>
      </c>
      <c r="J276" s="93">
        <v>1000.0</v>
      </c>
      <c r="K276" s="73"/>
      <c r="L276" s="73"/>
      <c r="M276" s="73"/>
      <c r="N276" s="74"/>
    </row>
    <row r="277" ht="30.0" hidden="1" customHeight="1">
      <c r="A277" s="68">
        <v>277.0</v>
      </c>
      <c r="B277" s="68"/>
      <c r="C277" s="68"/>
      <c r="D277" s="69" t="str">
        <f>CONCATENATE(PROPER('DASMA INFO'!$G277),", ",PROPER('DASMA INFO'!$E277)," ",PROPER('DASMA INFO'!$F277),"."," (",UPPER('DASMA INFO'!$H277),")")</f>
        <v>Gonzaga, Roberto . ()</v>
      </c>
      <c r="E277" s="70" t="s">
        <v>197</v>
      </c>
      <c r="F277" s="70"/>
      <c r="G277" s="70" t="s">
        <v>1332</v>
      </c>
      <c r="H277" s="69"/>
      <c r="I277" s="92">
        <v>0.05</v>
      </c>
      <c r="J277" s="93">
        <v>1000.0</v>
      </c>
      <c r="K277" s="73"/>
      <c r="L277" s="73"/>
      <c r="M277" s="73"/>
      <c r="N277" s="74"/>
    </row>
    <row r="278" ht="30.0" hidden="1" customHeight="1">
      <c r="A278" s="68">
        <v>278.0</v>
      </c>
      <c r="B278" s="68"/>
      <c r="C278" s="68"/>
      <c r="D278" s="69" t="str">
        <f>CONCATENATE(PROPER('DASMA INFO'!$G278),", ",PROPER('DASMA INFO'!$E278)," ",PROPER('DASMA INFO'!$F278),"."," (",UPPER('DASMA INFO'!$H278),")")</f>
        <v>Vergara, Myrna . ()</v>
      </c>
      <c r="E278" s="70" t="s">
        <v>586</v>
      </c>
      <c r="F278" s="70"/>
      <c r="G278" s="70" t="s">
        <v>1333</v>
      </c>
      <c r="H278" s="69"/>
      <c r="I278" s="92">
        <v>0.05</v>
      </c>
      <c r="J278" s="93">
        <v>1000.0</v>
      </c>
      <c r="K278" s="73"/>
      <c r="L278" s="73"/>
      <c r="M278" s="73"/>
      <c r="N278" s="74"/>
    </row>
    <row r="279" ht="30.0" hidden="1" customHeight="1">
      <c r="A279" s="68">
        <v>279.0</v>
      </c>
      <c r="B279" s="68"/>
      <c r="C279" s="68"/>
      <c r="D279" s="69" t="str">
        <f>CONCATENATE(PROPER('DASMA INFO'!$G279),", ",PROPER('DASMA INFO'!$E279)," ",PROPER('DASMA INFO'!$F279),"."," (",UPPER('DASMA INFO'!$H279),")")</f>
        <v>Manintag, Milan . ()</v>
      </c>
      <c r="E279" s="70" t="s">
        <v>1334</v>
      </c>
      <c r="F279" s="70"/>
      <c r="G279" s="70" t="s">
        <v>1335</v>
      </c>
      <c r="H279" s="69"/>
      <c r="I279" s="92">
        <v>0.05</v>
      </c>
      <c r="J279" s="93">
        <v>1000.0</v>
      </c>
      <c r="K279" s="73"/>
      <c r="L279" s="73"/>
      <c r="M279" s="73"/>
      <c r="N279" s="74"/>
    </row>
    <row r="280" ht="30.0" hidden="1" customHeight="1">
      <c r="A280" s="68">
        <v>280.0</v>
      </c>
      <c r="B280" s="68"/>
      <c r="C280" s="68"/>
      <c r="D280" s="69" t="str">
        <f>CONCATENATE(PROPER('DASMA INFO'!$G280),", ",PROPER('DASMA INFO'!$E280)," ",PROPER('DASMA INFO'!$F280),"."," (",UPPER('DASMA INFO'!$H280),")")</f>
        <v>Canaynay, Joy . ()</v>
      </c>
      <c r="E280" s="70" t="s">
        <v>501</v>
      </c>
      <c r="F280" s="70"/>
      <c r="G280" s="70" t="s">
        <v>982</v>
      </c>
      <c r="H280" s="69"/>
      <c r="I280" s="92">
        <v>0.05</v>
      </c>
      <c r="J280" s="93">
        <v>1000.0</v>
      </c>
      <c r="K280" s="73"/>
      <c r="L280" s="73"/>
      <c r="M280" s="73"/>
      <c r="N280" s="74"/>
    </row>
    <row r="281" ht="30.0" hidden="1" customHeight="1">
      <c r="A281" s="68">
        <v>281.0</v>
      </c>
      <c r="B281" s="68"/>
      <c r="C281" s="68"/>
      <c r="D281" s="69" t="str">
        <f>CONCATENATE(PROPER('DASMA INFO'!$G281),", ",PROPER('DASMA INFO'!$E281)," ",PROPER('DASMA INFO'!$F281),"."," (",UPPER('DASMA INFO'!$H281),")")</f>
        <v>Fedulni, Diane . ()</v>
      </c>
      <c r="E281" s="70" t="s">
        <v>1336</v>
      </c>
      <c r="F281" s="70"/>
      <c r="G281" s="70" t="s">
        <v>1337</v>
      </c>
      <c r="H281" s="69"/>
      <c r="I281" s="92">
        <v>0.05</v>
      </c>
      <c r="J281" s="93">
        <v>1000.0</v>
      </c>
      <c r="K281" s="73"/>
      <c r="L281" s="73"/>
      <c r="M281" s="73"/>
      <c r="N281" s="74"/>
    </row>
    <row r="282" ht="30.0" hidden="1" customHeight="1">
      <c r="A282" s="68">
        <v>282.0</v>
      </c>
      <c r="B282" s="68"/>
      <c r="C282" s="68"/>
      <c r="D282" s="69" t="str">
        <f>CONCATENATE(PROPER('DASMA INFO'!$G282),", ",PROPER('DASMA INFO'!$E282)," ",PROPER('DASMA INFO'!$F282),"."," (",UPPER('DASMA INFO'!$H282),")")</f>
        <v>Baco, Jerryl . ()</v>
      </c>
      <c r="E282" s="70" t="s">
        <v>1338</v>
      </c>
      <c r="F282" s="70"/>
      <c r="G282" s="70" t="s">
        <v>1339</v>
      </c>
      <c r="H282" s="69"/>
      <c r="I282" s="92">
        <v>0.05</v>
      </c>
      <c r="J282" s="93">
        <v>1000.0</v>
      </c>
      <c r="K282" s="73"/>
      <c r="L282" s="73"/>
      <c r="M282" s="73"/>
      <c r="N282" s="74"/>
    </row>
    <row r="283" ht="30.0" hidden="1" customHeight="1">
      <c r="A283" s="68">
        <v>283.0</v>
      </c>
      <c r="B283" s="68"/>
      <c r="C283" s="68"/>
      <c r="D283" s="69" t="str">
        <f>CONCATENATE(PROPER('DASMA INFO'!$G283),", ",PROPER('DASMA INFO'!$E283)," ",PROPER('DASMA INFO'!$F283),"."," (",UPPER('DASMA INFO'!$H283),")")</f>
        <v>Saulog, Offery . ()</v>
      </c>
      <c r="E283" s="70" t="s">
        <v>1340</v>
      </c>
      <c r="F283" s="70"/>
      <c r="G283" s="70" t="s">
        <v>1341</v>
      </c>
      <c r="H283" s="69"/>
      <c r="I283" s="92">
        <v>0.05</v>
      </c>
      <c r="J283" s="93">
        <v>1000.0</v>
      </c>
      <c r="K283" s="73"/>
      <c r="L283" s="73"/>
      <c r="M283" s="73"/>
      <c r="N283" s="74"/>
    </row>
    <row r="284" ht="30.0" hidden="1" customHeight="1">
      <c r="A284" s="68">
        <v>284.0</v>
      </c>
      <c r="B284" s="68"/>
      <c r="C284" s="68"/>
      <c r="D284" s="69" t="str">
        <f>CONCATENATE(PROPER('DASMA INFO'!$G284),", ",PROPER('DASMA INFO'!$E284)," ",PROPER('DASMA INFO'!$F284),"."," (",UPPER('DASMA INFO'!$H284),")")</f>
        <v>Travina, Josifina . ()</v>
      </c>
      <c r="E284" s="70" t="s">
        <v>1342</v>
      </c>
      <c r="F284" s="70"/>
      <c r="G284" s="70" t="s">
        <v>1343</v>
      </c>
      <c r="H284" s="69"/>
      <c r="I284" s="92">
        <v>0.05</v>
      </c>
      <c r="J284" s="93">
        <v>1000.0</v>
      </c>
      <c r="K284" s="73"/>
      <c r="L284" s="73"/>
      <c r="M284" s="73"/>
      <c r="N284" s="74"/>
    </row>
    <row r="285" ht="30.0" hidden="1" customHeight="1">
      <c r="A285" s="68">
        <v>285.0</v>
      </c>
      <c r="B285" s="68"/>
      <c r="C285" s="68"/>
      <c r="D285" s="69" t="str">
        <f>CONCATENATE(PROPER('DASMA INFO'!$G285),", ",PROPER('DASMA INFO'!$E285)," ",PROPER('DASMA INFO'!$F285),"."," (",UPPER('DASMA INFO'!$H285),")")</f>
        <v>Cruz, Seling . ()</v>
      </c>
      <c r="E285" s="70" t="s">
        <v>1344</v>
      </c>
      <c r="F285" s="70"/>
      <c r="G285" s="70" t="s">
        <v>676</v>
      </c>
      <c r="H285" s="69"/>
      <c r="I285" s="92">
        <v>0.05</v>
      </c>
      <c r="J285" s="93">
        <v>1000.0</v>
      </c>
      <c r="K285" s="73"/>
      <c r="L285" s="73"/>
      <c r="M285" s="73"/>
      <c r="N285" s="74"/>
    </row>
    <row r="286" ht="30.0" hidden="1" customHeight="1">
      <c r="A286" s="68">
        <v>286.0</v>
      </c>
      <c r="B286" s="68"/>
      <c r="C286" s="68"/>
      <c r="D286" s="69" t="str">
        <f>CONCATENATE(PROPER('DASMA INFO'!$G286),", ",PROPER('DASMA INFO'!$E286)," ",PROPER('DASMA INFO'!$F286),"."," (",UPPER('DASMA INFO'!$H286),")")</f>
        <v>,  . ()</v>
      </c>
      <c r="E286" s="70"/>
      <c r="F286" s="70"/>
      <c r="G286" s="70"/>
      <c r="H286" s="69"/>
      <c r="I286" s="92">
        <v>0.05</v>
      </c>
      <c r="J286" s="93">
        <v>1000.0</v>
      </c>
      <c r="K286" s="73"/>
      <c r="L286" s="73"/>
      <c r="M286" s="73"/>
      <c r="N286" s="74"/>
    </row>
    <row r="287" ht="30.0" hidden="1" customHeight="1">
      <c r="A287" s="68">
        <v>287.0</v>
      </c>
      <c r="B287" s="68"/>
      <c r="C287" s="68"/>
      <c r="D287" s="69" t="str">
        <f>CONCATENATE(PROPER('DASMA INFO'!$G287),", ",PROPER('DASMA INFO'!$E287)," ",PROPER('DASMA INFO'!$F287),"."," (",UPPER('DASMA INFO'!$H287),")")</f>
        <v>Jimenez, Joseph . ()</v>
      </c>
      <c r="E287" s="70" t="s">
        <v>729</v>
      </c>
      <c r="F287" s="70"/>
      <c r="G287" s="70" t="s">
        <v>520</v>
      </c>
      <c r="H287" s="69"/>
      <c r="I287" s="92">
        <v>0.05</v>
      </c>
      <c r="J287" s="93">
        <v>1000.0</v>
      </c>
      <c r="K287" s="73"/>
      <c r="L287" s="73"/>
      <c r="M287" s="73"/>
      <c r="N287" s="74"/>
    </row>
    <row r="288" ht="30.0" hidden="1" customHeight="1">
      <c r="A288" s="68">
        <v>288.0</v>
      </c>
      <c r="B288" s="68"/>
      <c r="C288" s="68"/>
      <c r="D288" s="69" t="str">
        <f>CONCATENATE(PROPER('DASMA INFO'!$G288),", ",PROPER('DASMA INFO'!$E288)," ",PROPER('DASMA INFO'!$F288),"."," (",UPPER('DASMA INFO'!$H288),")")</f>
        <v>Artuz, Jonilyn . ()</v>
      </c>
      <c r="E288" s="70" t="s">
        <v>1345</v>
      </c>
      <c r="F288" s="70"/>
      <c r="G288" s="70" t="s">
        <v>1346</v>
      </c>
      <c r="H288" s="69"/>
      <c r="I288" s="92">
        <v>0.05</v>
      </c>
      <c r="J288" s="93">
        <v>1000.0</v>
      </c>
      <c r="K288" s="73"/>
      <c r="L288" s="73"/>
      <c r="M288" s="73"/>
      <c r="N288" s="74"/>
    </row>
    <row r="289" ht="30.0" hidden="1" customHeight="1">
      <c r="A289" s="68">
        <v>289.0</v>
      </c>
      <c r="B289" s="68"/>
      <c r="C289" s="68"/>
      <c r="D289" s="69" t="str">
        <f>CONCATENATE(PROPER('DASMA INFO'!$G289),", ",PROPER('DASMA INFO'!$E289)," ",PROPER('DASMA INFO'!$F289),"."," (",UPPER('DASMA INFO'!$H289),")")</f>
        <v>Ramos, Jennifer . ()</v>
      </c>
      <c r="E289" s="70" t="s">
        <v>964</v>
      </c>
      <c r="F289" s="70"/>
      <c r="G289" s="70" t="s">
        <v>74</v>
      </c>
      <c r="H289" s="69"/>
      <c r="I289" s="92">
        <v>0.05</v>
      </c>
      <c r="J289" s="93">
        <v>1000.0</v>
      </c>
      <c r="K289" s="73"/>
      <c r="L289" s="73"/>
      <c r="M289" s="73"/>
      <c r="N289" s="74"/>
    </row>
    <row r="290" ht="30.0" hidden="1" customHeight="1">
      <c r="A290" s="68">
        <v>290.0</v>
      </c>
      <c r="B290" s="68"/>
      <c r="C290" s="68"/>
      <c r="D290" s="69" t="str">
        <f>CONCATENATE(PROPER('DASMA INFO'!$G290),", ",PROPER('DASMA INFO'!$E290)," ",PROPER('DASMA INFO'!$F290),"."," (",UPPER('DASMA INFO'!$H290),")")</f>
        <v>Tinasas, Abdula . ()</v>
      </c>
      <c r="E290" s="70" t="s">
        <v>1347</v>
      </c>
      <c r="F290" s="70"/>
      <c r="G290" s="70" t="s">
        <v>1348</v>
      </c>
      <c r="H290" s="69"/>
      <c r="I290" s="92">
        <v>0.05</v>
      </c>
      <c r="J290" s="93">
        <v>1000.0</v>
      </c>
      <c r="K290" s="73"/>
      <c r="L290" s="73"/>
      <c r="M290" s="73"/>
      <c r="N290" s="74"/>
    </row>
    <row r="291" ht="30.0" hidden="1" customHeight="1">
      <c r="A291" s="68">
        <v>291.0</v>
      </c>
      <c r="B291" s="68"/>
      <c r="C291" s="68"/>
      <c r="D291" s="69" t="str">
        <f>CONCATENATE(PROPER('DASMA INFO'!$G291),", ",PROPER('DASMA INFO'!$E291)," ",PROPER('DASMA INFO'!$F291),"."," (",UPPER('DASMA INFO'!$H291),")")</f>
        <v>Cabanilla, Edjosef . ()</v>
      </c>
      <c r="E291" s="70" t="s">
        <v>1349</v>
      </c>
      <c r="F291" s="70"/>
      <c r="G291" s="70" t="s">
        <v>1350</v>
      </c>
      <c r="H291" s="69"/>
      <c r="I291" s="92">
        <v>0.05</v>
      </c>
      <c r="J291" s="93">
        <v>1000.0</v>
      </c>
      <c r="K291" s="73"/>
      <c r="L291" s="73"/>
      <c r="M291" s="73"/>
      <c r="N291" s="74"/>
    </row>
    <row r="292" ht="30.0" hidden="1" customHeight="1">
      <c r="A292" s="68">
        <v>292.0</v>
      </c>
      <c r="B292" s="68"/>
      <c r="C292" s="68"/>
      <c r="D292" s="69" t="str">
        <f>CONCATENATE(PROPER('DASMA INFO'!$G292),", ",PROPER('DASMA INFO'!$E292)," ",PROPER('DASMA INFO'!$F292),"."," (",UPPER('DASMA INFO'!$H292),")")</f>
        <v>Ambata, Nita M. ()</v>
      </c>
      <c r="E292" s="70" t="s">
        <v>89</v>
      </c>
      <c r="F292" s="70" t="s">
        <v>587</v>
      </c>
      <c r="G292" s="70" t="s">
        <v>90</v>
      </c>
      <c r="H292" s="69"/>
      <c r="I292" s="92">
        <v>0.05</v>
      </c>
      <c r="J292" s="93">
        <v>1000.0</v>
      </c>
      <c r="K292" s="73" t="s">
        <v>1351</v>
      </c>
      <c r="L292" s="73"/>
      <c r="M292" s="73"/>
      <c r="N292" s="74"/>
    </row>
    <row r="293" ht="30.0" hidden="1" customHeight="1">
      <c r="A293" s="68">
        <v>293.0</v>
      </c>
      <c r="B293" s="68"/>
      <c r="C293" s="68"/>
      <c r="D293" s="69" t="str">
        <f>CONCATENATE(PROPER('DASMA INFO'!$G293),", ",PROPER('DASMA INFO'!$E293)," ",PROPER('DASMA INFO'!$F293),"."," (",UPPER('DASMA INFO'!$H293),")")</f>
        <v>Magsino, Christian . ()</v>
      </c>
      <c r="E293" s="70" t="s">
        <v>426</v>
      </c>
      <c r="F293" s="70"/>
      <c r="G293" s="70" t="s">
        <v>1352</v>
      </c>
      <c r="H293" s="69"/>
      <c r="I293" s="92">
        <v>0.05</v>
      </c>
      <c r="J293" s="93">
        <v>1000.0</v>
      </c>
      <c r="K293" s="73"/>
      <c r="L293" s="73"/>
      <c r="M293" s="73"/>
      <c r="N293" s="74"/>
    </row>
    <row r="294" ht="30.0" hidden="1" customHeight="1">
      <c r="A294" s="68">
        <v>294.0</v>
      </c>
      <c r="B294" s="68"/>
      <c r="C294" s="68"/>
      <c r="D294" s="69" t="str">
        <f>CONCATENATE(PROPER('DASMA INFO'!$G294),", ",PROPER('DASMA INFO'!$E294)," ",PROPER('DASMA INFO'!$F294),"."," (",UPPER('DASMA INFO'!$H294),")")</f>
        <v>Espalto, Venan . ()</v>
      </c>
      <c r="E294" s="70" t="s">
        <v>1353</v>
      </c>
      <c r="F294" s="70"/>
      <c r="G294" s="70" t="s">
        <v>1354</v>
      </c>
      <c r="H294" s="69"/>
      <c r="I294" s="92">
        <v>0.05</v>
      </c>
      <c r="J294" s="93">
        <v>1000.0</v>
      </c>
      <c r="K294" s="73"/>
      <c r="L294" s="73"/>
      <c r="M294" s="73"/>
      <c r="N294" s="74"/>
    </row>
    <row r="295" ht="30.0" hidden="1" customHeight="1">
      <c r="A295" s="68">
        <v>295.0</v>
      </c>
      <c r="B295" s="68"/>
      <c r="C295" s="68"/>
      <c r="D295" s="69" t="str">
        <f>CONCATENATE(PROPER('DASMA INFO'!$G295),", ",PROPER('DASMA INFO'!$E295)," ",PROPER('DASMA INFO'!$F295),"."," (",UPPER('DASMA INFO'!$H295),")")</f>
        <v>Joson, Delfin . ()</v>
      </c>
      <c r="E295" s="70" t="s">
        <v>1355</v>
      </c>
      <c r="F295" s="70"/>
      <c r="G295" s="70" t="s">
        <v>1356</v>
      </c>
      <c r="H295" s="69"/>
      <c r="I295" s="92">
        <v>0.05</v>
      </c>
      <c r="J295" s="93">
        <v>1000.0</v>
      </c>
      <c r="K295" s="73"/>
      <c r="L295" s="73"/>
      <c r="M295" s="73"/>
      <c r="N295" s="74"/>
    </row>
    <row r="296" ht="30.0" hidden="1" customHeight="1">
      <c r="A296" s="68">
        <v>296.0</v>
      </c>
      <c r="B296" s="68"/>
      <c r="C296" s="68"/>
      <c r="D296" s="69" t="str">
        <f>CONCATENATE(PROPER('DASMA INFO'!$G296),", ",PROPER('DASMA INFO'!$E296)," ",PROPER('DASMA INFO'!$F296),"."," (",UPPER('DASMA INFO'!$H296),")")</f>
        <v>Linares, Edita . ()</v>
      </c>
      <c r="E296" s="70" t="s">
        <v>1357</v>
      </c>
      <c r="F296" s="70"/>
      <c r="G296" s="70" t="s">
        <v>1358</v>
      </c>
      <c r="H296" s="69"/>
      <c r="I296" s="92">
        <v>0.05</v>
      </c>
      <c r="J296" s="93">
        <v>1000.0</v>
      </c>
      <c r="K296" s="73"/>
      <c r="L296" s="73"/>
      <c r="M296" s="73"/>
      <c r="N296" s="74"/>
    </row>
    <row r="297" ht="30.0" hidden="1" customHeight="1">
      <c r="A297" s="68">
        <v>297.0</v>
      </c>
      <c r="B297" s="68"/>
      <c r="C297" s="68"/>
      <c r="D297" s="69" t="str">
        <f>CONCATENATE(PROPER('DASMA INFO'!$G297),", ",PROPER('DASMA INFO'!$E297)," ",PROPER('DASMA INFO'!$F297),"."," (",UPPER('DASMA INFO'!$H297),")")</f>
        <v>San, Ma Teresa M. ()</v>
      </c>
      <c r="E297" s="70" t="s">
        <v>821</v>
      </c>
      <c r="F297" s="70" t="s">
        <v>587</v>
      </c>
      <c r="G297" s="70" t="s">
        <v>1359</v>
      </c>
      <c r="H297" s="70"/>
      <c r="I297" s="92">
        <v>0.05</v>
      </c>
      <c r="J297" s="93">
        <v>1000.0</v>
      </c>
      <c r="K297" s="73"/>
      <c r="L297" s="73"/>
      <c r="M297" s="73"/>
      <c r="N297" s="74"/>
    </row>
    <row r="298" ht="30.0" hidden="1" customHeight="1">
      <c r="A298" s="68">
        <v>298.0</v>
      </c>
      <c r="B298" s="68"/>
      <c r="C298" s="68"/>
      <c r="D298" s="69" t="str">
        <f>CONCATENATE(PROPER('DASMA INFO'!$G298),", ",PROPER('DASMA INFO'!$E298)," ",PROPER('DASMA INFO'!$F298),"."," (",UPPER('DASMA INFO'!$H298),")")</f>
        <v>San Pedro, Ma.Elena . ()</v>
      </c>
      <c r="E298" s="70" t="s">
        <v>1360</v>
      </c>
      <c r="F298" s="70"/>
      <c r="G298" s="70" t="s">
        <v>92</v>
      </c>
      <c r="H298" s="70"/>
      <c r="I298" s="92">
        <v>0.05</v>
      </c>
      <c r="J298" s="93">
        <v>1000.0</v>
      </c>
      <c r="K298" s="73"/>
      <c r="L298" s="73"/>
      <c r="M298" s="73"/>
      <c r="N298" s="74"/>
    </row>
    <row r="299" ht="30.0" hidden="1" customHeight="1">
      <c r="A299" s="68">
        <v>299.0</v>
      </c>
      <c r="B299" s="68"/>
      <c r="C299" s="68"/>
      <c r="D299" s="69" t="str">
        <f>CONCATENATE(PROPER('DASMA INFO'!$G299),", ",PROPER('DASMA INFO'!$E299)," ",PROPER('DASMA INFO'!$F299),"."," (",UPPER('DASMA INFO'!$H299),")")</f>
        <v>,  . ()</v>
      </c>
      <c r="E299" s="70"/>
      <c r="F299" s="70"/>
      <c r="G299" s="70"/>
      <c r="H299" s="70"/>
      <c r="I299" s="92">
        <v>0.05</v>
      </c>
      <c r="J299" s="93">
        <v>1000.0</v>
      </c>
      <c r="K299" s="73"/>
      <c r="L299" s="73"/>
      <c r="M299" s="73"/>
      <c r="N299" s="74"/>
    </row>
    <row r="300" ht="30.0" hidden="1" customHeight="1">
      <c r="A300" s="68">
        <v>300.0</v>
      </c>
      <c r="B300" s="68"/>
      <c r="C300" s="68"/>
      <c r="D300" s="69" t="str">
        <f>CONCATENATE(PROPER('DASMA INFO'!$G300),", ",PROPER('DASMA INFO'!$E300)," ",PROPER('DASMA INFO'!$F300),"."," (",UPPER('DASMA INFO'!$H300),")")</f>
        <v>Alibudbud, Odesa . ()</v>
      </c>
      <c r="E300" s="70" t="s">
        <v>1361</v>
      </c>
      <c r="F300" s="70"/>
      <c r="G300" s="70" t="s">
        <v>210</v>
      </c>
      <c r="H300" s="70"/>
      <c r="I300" s="92">
        <v>0.05</v>
      </c>
      <c r="J300" s="93">
        <v>1000.0</v>
      </c>
      <c r="K300" s="73"/>
      <c r="L300" s="73"/>
      <c r="M300" s="73"/>
      <c r="N300" s="74"/>
    </row>
    <row r="301" ht="30.0" hidden="1" customHeight="1">
      <c r="A301" s="68">
        <v>301.0</v>
      </c>
      <c r="B301" s="68"/>
      <c r="C301" s="68"/>
      <c r="D301" s="69" t="str">
        <f>CONCATENATE(PROPER('DASMA INFO'!$G301),", ",PROPER('DASMA INFO'!$E301)," ",PROPER('DASMA INFO'!$F301),"."," (",UPPER('DASMA INFO'!$H301),")")</f>
        <v>Corpuz, Marlyn . ()</v>
      </c>
      <c r="E301" s="70" t="s">
        <v>1051</v>
      </c>
      <c r="F301" s="70"/>
      <c r="G301" s="70" t="s">
        <v>1362</v>
      </c>
      <c r="H301" s="70"/>
      <c r="I301" s="92">
        <v>0.05</v>
      </c>
      <c r="J301" s="93">
        <v>1000.0</v>
      </c>
      <c r="K301" s="73"/>
      <c r="L301" s="73"/>
      <c r="M301" s="73"/>
      <c r="N301" s="74"/>
    </row>
    <row r="302" ht="30.0" hidden="1" customHeight="1">
      <c r="A302" s="68">
        <v>302.0</v>
      </c>
      <c r="B302" s="68"/>
      <c r="C302" s="68"/>
      <c r="D302" s="69" t="str">
        <f>CONCATENATE(PROPER('DASMA INFO'!$G302),", ",PROPER('DASMA INFO'!$E302)," ",PROPER('DASMA INFO'!$F302),"."," (",UPPER('DASMA INFO'!$H302),")")</f>
        <v>Tanaka, Regina P. ()</v>
      </c>
      <c r="E302" s="70" t="s">
        <v>388</v>
      </c>
      <c r="F302" s="70" t="s">
        <v>513</v>
      </c>
      <c r="G302" s="70" t="s">
        <v>1363</v>
      </c>
      <c r="H302" s="69"/>
      <c r="I302" s="92">
        <v>0.05</v>
      </c>
      <c r="J302" s="93">
        <v>1000.0</v>
      </c>
      <c r="K302" s="73"/>
      <c r="L302" s="73"/>
      <c r="M302" s="73"/>
      <c r="N302" s="74"/>
    </row>
    <row r="303" ht="30.0" hidden="1" customHeight="1">
      <c r="A303" s="68">
        <v>303.0</v>
      </c>
      <c r="B303" s="68"/>
      <c r="C303" s="68"/>
      <c r="D303" s="69" t="str">
        <f>CONCATENATE(PROPER('DASMA INFO'!$G303),", ",PROPER('DASMA INFO'!$E303)," ",PROPER('DASMA INFO'!$F303),"."," (",UPPER('DASMA INFO'!$H303),")")</f>
        <v>Jimelo, Rober . ()</v>
      </c>
      <c r="E303" s="70" t="s">
        <v>1364</v>
      </c>
      <c r="F303" s="70"/>
      <c r="G303" s="70" t="s">
        <v>1365</v>
      </c>
      <c r="H303" s="69"/>
      <c r="I303" s="92">
        <v>0.05</v>
      </c>
      <c r="J303" s="93">
        <v>1000.0</v>
      </c>
      <c r="K303" s="73"/>
      <c r="L303" s="73"/>
      <c r="M303" s="73"/>
      <c r="N303" s="74"/>
    </row>
    <row r="304" ht="30.0" hidden="1" customHeight="1">
      <c r="A304" s="68">
        <v>304.0</v>
      </c>
      <c r="B304" s="68"/>
      <c r="C304" s="68"/>
      <c r="D304" s="69" t="str">
        <f>CONCATENATE(PROPER('DASMA INFO'!$G304),", ",PROPER('DASMA INFO'!$E304)," ",PROPER('DASMA INFO'!$F304),"."," (",UPPER('DASMA INFO'!$H304),")")</f>
        <v>Manayaw, Resty . ()</v>
      </c>
      <c r="E304" s="70" t="s">
        <v>1366</v>
      </c>
      <c r="F304" s="70"/>
      <c r="G304" s="70" t="s">
        <v>1367</v>
      </c>
      <c r="H304" s="69"/>
      <c r="I304" s="92">
        <v>0.05</v>
      </c>
      <c r="J304" s="93">
        <v>1000.0</v>
      </c>
      <c r="K304" s="73"/>
      <c r="L304" s="73"/>
      <c r="M304" s="73"/>
      <c r="N304" s="74"/>
    </row>
    <row r="305" ht="30.0" hidden="1" customHeight="1">
      <c r="A305" s="68">
        <v>305.0</v>
      </c>
      <c r="B305" s="68"/>
      <c r="C305" s="68"/>
      <c r="D305" s="69" t="str">
        <f>CONCATENATE(PROPER('DASMA INFO'!$G305),", ",PROPER('DASMA INFO'!$E305)," ",PROPER('DASMA INFO'!$F305),"."," (",UPPER('DASMA INFO'!$H305),")")</f>
        <v>Avenido, Julian P. ()</v>
      </c>
      <c r="E305" s="70" t="s">
        <v>1368</v>
      </c>
      <c r="F305" s="70" t="s">
        <v>513</v>
      </c>
      <c r="G305" s="70" t="s">
        <v>314</v>
      </c>
      <c r="H305" s="69"/>
      <c r="I305" s="92">
        <v>0.05</v>
      </c>
      <c r="J305" s="93">
        <v>1000.0</v>
      </c>
      <c r="K305" s="73"/>
      <c r="L305" s="73"/>
      <c r="M305" s="73"/>
      <c r="N305" s="74"/>
    </row>
    <row r="306" ht="30.0" hidden="1" customHeight="1">
      <c r="A306" s="68">
        <v>306.0</v>
      </c>
      <c r="B306" s="68"/>
      <c r="C306" s="68"/>
      <c r="D306" s="69" t="str">
        <f>CONCATENATE(PROPER('DASMA INFO'!$G306),", ",PROPER('DASMA INFO'!$E306)," ",PROPER('DASMA INFO'!$F306),"."," (",UPPER('DASMA INFO'!$H306),")")</f>
        <v>Santos, Edilberto C. ()</v>
      </c>
      <c r="E306" s="70" t="s">
        <v>1151</v>
      </c>
      <c r="F306" s="70" t="s">
        <v>318</v>
      </c>
      <c r="G306" s="70" t="s">
        <v>204</v>
      </c>
      <c r="H306" s="69"/>
      <c r="I306" s="92">
        <v>0.05</v>
      </c>
      <c r="J306" s="93">
        <v>5000.0</v>
      </c>
      <c r="K306" s="73" t="s">
        <v>968</v>
      </c>
      <c r="L306" s="73"/>
      <c r="M306" s="73"/>
      <c r="N306" s="74"/>
    </row>
    <row r="307" ht="30.0" hidden="1" customHeight="1">
      <c r="A307" s="68">
        <v>307.0</v>
      </c>
      <c r="B307" s="68"/>
      <c r="C307" s="68"/>
      <c r="D307" s="69" t="str">
        <f>CONCATENATE(PROPER('DASMA INFO'!$G307),", ",PROPER('DASMA INFO'!$E307)," ",PROPER('DASMA INFO'!$F307),"."," (",UPPER('DASMA INFO'!$H307),")")</f>
        <v>Regalado, Patrick . ()</v>
      </c>
      <c r="E307" s="70" t="s">
        <v>1369</v>
      </c>
      <c r="F307" s="70"/>
      <c r="G307" s="70" t="s">
        <v>1370</v>
      </c>
      <c r="H307" s="69"/>
      <c r="I307" s="92">
        <v>0.05</v>
      </c>
      <c r="J307" s="93">
        <v>1000.0</v>
      </c>
      <c r="K307" s="73"/>
      <c r="L307" s="73"/>
      <c r="M307" s="73"/>
      <c r="N307" s="74"/>
    </row>
    <row r="308" ht="30.0" hidden="1" customHeight="1">
      <c r="A308" s="68">
        <v>308.0</v>
      </c>
      <c r="B308" s="68"/>
      <c r="C308" s="68"/>
      <c r="D308" s="69" t="str">
        <f>CONCATENATE(PROPER('DASMA INFO'!$G308),", ",PROPER('DASMA INFO'!$E308)," ",PROPER('DASMA INFO'!$F308),"."," (",UPPER('DASMA INFO'!$H308),")")</f>
        <v>Diaz, Nick Angelo . ()</v>
      </c>
      <c r="E308" s="70" t="s">
        <v>1371</v>
      </c>
      <c r="F308" s="70"/>
      <c r="G308" s="70" t="s">
        <v>653</v>
      </c>
      <c r="H308" s="69"/>
      <c r="I308" s="92">
        <v>0.05</v>
      </c>
      <c r="J308" s="93">
        <v>1000.0</v>
      </c>
      <c r="K308" s="73"/>
      <c r="L308" s="73"/>
      <c r="M308" s="73"/>
      <c r="N308" s="74"/>
    </row>
    <row r="309" ht="30.0" hidden="1" customHeight="1">
      <c r="A309" s="68">
        <v>309.0</v>
      </c>
      <c r="B309" s="68"/>
      <c r="C309" s="68"/>
      <c r="D309" s="69" t="str">
        <f>CONCATENATE(PROPER('DASMA INFO'!$G309),", ",PROPER('DASMA INFO'!$E309)," ",PROPER('DASMA INFO'!$F309),"."," (",UPPER('DASMA INFO'!$H309),")")</f>
        <v>,  . ()</v>
      </c>
      <c r="E309" s="70"/>
      <c r="F309" s="70"/>
      <c r="G309" s="70"/>
      <c r="H309" s="69"/>
      <c r="I309" s="92">
        <v>0.05</v>
      </c>
      <c r="J309" s="93">
        <v>1000.0</v>
      </c>
      <c r="K309" s="73"/>
      <c r="L309" s="73"/>
      <c r="M309" s="73"/>
      <c r="N309" s="74"/>
    </row>
    <row r="310" ht="30.0" hidden="1" customHeight="1">
      <c r="A310" s="68">
        <v>310.0</v>
      </c>
      <c r="B310" s="68"/>
      <c r="C310" s="68"/>
      <c r="D310" s="69" t="str">
        <f>CONCATENATE(PROPER('DASMA INFO'!$G310),", ",PROPER('DASMA INFO'!$E310)," ",PROPER('DASMA INFO'!$F310),"."," (",UPPER('DASMA INFO'!$H310),")")</f>
        <v>Abad, Ariel . ()</v>
      </c>
      <c r="E310" s="70" t="s">
        <v>237</v>
      </c>
      <c r="F310" s="70"/>
      <c r="G310" s="70" t="s">
        <v>177</v>
      </c>
      <c r="H310" s="69"/>
      <c r="I310" s="92">
        <v>0.05</v>
      </c>
      <c r="J310" s="93">
        <v>1000.0</v>
      </c>
      <c r="K310" s="73"/>
      <c r="L310" s="73"/>
      <c r="M310" s="73"/>
      <c r="N310" s="74"/>
    </row>
    <row r="311" ht="30.0" hidden="1" customHeight="1">
      <c r="A311" s="68">
        <v>311.0</v>
      </c>
      <c r="B311" s="68"/>
      <c r="C311" s="68"/>
      <c r="D311" s="69" t="str">
        <f>CONCATENATE(PROPER('DASMA INFO'!$G311),", ",PROPER('DASMA INFO'!$E311)," ",PROPER('DASMA INFO'!$F311),"."," (",UPPER('DASMA INFO'!$H311),")")</f>
        <v>, Bony . ()</v>
      </c>
      <c r="E311" s="70" t="s">
        <v>1372</v>
      </c>
      <c r="F311" s="70"/>
      <c r="G311" s="70"/>
      <c r="H311" s="69"/>
      <c r="I311" s="92">
        <v>0.05</v>
      </c>
      <c r="J311" s="93">
        <v>1000.0</v>
      </c>
      <c r="K311" s="73"/>
      <c r="L311" s="73"/>
      <c r="M311" s="73"/>
      <c r="N311" s="74"/>
    </row>
    <row r="312" ht="30.0" hidden="1" customHeight="1">
      <c r="A312" s="68">
        <v>312.0</v>
      </c>
      <c r="B312" s="68"/>
      <c r="C312" s="68"/>
      <c r="D312" s="69" t="str">
        <f>CONCATENATE(PROPER('DASMA INFO'!$G312),", ",PROPER('DASMA INFO'!$E312)," ",PROPER('DASMA INFO'!$F312),"."," (",UPPER('DASMA INFO'!$H312),")")</f>
        <v>Alan, Elinora S. ()</v>
      </c>
      <c r="E312" s="70" t="s">
        <v>221</v>
      </c>
      <c r="F312" s="70" t="s">
        <v>342</v>
      </c>
      <c r="G312" s="70" t="s">
        <v>222</v>
      </c>
      <c r="H312" s="69"/>
      <c r="I312" s="92">
        <v>0.05</v>
      </c>
      <c r="J312" s="93">
        <v>1000.0</v>
      </c>
      <c r="K312" s="73"/>
      <c r="L312" s="73"/>
      <c r="M312" s="73"/>
      <c r="N312" s="74"/>
    </row>
    <row r="313" ht="30.0" hidden="1" customHeight="1">
      <c r="A313" s="68">
        <v>313.0</v>
      </c>
      <c r="B313" s="68"/>
      <c r="C313" s="68"/>
      <c r="D313" s="69" t="str">
        <f>CONCATENATE(PROPER('DASMA INFO'!$G313),", ",PROPER('DASMA INFO'!$E313)," ",PROPER('DASMA INFO'!$F313),"."," (",UPPER('DASMA INFO'!$H313),")")</f>
        <v>Miranda, Theresa I. ()</v>
      </c>
      <c r="E313" s="70" t="s">
        <v>1373</v>
      </c>
      <c r="F313" s="70" t="s">
        <v>767</v>
      </c>
      <c r="G313" s="70" t="s">
        <v>1255</v>
      </c>
      <c r="H313" s="69"/>
      <c r="I313" s="92">
        <v>0.05</v>
      </c>
      <c r="J313" s="93">
        <v>1000.0</v>
      </c>
      <c r="K313" s="73"/>
      <c r="L313" s="73"/>
      <c r="M313" s="73"/>
      <c r="N313" s="74"/>
    </row>
    <row r="314" ht="30.0" hidden="1" customHeight="1">
      <c r="A314" s="68">
        <v>314.0</v>
      </c>
      <c r="B314" s="68"/>
      <c r="C314" s="68"/>
      <c r="D314" s="69" t="str">
        <f>CONCATENATE(PROPER('DASMA INFO'!$G314),", ",PROPER('DASMA INFO'!$E314)," ",PROPER('DASMA INFO'!$F314),"."," (",UPPER('DASMA INFO'!$H314),")")</f>
        <v>Tablang, Joseph T. ()</v>
      </c>
      <c r="E314" s="70" t="s">
        <v>729</v>
      </c>
      <c r="F314" s="70" t="s">
        <v>752</v>
      </c>
      <c r="G314" s="70" t="s">
        <v>1374</v>
      </c>
      <c r="H314" s="69"/>
      <c r="I314" s="92">
        <v>0.05</v>
      </c>
      <c r="J314" s="93">
        <v>1000.0</v>
      </c>
      <c r="K314" s="73" t="s">
        <v>1375</v>
      </c>
      <c r="L314" s="73"/>
      <c r="M314" s="73"/>
      <c r="N314" s="74"/>
    </row>
    <row r="315" ht="30.0" hidden="1" customHeight="1">
      <c r="A315" s="68">
        <v>315.0</v>
      </c>
      <c r="B315" s="68"/>
      <c r="C315" s="68"/>
      <c r="D315" s="69" t="str">
        <f>CONCATENATE(PROPER('DASMA INFO'!$G315),", ",PROPER('DASMA INFO'!$E315)," ",PROPER('DASMA INFO'!$F315),"."," (",UPPER('DASMA INFO'!$H315),")")</f>
        <v>Brozo, Egleceria . ()</v>
      </c>
      <c r="E315" s="70" t="s">
        <v>1376</v>
      </c>
      <c r="F315" s="70"/>
      <c r="G315" s="70" t="s">
        <v>1377</v>
      </c>
      <c r="H315" s="69"/>
      <c r="I315" s="92">
        <v>0.05</v>
      </c>
      <c r="J315" s="93">
        <v>1000.0</v>
      </c>
      <c r="K315" s="73"/>
      <c r="L315" s="73"/>
      <c r="M315" s="73"/>
      <c r="N315" s="74"/>
    </row>
    <row r="316" ht="30.0" hidden="1" customHeight="1">
      <c r="A316" s="68">
        <v>316.0</v>
      </c>
      <c r="B316" s="68"/>
      <c r="C316" s="68"/>
      <c r="D316" s="69" t="str">
        <f>CONCATENATE(PROPER('DASMA INFO'!$G316),", ",PROPER('DASMA INFO'!$E316)," ",PROPER('DASMA INFO'!$F316),"."," (",UPPER('DASMA INFO'!$H316),")")</f>
        <v>Sijares, Mariles . ()</v>
      </c>
      <c r="E316" s="70" t="s">
        <v>1378</v>
      </c>
      <c r="F316" s="70"/>
      <c r="G316" s="70" t="s">
        <v>1379</v>
      </c>
      <c r="H316" s="69"/>
      <c r="I316" s="92">
        <v>0.05</v>
      </c>
      <c r="J316" s="93">
        <v>1000.0</v>
      </c>
      <c r="K316" s="73"/>
      <c r="L316" s="73"/>
      <c r="M316" s="73"/>
      <c r="N316" s="74"/>
    </row>
    <row r="317" ht="30.0" hidden="1" customHeight="1">
      <c r="A317" s="68">
        <v>317.0</v>
      </c>
      <c r="B317" s="68"/>
      <c r="C317" s="68"/>
      <c r="D317" s="69" t="str">
        <f>CONCATENATE(PROPER('DASMA INFO'!$G317),", ",PROPER('DASMA INFO'!$E317)," ",PROPER('DASMA INFO'!$F317),"."," (",UPPER('DASMA INFO'!$H317),")")</f>
        <v>De Lara, Herminio (Coy) D. ()</v>
      </c>
      <c r="E317" s="70" t="s">
        <v>1380</v>
      </c>
      <c r="F317" s="70" t="s">
        <v>1078</v>
      </c>
      <c r="G317" s="70" t="s">
        <v>163</v>
      </c>
      <c r="H317" s="70"/>
      <c r="I317" s="92">
        <v>0.05</v>
      </c>
      <c r="J317" s="93">
        <v>1000.0</v>
      </c>
      <c r="K317" s="73" t="s">
        <v>1053</v>
      </c>
      <c r="L317" s="73"/>
      <c r="M317" s="73"/>
      <c r="N317" s="74"/>
    </row>
    <row r="318" ht="30.0" hidden="1" customHeight="1">
      <c r="A318" s="68">
        <v>319.0</v>
      </c>
      <c r="B318" s="68"/>
      <c r="C318" s="68"/>
      <c r="D318" s="69" t="str">
        <f>CONCATENATE(PROPER('DASMA INFO'!$G318),", ",PROPER('DASMA INFO'!$E318)," ",PROPER('DASMA INFO'!$F318),"."," (",UPPER('DASMA INFO'!$H318),")")</f>
        <v>De Lara, Orlando R. ()</v>
      </c>
      <c r="E318" s="70" t="s">
        <v>68</v>
      </c>
      <c r="F318" s="70" t="s">
        <v>260</v>
      </c>
      <c r="G318" s="70" t="s">
        <v>163</v>
      </c>
      <c r="H318" s="70"/>
      <c r="I318" s="92">
        <v>0.05</v>
      </c>
      <c r="J318" s="93">
        <v>1000.0</v>
      </c>
      <c r="K318" s="73"/>
      <c r="L318" s="73"/>
      <c r="M318" s="73"/>
      <c r="N318" s="74"/>
    </row>
    <row r="319" ht="30.0" hidden="1" customHeight="1">
      <c r="A319" s="68">
        <v>320.0</v>
      </c>
      <c r="B319" s="68"/>
      <c r="C319" s="68"/>
      <c r="D319" s="69" t="str">
        <f>CONCATENATE(PROPER('DASMA INFO'!$G319),", ",PROPER('DASMA INFO'!$E319)," ",PROPER('DASMA INFO'!$F319),"."," (",UPPER('DASMA INFO'!$H319),")")</f>
        <v>Malapit, Milagros . ()</v>
      </c>
      <c r="E319" s="70" t="s">
        <v>1381</v>
      </c>
      <c r="F319" s="70"/>
      <c r="G319" s="70" t="s">
        <v>1382</v>
      </c>
      <c r="H319" s="70"/>
      <c r="I319" s="92">
        <v>0.05</v>
      </c>
      <c r="J319" s="93">
        <v>1000.0</v>
      </c>
      <c r="K319" s="73"/>
      <c r="L319" s="73"/>
      <c r="M319" s="73"/>
      <c r="N319" s="74"/>
    </row>
    <row r="320" ht="30.0" hidden="1" customHeight="1">
      <c r="A320" s="68">
        <v>321.0</v>
      </c>
      <c r="B320" s="68"/>
      <c r="C320" s="68"/>
      <c r="D320" s="69" t="str">
        <f>CONCATENATE(PROPER('DASMA INFO'!$G320),", ",PROPER('DASMA INFO'!$E320)," ",PROPER('DASMA INFO'!$F320),"."," (",UPPER('DASMA INFO'!$H320),")")</f>
        <v>Ames, Ellie . ()</v>
      </c>
      <c r="E320" s="70" t="s">
        <v>1383</v>
      </c>
      <c r="F320" s="70"/>
      <c r="G320" s="70" t="s">
        <v>1384</v>
      </c>
      <c r="H320" s="70"/>
      <c r="I320" s="92">
        <v>0.05</v>
      </c>
      <c r="J320" s="93">
        <v>1000.0</v>
      </c>
      <c r="K320" s="73"/>
      <c r="L320" s="73"/>
      <c r="M320" s="73"/>
      <c r="N320" s="74"/>
    </row>
    <row r="321" ht="30.0" hidden="1" customHeight="1">
      <c r="A321" s="68">
        <v>322.0</v>
      </c>
      <c r="B321" s="68"/>
      <c r="C321" s="68"/>
      <c r="D321" s="69" t="str">
        <f>CONCATENATE(PROPER('DASMA INFO'!$G321),", ",PROPER('DASMA INFO'!$E321)," ",PROPER('DASMA INFO'!$F321),"."," (",UPPER('DASMA INFO'!$H321),")")</f>
        <v>Gabatin, Mildred . ()</v>
      </c>
      <c r="E321" s="70" t="s">
        <v>1385</v>
      </c>
      <c r="F321" s="70"/>
      <c r="G321" s="70" t="s">
        <v>1386</v>
      </c>
      <c r="H321" s="70"/>
      <c r="I321" s="92">
        <v>0.05</v>
      </c>
      <c r="J321" s="93">
        <v>1000.0</v>
      </c>
      <c r="K321" s="73"/>
      <c r="L321" s="73"/>
      <c r="M321" s="73"/>
      <c r="N321" s="74"/>
    </row>
    <row r="322" ht="30.0" hidden="1" customHeight="1">
      <c r="A322" s="68">
        <v>323.0</v>
      </c>
      <c r="B322" s="68"/>
      <c r="C322" s="68"/>
      <c r="D322" s="69" t="str">
        <f>CONCATENATE(PROPER('DASMA INFO'!$G322),", ",PROPER('DASMA INFO'!$E322)," ",PROPER('DASMA INFO'!$F322),"."," (",UPPER('DASMA INFO'!$H322),")")</f>
        <v>Chito, Christopher . ()</v>
      </c>
      <c r="E322" s="70" t="s">
        <v>1101</v>
      </c>
      <c r="F322" s="70"/>
      <c r="G322" s="70" t="s">
        <v>1387</v>
      </c>
      <c r="H322" s="70"/>
      <c r="I322" s="92">
        <v>0.05</v>
      </c>
      <c r="J322" s="93">
        <v>1000.0</v>
      </c>
      <c r="K322" s="73"/>
      <c r="L322" s="73"/>
      <c r="M322" s="73"/>
      <c r="N322" s="74"/>
    </row>
    <row r="323" ht="30.0" hidden="1" customHeight="1">
      <c r="A323" s="68">
        <v>324.0</v>
      </c>
      <c r="B323" s="68"/>
      <c r="C323" s="68"/>
      <c r="D323" s="69" t="str">
        <f>CONCATENATE(PROPER('DASMA INFO'!$G323),", ",PROPER('DASMA INFO'!$E323)," ",PROPER('DASMA INFO'!$F323),"."," (",UPPER('DASMA INFO'!$H323),")")</f>
        <v>Reyes, Joan Grace . ()</v>
      </c>
      <c r="E323" s="70" t="s">
        <v>1388</v>
      </c>
      <c r="F323" s="70"/>
      <c r="G323" s="70" t="s">
        <v>122</v>
      </c>
      <c r="H323" s="70"/>
      <c r="I323" s="92">
        <v>0.05</v>
      </c>
      <c r="J323" s="93">
        <v>1000.0</v>
      </c>
      <c r="K323" s="73"/>
      <c r="L323" s="73"/>
      <c r="M323" s="73"/>
      <c r="N323" s="74"/>
    </row>
    <row r="324" ht="30.0" hidden="1" customHeight="1">
      <c r="A324" s="68">
        <v>325.0</v>
      </c>
      <c r="B324" s="68"/>
      <c r="C324" s="68"/>
      <c r="D324" s="69" t="str">
        <f>CONCATENATE(PROPER('DASMA INFO'!$G324),", ",PROPER('DASMA INFO'!$E324)," ",PROPER('DASMA INFO'!$F324),"."," (",UPPER('DASMA INFO'!$H324),")")</f>
        <v>Dialino, Ranoy . ()</v>
      </c>
      <c r="E324" s="70" t="s">
        <v>1389</v>
      </c>
      <c r="F324" s="70"/>
      <c r="G324" s="70" t="s">
        <v>1390</v>
      </c>
      <c r="H324" s="70"/>
      <c r="I324" s="92">
        <v>0.05</v>
      </c>
      <c r="J324" s="93">
        <v>1000.0</v>
      </c>
      <c r="K324" s="73"/>
      <c r="L324" s="73"/>
      <c r="M324" s="73"/>
      <c r="N324" s="74"/>
    </row>
    <row r="325" ht="30.0" hidden="1" customHeight="1">
      <c r="A325" s="68">
        <v>326.0</v>
      </c>
      <c r="B325" s="68"/>
      <c r="C325" s="68"/>
      <c r="D325" s="69" t="str">
        <f>CONCATENATE(PROPER('DASMA INFO'!$G325),", ",PROPER('DASMA INFO'!$E325)," ",PROPER('DASMA INFO'!$F325),"."," (",UPPER('DASMA INFO'!$H325),")")</f>
        <v>Kim, Yongmo . ()</v>
      </c>
      <c r="E325" s="70" t="s">
        <v>1391</v>
      </c>
      <c r="F325" s="70"/>
      <c r="G325" s="70" t="s">
        <v>1392</v>
      </c>
      <c r="H325" s="70"/>
      <c r="I325" s="92">
        <v>0.05</v>
      </c>
      <c r="J325" s="93">
        <v>1000.0</v>
      </c>
      <c r="K325" s="73"/>
      <c r="L325" s="73"/>
      <c r="M325" s="73"/>
      <c r="N325" s="74"/>
    </row>
    <row r="326" ht="30.0" hidden="1" customHeight="1">
      <c r="A326" s="68">
        <v>327.0</v>
      </c>
      <c r="B326" s="68"/>
      <c r="C326" s="68"/>
      <c r="D326" s="69" t="str">
        <f>CONCATENATE(PROPER('DASMA INFO'!$G326),", ",PROPER('DASMA INFO'!$E326)," ",PROPER('DASMA INFO'!$F326),"."," (",UPPER('DASMA INFO'!$H326),")")</f>
        <v>, Renz . ()</v>
      </c>
      <c r="E326" s="70" t="s">
        <v>1393</v>
      </c>
      <c r="F326" s="70"/>
      <c r="G326" s="70"/>
      <c r="H326" s="70"/>
      <c r="I326" s="92">
        <v>0.05</v>
      </c>
      <c r="J326" s="93">
        <v>1000.0</v>
      </c>
      <c r="K326" s="73"/>
      <c r="L326" s="73"/>
      <c r="M326" s="73"/>
      <c r="N326" s="74"/>
    </row>
    <row r="327" ht="30.0" hidden="1" customHeight="1">
      <c r="A327" s="68">
        <v>328.0</v>
      </c>
      <c r="B327" s="68"/>
      <c r="C327" s="68"/>
      <c r="D327" s="69" t="str">
        <f>CONCATENATE(PROPER('DASMA INFO'!$G327),", ",PROPER('DASMA INFO'!$E327)," ",PROPER('DASMA INFO'!$F327),"."," (",UPPER('DASMA INFO'!$H327),")")</f>
        <v>Sulima, Algin . ()</v>
      </c>
      <c r="E327" s="70" t="s">
        <v>1394</v>
      </c>
      <c r="F327" s="70"/>
      <c r="G327" s="70" t="s">
        <v>1395</v>
      </c>
      <c r="H327" s="70"/>
      <c r="I327" s="92">
        <v>0.05</v>
      </c>
      <c r="J327" s="93">
        <v>1000.0</v>
      </c>
      <c r="K327" s="73"/>
      <c r="L327" s="73"/>
      <c r="M327" s="73"/>
      <c r="N327" s="74"/>
    </row>
    <row r="328" ht="30.0" hidden="1" customHeight="1">
      <c r="A328" s="68">
        <v>329.0</v>
      </c>
      <c r="B328" s="68"/>
      <c r="C328" s="68"/>
      <c r="D328" s="69" t="str">
        <f>CONCATENATE(PROPER('DASMA INFO'!$G328),", ",PROPER('DASMA INFO'!$E328)," ",PROPER('DASMA INFO'!$F328),"."," (",UPPER('DASMA INFO'!$H328),")")</f>
        <v>Questin, Arthur . ()</v>
      </c>
      <c r="E328" s="70" t="s">
        <v>484</v>
      </c>
      <c r="F328" s="70"/>
      <c r="G328" s="70" t="s">
        <v>1396</v>
      </c>
      <c r="H328" s="70"/>
      <c r="I328" s="92">
        <v>0.05</v>
      </c>
      <c r="J328" s="93">
        <v>1000.0</v>
      </c>
      <c r="K328" s="73"/>
      <c r="L328" s="73"/>
      <c r="M328" s="73"/>
      <c r="N328" s="74"/>
    </row>
    <row r="329" ht="30.0" hidden="1" customHeight="1">
      <c r="A329" s="68">
        <v>330.0</v>
      </c>
      <c r="B329" s="68"/>
      <c r="C329" s="68"/>
      <c r="D329" s="69" t="str">
        <f>CONCATENATE(PROPER('DASMA INFO'!$G329),", ",PROPER('DASMA INFO'!$E329)," ",PROPER('DASMA INFO'!$F329),"."," (",UPPER('DASMA INFO'!$H329),")")</f>
        <v>Masa, Ramon D. (JR)</v>
      </c>
      <c r="E329" s="70" t="s">
        <v>1397</v>
      </c>
      <c r="F329" s="70" t="s">
        <v>1078</v>
      </c>
      <c r="G329" s="70" t="s">
        <v>1398</v>
      </c>
      <c r="H329" s="70" t="s">
        <v>629</v>
      </c>
      <c r="I329" s="92">
        <v>0.05</v>
      </c>
      <c r="J329" s="93">
        <v>1000.0</v>
      </c>
      <c r="K329" s="73" t="s">
        <v>1053</v>
      </c>
      <c r="L329" s="73"/>
      <c r="M329" s="73"/>
      <c r="N329" s="74"/>
    </row>
    <row r="330" ht="30.0" hidden="1" customHeight="1">
      <c r="A330" s="68">
        <v>331.0</v>
      </c>
      <c r="B330" s="68"/>
      <c r="C330" s="68"/>
      <c r="D330" s="69" t="str">
        <f>CONCATENATE(PROPER('DASMA INFO'!$G330),", ",PROPER('DASMA INFO'!$E330)," ",PROPER('DASMA INFO'!$F330),"."," (",UPPER('DASMA INFO'!$H330),")")</f>
        <v>Sindo, Eden . ()</v>
      </c>
      <c r="E330" s="70" t="s">
        <v>866</v>
      </c>
      <c r="F330" s="70"/>
      <c r="G330" s="70" t="s">
        <v>1399</v>
      </c>
      <c r="H330" s="70"/>
      <c r="I330" s="92">
        <v>0.05</v>
      </c>
      <c r="J330" s="93">
        <v>1000.0</v>
      </c>
      <c r="K330" s="73"/>
      <c r="L330" s="73"/>
      <c r="M330" s="73"/>
      <c r="N330" s="74"/>
    </row>
    <row r="331" ht="30.0" hidden="1" customHeight="1">
      <c r="A331" s="68">
        <v>332.0</v>
      </c>
      <c r="B331" s="68"/>
      <c r="C331" s="68"/>
      <c r="D331" s="69" t="str">
        <f>CONCATENATE(PROPER('DASMA INFO'!$G331),", ",PROPER('DASMA INFO'!$E331)," ",PROPER('DASMA INFO'!$F331),"."," (",UPPER('DASMA INFO'!$H331),")")</f>
        <v>Lim, Christian . ()</v>
      </c>
      <c r="E331" s="70" t="s">
        <v>426</v>
      </c>
      <c r="F331" s="70"/>
      <c r="G331" s="70" t="s">
        <v>611</v>
      </c>
      <c r="H331" s="70"/>
      <c r="I331" s="92">
        <v>0.05</v>
      </c>
      <c r="J331" s="93">
        <v>1000.0</v>
      </c>
      <c r="K331" s="73"/>
      <c r="L331" s="73"/>
      <c r="M331" s="73"/>
      <c r="N331" s="74"/>
    </row>
    <row r="332" ht="30.0" hidden="1" customHeight="1">
      <c r="A332" s="68">
        <v>333.0</v>
      </c>
      <c r="B332" s="68"/>
      <c r="C332" s="68"/>
      <c r="D332" s="69" t="str">
        <f>CONCATENATE(PROPER('DASMA INFO'!$G332),", ",PROPER('DASMA INFO'!$E332)," ",PROPER('DASMA INFO'!$F332),"."," (",UPPER('DASMA INFO'!$H332),")")</f>
        <v>Tanfelix, Gary . ()</v>
      </c>
      <c r="E332" s="70" t="s">
        <v>91</v>
      </c>
      <c r="F332" s="70"/>
      <c r="G332" s="70" t="s">
        <v>1400</v>
      </c>
      <c r="H332" s="70"/>
      <c r="I332" s="92">
        <v>0.05</v>
      </c>
      <c r="J332" s="93">
        <v>1000.0</v>
      </c>
      <c r="K332" s="73"/>
      <c r="L332" s="73"/>
      <c r="M332" s="73"/>
      <c r="N332" s="74"/>
    </row>
    <row r="333" ht="30.0" hidden="1" customHeight="1">
      <c r="A333" s="68">
        <v>334.0</v>
      </c>
      <c r="B333" s="68"/>
      <c r="C333" s="68"/>
      <c r="D333" s="69" t="str">
        <f>CONCATENATE(PROPER('DASMA INFO'!$G333),", ",PROPER('DASMA INFO'!$E333)," ",PROPER('DASMA INFO'!$F333),"."," (",UPPER('DASMA INFO'!$H333),")")</f>
        <v>Rey, Eslava . ()</v>
      </c>
      <c r="E333" s="70" t="s">
        <v>1401</v>
      </c>
      <c r="F333" s="70"/>
      <c r="G333" s="70" t="s">
        <v>1047</v>
      </c>
      <c r="H333" s="70"/>
      <c r="I333" s="92">
        <v>0.05</v>
      </c>
      <c r="J333" s="93">
        <v>1000.0</v>
      </c>
      <c r="K333" s="73"/>
      <c r="L333" s="73"/>
      <c r="M333" s="73"/>
      <c r="N333" s="74"/>
    </row>
    <row r="334" ht="30.0" hidden="1" customHeight="1">
      <c r="A334" s="68">
        <v>335.0</v>
      </c>
      <c r="B334" s="68"/>
      <c r="C334" s="68"/>
      <c r="D334" s="69" t="str">
        <f>CONCATENATE(PROPER('DASMA INFO'!$G334),", ",PROPER('DASMA INFO'!$E334)," ",PROPER('DASMA INFO'!$F334),"."," (",UPPER('DASMA INFO'!$H334),")")</f>
        <v>Encarnado, Arthuro . ()</v>
      </c>
      <c r="E334" s="70" t="s">
        <v>1402</v>
      </c>
      <c r="F334" s="70"/>
      <c r="G334" s="70" t="s">
        <v>183</v>
      </c>
      <c r="H334" s="70"/>
      <c r="I334" s="92">
        <v>0.05</v>
      </c>
      <c r="J334" s="93">
        <v>1000.0</v>
      </c>
      <c r="K334" s="73"/>
      <c r="L334" s="73"/>
      <c r="M334" s="73"/>
      <c r="N334" s="74"/>
    </row>
    <row r="335" ht="30.0" hidden="1" customHeight="1">
      <c r="A335" s="68">
        <v>336.0</v>
      </c>
      <c r="B335" s="68"/>
      <c r="C335" s="68"/>
      <c r="D335" s="69" t="str">
        <f>CONCATENATE(PROPER('DASMA INFO'!$G335),", ",PROPER('DASMA INFO'!$E335)," ",PROPER('DASMA INFO'!$F335),"."," (",UPPER('DASMA INFO'!$H335),")")</f>
        <v>Carlos, Jemimah . ()</v>
      </c>
      <c r="E335" s="70" t="s">
        <v>1403</v>
      </c>
      <c r="F335" s="70"/>
      <c r="G335" s="70" t="s">
        <v>1404</v>
      </c>
      <c r="H335" s="70"/>
      <c r="I335" s="92">
        <v>0.05</v>
      </c>
      <c r="J335" s="93">
        <v>1000.0</v>
      </c>
      <c r="K335" s="73"/>
      <c r="L335" s="73"/>
      <c r="M335" s="73"/>
      <c r="N335" s="74"/>
    </row>
    <row r="336" ht="30.0" hidden="1" customHeight="1">
      <c r="A336" s="68">
        <v>337.0</v>
      </c>
      <c r="B336" s="68"/>
      <c r="C336" s="68"/>
      <c r="D336" s="69" t="str">
        <f>CONCATENATE(PROPER('DASMA INFO'!$G336),", ",PROPER('DASMA INFO'!$E336)," ",PROPER('DASMA INFO'!$F336),"."," (",UPPER('DASMA INFO'!$H336),")")</f>
        <v>Dublin, Emelyn P. ()</v>
      </c>
      <c r="E336" s="70" t="s">
        <v>1405</v>
      </c>
      <c r="F336" s="70" t="s">
        <v>513</v>
      </c>
      <c r="G336" s="70" t="s">
        <v>1406</v>
      </c>
      <c r="H336" s="69"/>
      <c r="I336" s="92">
        <v>0.05</v>
      </c>
      <c r="J336" s="93">
        <v>1000.0</v>
      </c>
      <c r="K336" s="73"/>
      <c r="L336" s="73"/>
      <c r="M336" s="73"/>
      <c r="N336" s="74"/>
    </row>
    <row r="337" ht="30.0" hidden="1" customHeight="1">
      <c r="A337" s="68">
        <v>338.0</v>
      </c>
      <c r="B337" s="68"/>
      <c r="C337" s="68"/>
      <c r="D337" s="69" t="str">
        <f>CONCATENATE(PROPER('DASMA INFO'!$G337),", ",PROPER('DASMA INFO'!$E337)," ",PROPER('DASMA INFO'!$F337),"."," (",UPPER('DASMA INFO'!$H337),")")</f>
        <v>,  . ()</v>
      </c>
      <c r="E337" s="70"/>
      <c r="F337" s="70"/>
      <c r="G337" s="70"/>
      <c r="H337" s="69"/>
      <c r="I337" s="92">
        <v>0.05</v>
      </c>
      <c r="J337" s="93">
        <v>1000.0</v>
      </c>
      <c r="K337" s="73"/>
      <c r="L337" s="73"/>
      <c r="M337" s="73"/>
      <c r="N337" s="74"/>
    </row>
    <row r="338" ht="30.0" hidden="1" customHeight="1">
      <c r="A338" s="68">
        <v>339.0</v>
      </c>
      <c r="B338" s="68"/>
      <c r="C338" s="68"/>
      <c r="D338" s="69" t="str">
        <f>CONCATENATE(PROPER('DASMA INFO'!$G338),", ",PROPER('DASMA INFO'!$E338)," ",PROPER('DASMA INFO'!$F338),"."," (",UPPER('DASMA INFO'!$H338),")")</f>
        <v>Chen, Yan Lai . ()</v>
      </c>
      <c r="E338" s="70" t="s">
        <v>1407</v>
      </c>
      <c r="F338" s="70"/>
      <c r="G338" s="70" t="s">
        <v>1408</v>
      </c>
      <c r="H338" s="69"/>
      <c r="I338" s="92">
        <v>0.05</v>
      </c>
      <c r="J338" s="93">
        <v>1000.0</v>
      </c>
      <c r="K338" s="73"/>
      <c r="L338" s="73"/>
      <c r="M338" s="73"/>
      <c r="N338" s="74"/>
    </row>
    <row r="339" ht="30.0" hidden="1" customHeight="1">
      <c r="A339" s="68">
        <v>340.0</v>
      </c>
      <c r="B339" s="68"/>
      <c r="C339" s="68"/>
      <c r="D339" s="69" t="str">
        <f>CONCATENATE(PROPER('DASMA INFO'!$G339),", ",PROPER('DASMA INFO'!$E339)," ",PROPER('DASMA INFO'!$F339),"."," (",UPPER('DASMA INFO'!$H339),")")</f>
        <v>Go, Josie . ()</v>
      </c>
      <c r="E339" s="70" t="s">
        <v>1409</v>
      </c>
      <c r="F339" s="70"/>
      <c r="G339" s="70" t="s">
        <v>1410</v>
      </c>
      <c r="H339" s="69"/>
      <c r="I339" s="92">
        <v>0.05</v>
      </c>
      <c r="J339" s="93">
        <v>1000.0</v>
      </c>
      <c r="K339" s="73"/>
      <c r="L339" s="73"/>
      <c r="M339" s="73"/>
      <c r="N339" s="74"/>
    </row>
    <row r="340" ht="30.0" hidden="1" customHeight="1">
      <c r="A340" s="68">
        <v>341.0</v>
      </c>
      <c r="B340" s="68"/>
      <c r="C340" s="68"/>
      <c r="D340" s="69" t="str">
        <f>CONCATENATE(PROPER('DASMA INFO'!$G340),", ",PROPER('DASMA INFO'!$E340)," ",PROPER('DASMA INFO'!$F340),"."," (",UPPER('DASMA INFO'!$H340),")")</f>
        <v>Cabatian, Jurivic V. ()</v>
      </c>
      <c r="E340" s="70" t="s">
        <v>1411</v>
      </c>
      <c r="F340" s="70" t="s">
        <v>620</v>
      </c>
      <c r="G340" s="70" t="s">
        <v>1412</v>
      </c>
      <c r="H340" s="69"/>
      <c r="I340" s="92">
        <v>0.05</v>
      </c>
      <c r="J340" s="93">
        <v>1000.0</v>
      </c>
      <c r="K340" s="73" t="s">
        <v>963</v>
      </c>
      <c r="L340" s="73"/>
      <c r="M340" s="73"/>
      <c r="N340" s="74"/>
    </row>
    <row r="341" ht="30.0" hidden="1" customHeight="1">
      <c r="A341" s="68">
        <v>342.0</v>
      </c>
      <c r="B341" s="68"/>
      <c r="C341" s="68"/>
      <c r="D341" s="69" t="str">
        <f>CONCATENATE(PROPER('DASMA INFO'!$G341),", ",PROPER('DASMA INFO'!$E341)," ",PROPER('DASMA INFO'!$F341),"."," (",UPPER('DASMA INFO'!$H341),")")</f>
        <v>Nacionales, Myrna M. ()</v>
      </c>
      <c r="E341" s="70" t="s">
        <v>586</v>
      </c>
      <c r="F341" s="70" t="s">
        <v>587</v>
      </c>
      <c r="G341" s="70" t="s">
        <v>1413</v>
      </c>
      <c r="H341" s="69"/>
      <c r="I341" s="92">
        <v>0.05</v>
      </c>
      <c r="J341" s="93">
        <v>1000.0</v>
      </c>
      <c r="K341" s="73" t="s">
        <v>1414</v>
      </c>
      <c r="L341" s="73"/>
      <c r="M341" s="73"/>
      <c r="N341" s="74"/>
    </row>
    <row r="342" ht="30.0" hidden="1" customHeight="1">
      <c r="A342" s="68">
        <v>343.0</v>
      </c>
      <c r="B342" s="68"/>
      <c r="C342" s="68"/>
      <c r="D342" s="69" t="str">
        <f>CONCATENATE(PROPER('DASMA INFO'!$G342),", ",PROPER('DASMA INFO'!$E342)," ",PROPER('DASMA INFO'!$F342),"."," (",UPPER('DASMA INFO'!$H342),")")</f>
        <v>Peñalara, Amerlita . ()</v>
      </c>
      <c r="E342" s="70" t="s">
        <v>1415</v>
      </c>
      <c r="F342" s="70"/>
      <c r="G342" s="70" t="s">
        <v>1416</v>
      </c>
      <c r="H342" s="69"/>
      <c r="I342" s="92">
        <v>0.05</v>
      </c>
      <c r="J342" s="93">
        <v>1000.0</v>
      </c>
      <c r="K342" s="73"/>
      <c r="L342" s="73"/>
      <c r="M342" s="73"/>
      <c r="N342" s="74"/>
    </row>
    <row r="343" ht="30.0" hidden="1" customHeight="1">
      <c r="A343" s="68">
        <v>344.0</v>
      </c>
      <c r="B343" s="68"/>
      <c r="C343" s="68"/>
      <c r="D343" s="69" t="str">
        <f>CONCATENATE(PROPER('DASMA INFO'!$G343),", ",PROPER('DASMA INFO'!$E343)," ",PROPER('DASMA INFO'!$F343),"."," (",UPPER('DASMA INFO'!$H343),")")</f>
        <v>Malibiran, Elenita . ()</v>
      </c>
      <c r="E343" s="70" t="s">
        <v>148</v>
      </c>
      <c r="F343" s="70"/>
      <c r="G343" s="70" t="s">
        <v>1417</v>
      </c>
      <c r="H343" s="69"/>
      <c r="I343" s="92">
        <v>0.05</v>
      </c>
      <c r="J343" s="93">
        <v>1000.0</v>
      </c>
      <c r="K343" s="73"/>
      <c r="L343" s="73"/>
      <c r="M343" s="73"/>
      <c r="N343" s="74"/>
    </row>
    <row r="344" ht="30.0" hidden="1" customHeight="1">
      <c r="A344" s="68">
        <v>345.0</v>
      </c>
      <c r="B344" s="68"/>
      <c r="C344" s="68"/>
      <c r="D344" s="69" t="str">
        <f>CONCATENATE(PROPER('DASMA INFO'!$G344),", ",PROPER('DASMA INFO'!$E344)," ",PROPER('DASMA INFO'!$F344),"."," (",UPPER('DASMA INFO'!$H344),")")</f>
        <v>Nazaria, Donna . ()</v>
      </c>
      <c r="E344" s="70" t="s">
        <v>1418</v>
      </c>
      <c r="F344" s="70"/>
      <c r="G344" s="70" t="s">
        <v>1419</v>
      </c>
      <c r="H344" s="69"/>
      <c r="I344" s="92">
        <v>0.05</v>
      </c>
      <c r="J344" s="93">
        <v>1000.0</v>
      </c>
      <c r="K344" s="73"/>
      <c r="L344" s="73"/>
      <c r="M344" s="73"/>
      <c r="N344" s="74"/>
    </row>
    <row r="345" ht="30.0" hidden="1" customHeight="1">
      <c r="A345" s="68">
        <v>346.0</v>
      </c>
      <c r="B345" s="68"/>
      <c r="C345" s="68"/>
      <c r="D345" s="69" t="str">
        <f>CONCATENATE(PROPER('DASMA INFO'!$G345),", ",PROPER('DASMA INFO'!$E345)," ",PROPER('DASMA INFO'!$F345),"."," (",UPPER('DASMA INFO'!$H345),")")</f>
        <v>Rosetes, Willy . ()</v>
      </c>
      <c r="E345" s="70" t="s">
        <v>675</v>
      </c>
      <c r="F345" s="70"/>
      <c r="G345" s="70" t="s">
        <v>1420</v>
      </c>
      <c r="H345" s="69"/>
      <c r="I345" s="92">
        <v>0.05</v>
      </c>
      <c r="J345" s="93">
        <v>1000.0</v>
      </c>
      <c r="K345" s="73"/>
      <c r="L345" s="73"/>
      <c r="M345" s="73"/>
      <c r="N345" s="74"/>
    </row>
    <row r="346" ht="30.0" hidden="1" customHeight="1">
      <c r="A346" s="68">
        <v>347.0</v>
      </c>
      <c r="B346" s="68"/>
      <c r="C346" s="68"/>
      <c r="D346" s="69" t="str">
        <f>CONCATENATE(PROPER('DASMA INFO'!$G346),", ",PROPER('DASMA INFO'!$E346)," ",PROPER('DASMA INFO'!$F346),"."," (",UPPER('DASMA INFO'!$H346),")")</f>
        <v>De Lara, Darlene R. ()</v>
      </c>
      <c r="E346" s="70" t="s">
        <v>1234</v>
      </c>
      <c r="F346" s="70" t="s">
        <v>260</v>
      </c>
      <c r="G346" s="70" t="s">
        <v>163</v>
      </c>
      <c r="H346" s="70"/>
      <c r="I346" s="92">
        <v>0.05</v>
      </c>
      <c r="J346" s="93">
        <v>1000.0</v>
      </c>
      <c r="K346" s="73" t="s">
        <v>1421</v>
      </c>
      <c r="L346" s="73"/>
      <c r="M346" s="73"/>
      <c r="N346" s="74"/>
    </row>
    <row r="347" ht="30.0" hidden="1" customHeight="1">
      <c r="A347" s="68">
        <v>348.0</v>
      </c>
      <c r="B347" s="68"/>
      <c r="C347" s="68"/>
      <c r="D347" s="69" t="str">
        <f>CONCATENATE(PROPER('DASMA INFO'!$G347),", ",PROPER('DASMA INFO'!$E347)," ",PROPER('DASMA INFO'!$F347),"."," (",UPPER('DASMA INFO'!$H347),")")</f>
        <v>Servida, Mercy . ()</v>
      </c>
      <c r="E347" s="70" t="s">
        <v>1422</v>
      </c>
      <c r="F347" s="70"/>
      <c r="G347" s="70" t="s">
        <v>1423</v>
      </c>
      <c r="H347" s="70"/>
      <c r="I347" s="92">
        <v>0.05</v>
      </c>
      <c r="J347" s="93">
        <v>1000.0</v>
      </c>
      <c r="K347" s="73"/>
      <c r="L347" s="73"/>
      <c r="M347" s="73"/>
      <c r="N347" s="74"/>
    </row>
    <row r="348" ht="30.0" hidden="1" customHeight="1">
      <c r="A348" s="68">
        <v>349.0</v>
      </c>
      <c r="B348" s="68"/>
      <c r="C348" s="68"/>
      <c r="D348" s="69" t="str">
        <f>CONCATENATE(PROPER('DASMA INFO'!$G348),", ",PROPER('DASMA INFO'!$E348)," ",PROPER('DASMA INFO'!$F348),"."," (",UPPER('DASMA INFO'!$H348),")")</f>
        <v>Martirez, Allen . ()</v>
      </c>
      <c r="E348" s="70" t="s">
        <v>1424</v>
      </c>
      <c r="F348" s="70"/>
      <c r="G348" s="70" t="s">
        <v>1425</v>
      </c>
      <c r="H348" s="70"/>
      <c r="I348" s="92">
        <v>0.05</v>
      </c>
      <c r="J348" s="93">
        <v>1000.0</v>
      </c>
      <c r="K348" s="73"/>
      <c r="L348" s="73"/>
      <c r="M348" s="73"/>
      <c r="N348" s="74"/>
    </row>
    <row r="349" ht="30.0" hidden="1" customHeight="1">
      <c r="A349" s="68">
        <v>350.0</v>
      </c>
      <c r="B349" s="68"/>
      <c r="C349" s="68"/>
      <c r="D349" s="69" t="str">
        <f>CONCATENATE(PROPER('DASMA INFO'!$G349),", ",PROPER('DASMA INFO'!$E349)," ",PROPER('DASMA INFO'!$F349),"."," (",UPPER('DASMA INFO'!$H349),")")</f>
        <v>Canatranca, Agnes C. ()</v>
      </c>
      <c r="E349" s="70" t="s">
        <v>1426</v>
      </c>
      <c r="F349" s="70" t="s">
        <v>318</v>
      </c>
      <c r="G349" s="70" t="s">
        <v>1427</v>
      </c>
      <c r="H349" s="69"/>
      <c r="I349" s="92">
        <v>0.05</v>
      </c>
      <c r="J349" s="93">
        <v>1000.0</v>
      </c>
      <c r="K349" s="73"/>
      <c r="L349" s="73"/>
      <c r="M349" s="73"/>
      <c r="N349" s="74"/>
    </row>
    <row r="350" ht="30.0" hidden="1" customHeight="1">
      <c r="A350" s="68">
        <v>351.0</v>
      </c>
      <c r="B350" s="68"/>
      <c r="C350" s="68"/>
      <c r="D350" s="69" t="str">
        <f>CONCATENATE(PROPER('DASMA INFO'!$G350),", ",PROPER('DASMA INFO'!$E350)," ",PROPER('DASMA INFO'!$F350),"."," (",UPPER('DASMA INFO'!$H350),")")</f>
        <v>Mora, Teresa . ()</v>
      </c>
      <c r="E350" s="70" t="s">
        <v>1428</v>
      </c>
      <c r="F350" s="70"/>
      <c r="G350" s="70" t="s">
        <v>1429</v>
      </c>
      <c r="H350" s="69"/>
      <c r="I350" s="92">
        <v>0.05</v>
      </c>
      <c r="J350" s="93">
        <v>1000.0</v>
      </c>
      <c r="K350" s="73"/>
      <c r="L350" s="73"/>
      <c r="M350" s="73"/>
      <c r="N350" s="74"/>
    </row>
    <row r="351" ht="30.0" hidden="1" customHeight="1">
      <c r="A351" s="68">
        <v>352.0</v>
      </c>
      <c r="B351" s="68"/>
      <c r="C351" s="68"/>
      <c r="D351" s="69" t="str">
        <f>CONCATENATE(PROPER('DASMA INFO'!$G351),", ",PROPER('DASMA INFO'!$E351)," ",PROPER('DASMA INFO'!$F351),"."," (",UPPER('DASMA INFO'!$H351),")")</f>
        <v>Varallero, Rustico . ()</v>
      </c>
      <c r="E351" s="70" t="s">
        <v>1430</v>
      </c>
      <c r="F351" s="70"/>
      <c r="G351" s="70" t="s">
        <v>1431</v>
      </c>
      <c r="H351" s="69"/>
      <c r="I351" s="92">
        <v>0.05</v>
      </c>
      <c r="J351" s="93">
        <v>1000.0</v>
      </c>
      <c r="K351" s="73"/>
      <c r="L351" s="73"/>
      <c r="M351" s="73"/>
      <c r="N351" s="74"/>
    </row>
    <row r="352" ht="30.0" hidden="1" customHeight="1">
      <c r="A352" s="68">
        <v>353.0</v>
      </c>
      <c r="B352" s="68"/>
      <c r="C352" s="68"/>
      <c r="D352" s="69" t="str">
        <f>CONCATENATE(PROPER('DASMA INFO'!$G352),", ",PROPER('DASMA INFO'!$E352)," ",PROPER('DASMA INFO'!$F352),"."," (",UPPER('DASMA INFO'!$H352),")")</f>
        <v>Lara, Herminiano De. ()</v>
      </c>
      <c r="E352" s="70" t="s">
        <v>1173</v>
      </c>
      <c r="F352" s="70" t="s">
        <v>1432</v>
      </c>
      <c r="G352" s="70" t="s">
        <v>764</v>
      </c>
      <c r="H352" s="69"/>
      <c r="I352" s="92">
        <v>0.05</v>
      </c>
      <c r="J352" s="93">
        <v>1000.0</v>
      </c>
      <c r="K352" s="73"/>
      <c r="L352" s="73"/>
      <c r="M352" s="73"/>
      <c r="N352" s="74"/>
    </row>
    <row r="353" ht="30.0" hidden="1" customHeight="1">
      <c r="A353" s="68">
        <v>354.0</v>
      </c>
      <c r="B353" s="68"/>
      <c r="C353" s="68"/>
      <c r="D353" s="69" t="str">
        <f>CONCATENATE(PROPER('DASMA INFO'!$G353),", ",PROPER('DASMA INFO'!$E353)," ",PROPER('DASMA INFO'!$F353),"."," (",UPPER('DASMA INFO'!$H353),")")</f>
        <v>Aldecoa, Melanie . ()</v>
      </c>
      <c r="E353" s="70" t="s">
        <v>1147</v>
      </c>
      <c r="F353" s="70"/>
      <c r="G353" s="70" t="s">
        <v>1433</v>
      </c>
      <c r="H353" s="69"/>
      <c r="I353" s="92">
        <v>0.05</v>
      </c>
      <c r="J353" s="93">
        <v>1000.0</v>
      </c>
      <c r="K353" s="73"/>
      <c r="L353" s="73"/>
      <c r="M353" s="73"/>
      <c r="N353" s="74"/>
    </row>
    <row r="354" ht="30.0" hidden="1" customHeight="1">
      <c r="A354" s="68">
        <v>355.0</v>
      </c>
      <c r="B354" s="68"/>
      <c r="C354" s="68"/>
      <c r="D354" s="69" t="str">
        <f>CONCATENATE(PROPER('DASMA INFO'!$G354),", ",PROPER('DASMA INFO'!$E354)," ",PROPER('DASMA INFO'!$F354),"."," (",UPPER('DASMA INFO'!$H354),")")</f>
        <v>Aguillar, Elena . ()</v>
      </c>
      <c r="E354" s="70" t="s">
        <v>478</v>
      </c>
      <c r="F354" s="70"/>
      <c r="G354" s="70" t="s">
        <v>1434</v>
      </c>
      <c r="H354" s="69"/>
      <c r="I354" s="92">
        <v>0.05</v>
      </c>
      <c r="J354" s="93">
        <v>1000.0</v>
      </c>
      <c r="K354" s="73"/>
      <c r="L354" s="73"/>
      <c r="M354" s="73"/>
      <c r="N354" s="74"/>
    </row>
    <row r="355" ht="30.0" hidden="1" customHeight="1">
      <c r="A355" s="68">
        <v>356.0</v>
      </c>
      <c r="B355" s="68"/>
      <c r="C355" s="68"/>
      <c r="D355" s="69" t="str">
        <f>CONCATENATE(PROPER('DASMA INFO'!$G355),", ",PROPER('DASMA INFO'!$E355)," ",PROPER('DASMA INFO'!$F355),"."," (",UPPER('DASMA INFO'!$H355),")")</f>
        <v>Rosal, Demi . ()</v>
      </c>
      <c r="E355" s="70" t="s">
        <v>1435</v>
      </c>
      <c r="F355" s="70"/>
      <c r="G355" s="70" t="s">
        <v>71</v>
      </c>
      <c r="H355" s="69"/>
      <c r="I355" s="92">
        <v>0.05</v>
      </c>
      <c r="J355" s="93">
        <v>1000.0</v>
      </c>
      <c r="K355" s="73"/>
      <c r="L355" s="73"/>
      <c r="M355" s="73"/>
      <c r="N355" s="74"/>
    </row>
    <row r="356" ht="30.0" hidden="1" customHeight="1">
      <c r="A356" s="68">
        <v>357.0</v>
      </c>
      <c r="B356" s="68"/>
      <c r="C356" s="68"/>
      <c r="D356" s="69" t="str">
        <f>CONCATENATE(PROPER('DASMA INFO'!$G356),", ",PROPER('DASMA INFO'!$E356)," ",PROPER('DASMA INFO'!$F356),"."," (",UPPER('DASMA INFO'!$H356),")")</f>
        <v>Tayag, Marites . ()</v>
      </c>
      <c r="E356" s="70" t="s">
        <v>892</v>
      </c>
      <c r="F356" s="70"/>
      <c r="G356" s="70" t="s">
        <v>1436</v>
      </c>
      <c r="H356" s="69"/>
      <c r="I356" s="92">
        <v>0.05</v>
      </c>
      <c r="J356" s="93">
        <v>1000.0</v>
      </c>
      <c r="K356" s="73"/>
      <c r="L356" s="73"/>
      <c r="M356" s="73"/>
      <c r="N356" s="74"/>
    </row>
    <row r="357" ht="30.0" hidden="1" customHeight="1">
      <c r="A357" s="68">
        <v>358.0</v>
      </c>
      <c r="B357" s="68"/>
      <c r="C357" s="68"/>
      <c r="D357" s="69" t="str">
        <f>CONCATENATE(PROPER('DASMA INFO'!$G357),", ",PROPER('DASMA INFO'!$E357)," ",PROPER('DASMA INFO'!$F357),"."," (",UPPER('DASMA INFO'!$H357),")")</f>
        <v>Santos, Lilibeth . ()</v>
      </c>
      <c r="E357" s="70" t="s">
        <v>1246</v>
      </c>
      <c r="F357" s="70"/>
      <c r="G357" s="70" t="s">
        <v>204</v>
      </c>
      <c r="H357" s="69"/>
      <c r="I357" s="92">
        <v>0.05</v>
      </c>
      <c r="J357" s="93">
        <v>1000.0</v>
      </c>
      <c r="K357" s="73"/>
      <c r="L357" s="73"/>
      <c r="M357" s="73"/>
      <c r="N357" s="74"/>
    </row>
    <row r="358" ht="30.0" hidden="1" customHeight="1">
      <c r="A358" s="68">
        <v>359.0</v>
      </c>
      <c r="B358" s="68"/>
      <c r="C358" s="68"/>
      <c r="D358" s="69" t="str">
        <f>CONCATENATE(PROPER('DASMA INFO'!$G358),", ",PROPER('DASMA INFO'!$E358)," ",PROPER('DASMA INFO'!$F358),"."," (",UPPER('DASMA INFO'!$H358),")")</f>
        <v>Ragas, Romela . ()</v>
      </c>
      <c r="E358" s="70" t="s">
        <v>1437</v>
      </c>
      <c r="F358" s="70"/>
      <c r="G358" s="70" t="s">
        <v>1438</v>
      </c>
      <c r="H358" s="69"/>
      <c r="I358" s="92">
        <v>0.05</v>
      </c>
      <c r="J358" s="93">
        <v>1000.0</v>
      </c>
      <c r="K358" s="73"/>
      <c r="L358" s="73"/>
      <c r="M358" s="73"/>
      <c r="N358" s="74"/>
    </row>
    <row r="359" ht="30.0" hidden="1" customHeight="1">
      <c r="A359" s="68">
        <v>360.0</v>
      </c>
      <c r="B359" s="68"/>
      <c r="C359" s="68"/>
      <c r="D359" s="69" t="str">
        <f>CONCATENATE(PROPER('DASMA INFO'!$G359),", ",PROPER('DASMA INFO'!$E359)," ",PROPER('DASMA INFO'!$F359),"."," (",UPPER('DASMA INFO'!$H359),")")</f>
        <v>Lim, Ezra . ()</v>
      </c>
      <c r="E359" s="70" t="s">
        <v>1439</v>
      </c>
      <c r="F359" s="70"/>
      <c r="G359" s="70" t="s">
        <v>611</v>
      </c>
      <c r="H359" s="69"/>
      <c r="I359" s="92">
        <v>0.05</v>
      </c>
      <c r="J359" s="93">
        <v>1000.0</v>
      </c>
      <c r="K359" s="73"/>
      <c r="L359" s="73"/>
      <c r="M359" s="73"/>
      <c r="N359" s="74"/>
    </row>
    <row r="360" ht="30.0" hidden="1" customHeight="1">
      <c r="A360" s="68">
        <v>361.0</v>
      </c>
      <c r="B360" s="68"/>
      <c r="C360" s="68"/>
      <c r="D360" s="69" t="str">
        <f>CONCATENATE(PROPER('DASMA INFO'!$G360),", ",PROPER('DASMA INFO'!$E360)," ",PROPER('DASMA INFO'!$F360),"."," (",UPPER('DASMA INFO'!$H360),")")</f>
        <v>Valero, Marian . ()</v>
      </c>
      <c r="E360" s="70" t="s">
        <v>811</v>
      </c>
      <c r="F360" s="70"/>
      <c r="G360" s="70" t="s">
        <v>1440</v>
      </c>
      <c r="H360" s="69"/>
      <c r="I360" s="92">
        <v>0.05</v>
      </c>
      <c r="J360" s="93">
        <v>1000.0</v>
      </c>
      <c r="K360" s="73"/>
      <c r="L360" s="73"/>
      <c r="M360" s="73"/>
      <c r="N360" s="74"/>
    </row>
    <row r="361" ht="30.0" hidden="1" customHeight="1">
      <c r="A361" s="68">
        <v>362.0</v>
      </c>
      <c r="B361" s="68"/>
      <c r="C361" s="68"/>
      <c r="D361" s="69" t="str">
        <f>CONCATENATE(PROPER('DASMA INFO'!$G361),", ",PROPER('DASMA INFO'!$E361)," ",PROPER('DASMA INFO'!$F361),"."," (",UPPER('DASMA INFO'!$H361),")")</f>
        <v>Manahan, Lorie . ()</v>
      </c>
      <c r="E361" s="70" t="s">
        <v>1441</v>
      </c>
      <c r="F361" s="70"/>
      <c r="G361" s="70" t="s">
        <v>1442</v>
      </c>
      <c r="H361" s="69"/>
      <c r="I361" s="92">
        <v>0.05</v>
      </c>
      <c r="J361" s="93">
        <v>1000.0</v>
      </c>
      <c r="K361" s="73"/>
      <c r="L361" s="73"/>
      <c r="M361" s="73"/>
      <c r="N361" s="74"/>
    </row>
    <row r="362" ht="30.0" hidden="1" customHeight="1">
      <c r="A362" s="68">
        <v>363.0</v>
      </c>
      <c r="B362" s="68"/>
      <c r="C362" s="68"/>
      <c r="D362" s="69" t="str">
        <f>CONCATENATE(PROPER('DASMA INFO'!$G362),", ",PROPER('DASMA INFO'!$E362)," ",PROPER('DASMA INFO'!$F362),"."," (",UPPER('DASMA INFO'!$H362),")")</f>
        <v>Avrelo, Darjun . ()</v>
      </c>
      <c r="E362" s="70" t="s">
        <v>1443</v>
      </c>
      <c r="F362" s="70"/>
      <c r="G362" s="70" t="s">
        <v>1444</v>
      </c>
      <c r="H362" s="69"/>
      <c r="I362" s="92">
        <v>0.05</v>
      </c>
      <c r="J362" s="93">
        <v>1000.0</v>
      </c>
      <c r="K362" s="73"/>
      <c r="L362" s="73"/>
      <c r="M362" s="73"/>
      <c r="N362" s="74"/>
    </row>
    <row r="363" ht="30.0" hidden="1" customHeight="1">
      <c r="A363" s="68">
        <v>364.0</v>
      </c>
      <c r="B363" s="68"/>
      <c r="C363" s="68"/>
      <c r="D363" s="69" t="str">
        <f>CONCATENATE(PROPER('DASMA INFO'!$G363),", ",PROPER('DASMA INFO'!$E363)," ",PROPER('DASMA INFO'!$F363),"."," (",UPPER('DASMA INFO'!$H363),")")</f>
        <v>Mariano, Ferry . ()</v>
      </c>
      <c r="E363" s="70" t="s">
        <v>1445</v>
      </c>
      <c r="F363" s="70"/>
      <c r="G363" s="70" t="s">
        <v>1446</v>
      </c>
      <c r="H363" s="69"/>
      <c r="I363" s="92">
        <v>0.05</v>
      </c>
      <c r="J363" s="93">
        <v>1000.0</v>
      </c>
      <c r="K363" s="73"/>
      <c r="L363" s="73"/>
      <c r="M363" s="73"/>
      <c r="N363" s="74"/>
    </row>
    <row r="364" ht="30.0" hidden="1" customHeight="1">
      <c r="A364" s="68">
        <v>365.0</v>
      </c>
      <c r="B364" s="68"/>
      <c r="C364" s="68"/>
      <c r="D364" s="69" t="str">
        <f>CONCATENATE(PROPER('DASMA INFO'!$G364),", ",PROPER('DASMA INFO'!$E364)," ",PROPER('DASMA INFO'!$F364),"."," (",UPPER('DASMA INFO'!$H364),")")</f>
        <v>Javier, Beth . ()</v>
      </c>
      <c r="E364" s="70" t="s">
        <v>469</v>
      </c>
      <c r="F364" s="70"/>
      <c r="G364" s="70" t="s">
        <v>1447</v>
      </c>
      <c r="H364" s="69"/>
      <c r="I364" s="92">
        <v>0.05</v>
      </c>
      <c r="J364" s="93">
        <v>1000.0</v>
      </c>
      <c r="K364" s="73"/>
      <c r="L364" s="73"/>
      <c r="M364" s="73"/>
      <c r="N364" s="74"/>
    </row>
    <row r="365" ht="30.0" hidden="1" customHeight="1">
      <c r="A365" s="68">
        <v>366.0</v>
      </c>
      <c r="B365" s="68"/>
      <c r="C365" s="68"/>
      <c r="D365" s="69" t="str">
        <f>CONCATENATE(PROPER('DASMA INFO'!$G365),", ",PROPER('DASMA INFO'!$E365)," ",PROPER('DASMA INFO'!$F365),"."," (",UPPER('DASMA INFO'!$H365),")")</f>
        <v>Magnayi, Vena . ()</v>
      </c>
      <c r="E365" s="70" t="s">
        <v>1448</v>
      </c>
      <c r="F365" s="70"/>
      <c r="G365" s="70" t="s">
        <v>1449</v>
      </c>
      <c r="H365" s="69"/>
      <c r="I365" s="92">
        <v>0.05</v>
      </c>
      <c r="J365" s="93">
        <v>1000.0</v>
      </c>
      <c r="K365" s="73"/>
      <c r="L365" s="73"/>
      <c r="M365" s="73"/>
      <c r="N365" s="74"/>
    </row>
    <row r="366" ht="30.0" hidden="1" customHeight="1">
      <c r="A366" s="68">
        <v>367.0</v>
      </c>
      <c r="B366" s="68"/>
      <c r="C366" s="68"/>
      <c r="D366" s="69" t="str">
        <f>CONCATENATE(PROPER('DASMA INFO'!$G366),", ",PROPER('DASMA INFO'!$E366)," ",PROPER('DASMA INFO'!$F366),"."," (",UPPER('DASMA INFO'!$H366),")")</f>
        <v>, Jarin . ()</v>
      </c>
      <c r="E366" s="70" t="s">
        <v>1450</v>
      </c>
      <c r="F366" s="70"/>
      <c r="G366" s="70"/>
      <c r="H366" s="69"/>
      <c r="I366" s="92">
        <v>0.05</v>
      </c>
      <c r="J366" s="93">
        <v>1000.0</v>
      </c>
      <c r="K366" s="73"/>
      <c r="L366" s="73"/>
      <c r="M366" s="73"/>
      <c r="N366" s="74"/>
    </row>
    <row r="367" ht="30.0" hidden="1" customHeight="1">
      <c r="A367" s="68">
        <v>368.0</v>
      </c>
      <c r="B367" s="68"/>
      <c r="C367" s="68"/>
      <c r="D367" s="69" t="str">
        <f>CONCATENATE(PROPER('DASMA INFO'!$G367),", ",PROPER('DASMA INFO'!$E367)," ",PROPER('DASMA INFO'!$F367),"."," (",UPPER('DASMA INFO'!$H367),")")</f>
        <v>Saba, Joseph . ()</v>
      </c>
      <c r="E367" s="70" t="s">
        <v>729</v>
      </c>
      <c r="F367" s="70"/>
      <c r="G367" s="70" t="s">
        <v>1451</v>
      </c>
      <c r="H367" s="69"/>
      <c r="I367" s="92">
        <v>0.05</v>
      </c>
      <c r="J367" s="93">
        <v>1000.0</v>
      </c>
      <c r="K367" s="73"/>
      <c r="L367" s="73"/>
      <c r="M367" s="73"/>
      <c r="N367" s="74"/>
    </row>
    <row r="368" ht="30.0" hidden="1" customHeight="1">
      <c r="A368" s="68">
        <v>369.0</v>
      </c>
      <c r="B368" s="68"/>
      <c r="C368" s="68"/>
      <c r="D368" s="69" t="str">
        <f>CONCATENATE(PROPER('DASMA INFO'!$G368),", ",PROPER('DASMA INFO'!$E368)," ",PROPER('DASMA INFO'!$F368),"."," (",UPPER('DASMA INFO'!$H368),")")</f>
        <v>Leonardo, Emmanuel G. ()</v>
      </c>
      <c r="E368" s="70" t="s">
        <v>107</v>
      </c>
      <c r="F368" s="70" t="s">
        <v>1032</v>
      </c>
      <c r="G368" s="70" t="s">
        <v>790</v>
      </c>
      <c r="H368" s="69"/>
      <c r="I368" s="92">
        <v>0.05</v>
      </c>
      <c r="J368" s="93">
        <v>1000.0</v>
      </c>
      <c r="K368" s="73" t="s">
        <v>1003</v>
      </c>
      <c r="L368" s="73"/>
      <c r="M368" s="73"/>
      <c r="N368" s="74"/>
    </row>
    <row r="369" ht="30.0" hidden="1" customHeight="1">
      <c r="A369" s="68">
        <v>370.0</v>
      </c>
      <c r="B369" s="68"/>
      <c r="C369" s="68"/>
      <c r="D369" s="69" t="str">
        <f>CONCATENATE(PROPER('DASMA INFO'!$G369),", ",PROPER('DASMA INFO'!$E369)," ",PROPER('DASMA INFO'!$F369),"."," (",UPPER('DASMA INFO'!$H369),")")</f>
        <v>Sedurifa, Raul . ()</v>
      </c>
      <c r="E369" s="70" t="s">
        <v>1452</v>
      </c>
      <c r="F369" s="70"/>
      <c r="G369" s="70" t="s">
        <v>1453</v>
      </c>
      <c r="H369" s="69"/>
      <c r="I369" s="92">
        <v>0.05</v>
      </c>
      <c r="J369" s="93">
        <v>1000.0</v>
      </c>
      <c r="K369" s="73"/>
      <c r="L369" s="73"/>
      <c r="M369" s="73"/>
      <c r="N369" s="74"/>
    </row>
    <row r="370" ht="30.0" hidden="1" customHeight="1">
      <c r="A370" s="68">
        <v>371.0</v>
      </c>
      <c r="B370" s="68"/>
      <c r="C370" s="68"/>
      <c r="D370" s="69" t="str">
        <f>CONCATENATE(PROPER('DASMA INFO'!$G370),", ",PROPER('DASMA INFO'!$E370)," ",PROPER('DASMA INFO'!$F370),"."," (",UPPER('DASMA INFO'!$H370),")")</f>
        <v>Solitario, Gina . ()</v>
      </c>
      <c r="E370" s="70" t="s">
        <v>1103</v>
      </c>
      <c r="F370" s="70"/>
      <c r="G370" s="70" t="s">
        <v>1454</v>
      </c>
      <c r="H370" s="69"/>
      <c r="I370" s="92">
        <v>0.05</v>
      </c>
      <c r="J370" s="93">
        <v>1000.0</v>
      </c>
      <c r="K370" s="73"/>
      <c r="L370" s="73"/>
      <c r="M370" s="73"/>
      <c r="N370" s="74"/>
    </row>
    <row r="371" ht="30.0" hidden="1" customHeight="1">
      <c r="A371" s="68">
        <v>372.0</v>
      </c>
      <c r="B371" s="68"/>
      <c r="C371" s="68"/>
      <c r="D371" s="69" t="str">
        <f>CONCATENATE(PROPER('DASMA INFO'!$G371),", ",PROPER('DASMA INFO'!$E371)," ",PROPER('DASMA INFO'!$F371),"."," (",UPPER('DASMA INFO'!$H371),")")</f>
        <v>Quiocho, Randy . ()</v>
      </c>
      <c r="E371" s="70" t="s">
        <v>145</v>
      </c>
      <c r="F371" s="70"/>
      <c r="G371" s="70" t="s">
        <v>1455</v>
      </c>
      <c r="H371" s="69"/>
      <c r="I371" s="92">
        <v>0.05</v>
      </c>
      <c r="J371" s="93">
        <v>1000.0</v>
      </c>
      <c r="K371" s="73"/>
      <c r="L371" s="73"/>
      <c r="M371" s="73"/>
      <c r="N371" s="74"/>
    </row>
    <row r="372" ht="30.0" hidden="1" customHeight="1">
      <c r="A372" s="68">
        <v>373.0</v>
      </c>
      <c r="B372" s="68"/>
      <c r="C372" s="68"/>
      <c r="D372" s="69" t="str">
        <f>CONCATENATE(PROPER('DASMA INFO'!$G372),", ",PROPER('DASMA INFO'!$E372)," ",PROPER('DASMA INFO'!$F372),"."," (",UPPER('DASMA INFO'!$H372),")")</f>
        <v>Batulan, Ma. Lolita . ()</v>
      </c>
      <c r="E372" s="70" t="s">
        <v>1456</v>
      </c>
      <c r="F372" s="70"/>
      <c r="G372" s="70" t="s">
        <v>1457</v>
      </c>
      <c r="H372" s="69"/>
      <c r="I372" s="92">
        <v>0.05</v>
      </c>
      <c r="J372" s="93">
        <v>1000.0</v>
      </c>
      <c r="K372" s="73"/>
      <c r="L372" s="73"/>
      <c r="M372" s="73"/>
      <c r="N372" s="74"/>
    </row>
    <row r="373" ht="30.0" hidden="1" customHeight="1">
      <c r="A373" s="68">
        <v>374.0</v>
      </c>
      <c r="B373" s="68"/>
      <c r="C373" s="68"/>
      <c r="D373" s="69" t="str">
        <f>CONCATENATE(PROPER('DASMA INFO'!$G373),", ",PROPER('DASMA INFO'!$E373)," ",PROPER('DASMA INFO'!$F373),"."," (",UPPER('DASMA INFO'!$H373),")")</f>
        <v>Gonzales, Maricel G. ()</v>
      </c>
      <c r="E373" s="70" t="s">
        <v>1458</v>
      </c>
      <c r="F373" s="70" t="s">
        <v>1032</v>
      </c>
      <c r="G373" s="70" t="s">
        <v>394</v>
      </c>
      <c r="H373" s="69"/>
      <c r="I373" s="92">
        <v>0.05</v>
      </c>
      <c r="J373" s="93">
        <v>1000.0</v>
      </c>
      <c r="K373" s="73" t="s">
        <v>1459</v>
      </c>
      <c r="L373" s="73"/>
      <c r="M373" s="73"/>
      <c r="N373" s="74"/>
    </row>
    <row r="374" ht="30.0" hidden="1" customHeight="1">
      <c r="A374" s="68">
        <v>375.0</v>
      </c>
      <c r="B374" s="68"/>
      <c r="C374" s="68"/>
      <c r="D374" s="69" t="str">
        <f>CONCATENATE(PROPER('DASMA INFO'!$G374),", ",PROPER('DASMA INFO'!$E374)," ",PROPER('DASMA INFO'!$F374),"."," (",UPPER('DASMA INFO'!$H374),")")</f>
        <v>Manata, Luisa . ()</v>
      </c>
      <c r="E374" s="70" t="s">
        <v>814</v>
      </c>
      <c r="F374" s="70"/>
      <c r="G374" s="70" t="s">
        <v>1460</v>
      </c>
      <c r="H374" s="69"/>
      <c r="I374" s="92">
        <v>0.05</v>
      </c>
      <c r="J374" s="93">
        <v>1000.0</v>
      </c>
      <c r="K374" s="73"/>
      <c r="L374" s="73"/>
      <c r="M374" s="73"/>
      <c r="N374" s="74"/>
    </row>
    <row r="375" ht="30.0" hidden="1" customHeight="1">
      <c r="A375" s="68">
        <v>376.0</v>
      </c>
      <c r="B375" s="68"/>
      <c r="C375" s="68"/>
      <c r="D375" s="69" t="str">
        <f>CONCATENATE(PROPER('DASMA INFO'!$G375),", ",PROPER('DASMA INFO'!$E375)," ",PROPER('DASMA INFO'!$F375),"."," (",UPPER('DASMA INFO'!$H375),")")</f>
        <v>Fabul, Alice Jane . ()</v>
      </c>
      <c r="E375" s="70" t="s">
        <v>1461</v>
      </c>
      <c r="F375" s="70"/>
      <c r="G375" s="70" t="s">
        <v>1462</v>
      </c>
      <c r="H375" s="69"/>
      <c r="I375" s="92">
        <v>0.05</v>
      </c>
      <c r="J375" s="93">
        <v>1000.0</v>
      </c>
      <c r="K375" s="73"/>
      <c r="L375" s="73"/>
      <c r="M375" s="73"/>
      <c r="N375" s="74"/>
    </row>
    <row r="376" ht="30.0" hidden="1" customHeight="1">
      <c r="A376" s="68">
        <v>377.0</v>
      </c>
      <c r="B376" s="68"/>
      <c r="C376" s="68"/>
      <c r="D376" s="69" t="str">
        <f>CONCATENATE(PROPER('DASMA INFO'!$G376),", ",PROPER('DASMA INFO'!$E376)," ",PROPER('DASMA INFO'!$F376),"."," (",UPPER('DASMA INFO'!$H376),")")</f>
        <v>Raby, Maximo R. ()</v>
      </c>
      <c r="E376" s="70" t="s">
        <v>476</v>
      </c>
      <c r="F376" s="70" t="s">
        <v>260</v>
      </c>
      <c r="G376" s="70" t="s">
        <v>477</v>
      </c>
      <c r="H376" s="69"/>
      <c r="I376" s="92">
        <v>0.05</v>
      </c>
      <c r="J376" s="93">
        <v>1000.0</v>
      </c>
      <c r="K376" s="73"/>
      <c r="L376" s="73"/>
      <c r="M376" s="73"/>
      <c r="N376" s="74"/>
    </row>
    <row r="377" ht="30.0" hidden="1" customHeight="1">
      <c r="A377" s="68">
        <v>378.0</v>
      </c>
      <c r="B377" s="68"/>
      <c r="C377" s="68"/>
      <c r="D377" s="69" t="str">
        <f>CONCATENATE(PROPER('DASMA INFO'!$G377),", ",PROPER('DASMA INFO'!$E377)," ",PROPER('DASMA INFO'!$F377),"."," (",UPPER('DASMA INFO'!$H377),")")</f>
        <v>Mingoy, Bernie . ()</v>
      </c>
      <c r="E377" s="70" t="s">
        <v>1463</v>
      </c>
      <c r="F377" s="70"/>
      <c r="G377" s="70" t="s">
        <v>1464</v>
      </c>
      <c r="H377" s="69"/>
      <c r="I377" s="92">
        <v>0.05</v>
      </c>
      <c r="J377" s="93">
        <v>1000.0</v>
      </c>
      <c r="K377" s="73"/>
      <c r="L377" s="73"/>
      <c r="M377" s="73"/>
      <c r="N377" s="74"/>
    </row>
    <row r="378" ht="30.0" hidden="1" customHeight="1">
      <c r="A378" s="68">
        <v>379.0</v>
      </c>
      <c r="B378" s="68"/>
      <c r="C378" s="68"/>
      <c r="D378" s="69" t="str">
        <f>CONCATENATE(PROPER('DASMA INFO'!$G378),", ",PROPER('DASMA INFO'!$E378)," ",PROPER('DASMA INFO'!$F378),"."," (",UPPER('DASMA INFO'!$H378),")")</f>
        <v>Luansing, Amelia D. ()</v>
      </c>
      <c r="E378" s="70" t="s">
        <v>247</v>
      </c>
      <c r="F378" s="70" t="s">
        <v>1078</v>
      </c>
      <c r="G378" s="70" t="s">
        <v>1465</v>
      </c>
      <c r="H378" s="69"/>
      <c r="I378" s="92">
        <v>0.05</v>
      </c>
      <c r="J378" s="93">
        <v>1000.0</v>
      </c>
      <c r="K378" s="73"/>
      <c r="L378" s="73"/>
      <c r="M378" s="73"/>
      <c r="N378" s="74"/>
    </row>
    <row r="379" ht="30.0" hidden="1" customHeight="1">
      <c r="A379" s="68">
        <v>380.0</v>
      </c>
      <c r="B379" s="68"/>
      <c r="C379" s="68"/>
      <c r="D379" s="69" t="str">
        <f>CONCATENATE(PROPER('DASMA INFO'!$G379),", ",PROPER('DASMA INFO'!$E379)," ",PROPER('DASMA INFO'!$F379),"."," (",UPPER('DASMA INFO'!$H379),")")</f>
        <v>Egangan, Joel . ()</v>
      </c>
      <c r="E379" s="70" t="s">
        <v>846</v>
      </c>
      <c r="F379" s="70"/>
      <c r="G379" s="70" t="s">
        <v>1466</v>
      </c>
      <c r="H379" s="69"/>
      <c r="I379" s="92">
        <v>0.05</v>
      </c>
      <c r="J379" s="93">
        <v>1000.0</v>
      </c>
      <c r="K379" s="73"/>
      <c r="L379" s="73"/>
      <c r="M379" s="73"/>
      <c r="N379" s="74"/>
    </row>
    <row r="380" ht="30.0" hidden="1" customHeight="1">
      <c r="A380" s="68">
        <v>381.0</v>
      </c>
      <c r="B380" s="68"/>
      <c r="C380" s="68"/>
      <c r="D380" s="69" t="str">
        <f>CONCATENATE(PROPER('DASMA INFO'!$G380),", ",PROPER('DASMA INFO'!$E380)," ",PROPER('DASMA INFO'!$F380),"."," (",UPPER('DASMA INFO'!$H380),")")</f>
        <v>Gotangco, Jeralden . ()</v>
      </c>
      <c r="E380" s="70" t="s">
        <v>1467</v>
      </c>
      <c r="F380" s="70"/>
      <c r="G380" s="70" t="s">
        <v>1468</v>
      </c>
      <c r="H380" s="69"/>
      <c r="I380" s="92">
        <v>0.05</v>
      </c>
      <c r="J380" s="93">
        <v>1000.0</v>
      </c>
      <c r="K380" s="73"/>
      <c r="L380" s="73"/>
      <c r="M380" s="73"/>
      <c r="N380" s="74"/>
    </row>
    <row r="381" ht="30.0" hidden="1" customHeight="1">
      <c r="A381" s="68">
        <v>382.0</v>
      </c>
      <c r="B381" s="68"/>
      <c r="C381" s="68"/>
      <c r="D381" s="69" t="str">
        <f>CONCATENATE(PROPER('DASMA INFO'!$G381),", ",PROPER('DASMA INFO'!$E381)," ",PROPER('DASMA INFO'!$F381),"."," (",UPPER('DASMA INFO'!$H381),")")</f>
        <v>Quierrez, Michelle . ()</v>
      </c>
      <c r="E381" s="70" t="s">
        <v>1469</v>
      </c>
      <c r="F381" s="70"/>
      <c r="G381" s="70" t="s">
        <v>1470</v>
      </c>
      <c r="H381" s="69"/>
      <c r="I381" s="92">
        <v>0.05</v>
      </c>
      <c r="J381" s="93">
        <v>1000.0</v>
      </c>
      <c r="K381" s="73"/>
      <c r="L381" s="73"/>
      <c r="M381" s="73"/>
      <c r="N381" s="74"/>
    </row>
    <row r="382" ht="30.0" hidden="1" customHeight="1">
      <c r="A382" s="68">
        <v>383.0</v>
      </c>
      <c r="B382" s="68"/>
      <c r="C382" s="68"/>
      <c r="D382" s="69" t="str">
        <f>CONCATENATE(PROPER('DASMA INFO'!$G382),", ",PROPER('DASMA INFO'!$E382)," ",PROPER('DASMA INFO'!$F382),"."," (",UPPER('DASMA INFO'!$H382),")")</f>
        <v>Collado, Lowieces . ()</v>
      </c>
      <c r="E382" s="70" t="s">
        <v>1471</v>
      </c>
      <c r="F382" s="70"/>
      <c r="G382" s="70" t="s">
        <v>1472</v>
      </c>
      <c r="H382" s="69"/>
      <c r="I382" s="92">
        <v>0.05</v>
      </c>
      <c r="J382" s="93">
        <v>1000.0</v>
      </c>
      <c r="K382" s="73"/>
      <c r="L382" s="73"/>
      <c r="M382" s="73"/>
      <c r="N382" s="74"/>
    </row>
    <row r="383" ht="30.0" hidden="1" customHeight="1">
      <c r="A383" s="68">
        <v>384.0</v>
      </c>
      <c r="B383" s="68"/>
      <c r="C383" s="68"/>
      <c r="D383" s="69" t="str">
        <f>CONCATENATE(PROPER('DASMA INFO'!$G383),", ",PROPER('DASMA INFO'!$E383)," ",PROPER('DASMA INFO'!$F383),"."," (",UPPER('DASMA INFO'!$H383),")")</f>
        <v>Aquino, Cristina . ()</v>
      </c>
      <c r="E383" s="70" t="s">
        <v>294</v>
      </c>
      <c r="F383" s="70"/>
      <c r="G383" s="70" t="s">
        <v>331</v>
      </c>
      <c r="H383" s="69"/>
      <c r="I383" s="92">
        <v>0.05</v>
      </c>
      <c r="J383" s="93">
        <v>1000.0</v>
      </c>
      <c r="K383" s="73"/>
      <c r="L383" s="73"/>
      <c r="M383" s="73"/>
      <c r="N383" s="74"/>
    </row>
    <row r="384" ht="30.0" hidden="1" customHeight="1">
      <c r="A384" s="68">
        <v>385.0</v>
      </c>
      <c r="B384" s="68"/>
      <c r="C384" s="68"/>
      <c r="D384" s="69" t="str">
        <f>CONCATENATE(PROPER('DASMA INFO'!$G384),", ",PROPER('DASMA INFO'!$E384)," ",PROPER('DASMA INFO'!$F384),"."," (",UPPER('DASMA INFO'!$H384),")")</f>
        <v>Villafuerte, Marie Ann C. ()</v>
      </c>
      <c r="E384" s="70" t="s">
        <v>1473</v>
      </c>
      <c r="F384" s="70" t="s">
        <v>318</v>
      </c>
      <c r="G384" s="70" t="s">
        <v>1474</v>
      </c>
      <c r="H384" s="70"/>
      <c r="I384" s="92">
        <v>0.05</v>
      </c>
      <c r="J384" s="93">
        <v>1000.0</v>
      </c>
      <c r="K384" s="73" t="s">
        <v>1475</v>
      </c>
      <c r="L384" s="73"/>
      <c r="M384" s="73"/>
      <c r="N384" s="74"/>
    </row>
    <row r="385" ht="30.0" hidden="1" customHeight="1">
      <c r="A385" s="68">
        <v>386.0</v>
      </c>
      <c r="B385" s="68"/>
      <c r="C385" s="68"/>
      <c r="D385" s="69" t="str">
        <f>CONCATENATE(PROPER('DASMA INFO'!$G385),", ",PROPER('DASMA INFO'!$E385)," ",PROPER('DASMA INFO'!$F385),"."," (",UPPER('DASMA INFO'!$H385),")")</f>
        <v>Dayon, Joel B. ()</v>
      </c>
      <c r="E385" s="70" t="s">
        <v>846</v>
      </c>
      <c r="F385" s="70" t="s">
        <v>627</v>
      </c>
      <c r="G385" s="70" t="s">
        <v>1476</v>
      </c>
      <c r="H385" s="69"/>
      <c r="I385" s="92">
        <v>0.05</v>
      </c>
      <c r="J385" s="93">
        <v>1000.0</v>
      </c>
      <c r="K385" s="73"/>
      <c r="L385" s="73"/>
      <c r="M385" s="73"/>
      <c r="N385" s="74"/>
    </row>
    <row r="386" ht="30.0" hidden="1" customHeight="1">
      <c r="A386" s="68">
        <v>387.0</v>
      </c>
      <c r="B386" s="68"/>
      <c r="C386" s="68"/>
      <c r="D386" s="69" t="str">
        <f>CONCATENATE(PROPER('DASMA INFO'!$G386),", ",PROPER('DASMA INFO'!$E386)," ",PROPER('DASMA INFO'!$F386),"."," (",UPPER('DASMA INFO'!$H386),")")</f>
        <v>Igon Igon, Milen . ()</v>
      </c>
      <c r="E386" s="70" t="s">
        <v>1477</v>
      </c>
      <c r="F386" s="70"/>
      <c r="G386" s="70" t="s">
        <v>1478</v>
      </c>
      <c r="H386" s="69"/>
      <c r="I386" s="92">
        <v>0.05</v>
      </c>
      <c r="J386" s="93">
        <v>1000.0</v>
      </c>
      <c r="K386" s="73"/>
      <c r="L386" s="73"/>
      <c r="M386" s="73"/>
      <c r="N386" s="74"/>
    </row>
    <row r="387" ht="30.0" hidden="1" customHeight="1">
      <c r="A387" s="68">
        <v>388.0</v>
      </c>
      <c r="B387" s="68"/>
      <c r="C387" s="68"/>
      <c r="D387" s="69" t="str">
        <f>CONCATENATE(PROPER('DASMA INFO'!$G387),", ",PROPER('DASMA INFO'!$E387)," ",PROPER('DASMA INFO'!$F387),"."," (",UPPER('DASMA INFO'!$H387),")")</f>
        <v>,  . ()</v>
      </c>
      <c r="E387" s="70"/>
      <c r="F387" s="70"/>
      <c r="G387" s="70"/>
      <c r="H387" s="69"/>
      <c r="I387" s="92">
        <v>0.05</v>
      </c>
      <c r="J387" s="93">
        <v>1000.0</v>
      </c>
      <c r="K387" s="73"/>
      <c r="L387" s="73"/>
      <c r="M387" s="73"/>
      <c r="N387" s="74"/>
    </row>
    <row r="388" ht="30.0" hidden="1" customHeight="1">
      <c r="A388" s="68">
        <v>389.0</v>
      </c>
      <c r="B388" s="68"/>
      <c r="C388" s="68"/>
      <c r="D388" s="69" t="str">
        <f>CONCATENATE(PROPER('DASMA INFO'!$G388),", ",PROPER('DASMA INFO'!$E388)," ",PROPER('DASMA INFO'!$F388),"."," (",UPPER('DASMA INFO'!$H388),")")</f>
        <v>Boniel, Nicanrita D. ()</v>
      </c>
      <c r="E388" s="70" t="s">
        <v>1479</v>
      </c>
      <c r="F388" s="70" t="s">
        <v>1078</v>
      </c>
      <c r="G388" s="70" t="s">
        <v>1480</v>
      </c>
      <c r="H388" s="69"/>
      <c r="I388" s="92">
        <v>0.05</v>
      </c>
      <c r="J388" s="93">
        <v>1000.0</v>
      </c>
      <c r="K388" s="73" t="s">
        <v>1017</v>
      </c>
      <c r="L388" s="73"/>
      <c r="M388" s="73"/>
      <c r="N388" s="74"/>
    </row>
    <row r="389" ht="30.0" hidden="1" customHeight="1">
      <c r="A389" s="68">
        <v>390.0</v>
      </c>
      <c r="B389" s="68"/>
      <c r="C389" s="68"/>
      <c r="D389" s="69" t="str">
        <f>CONCATENATE(PROPER('DASMA INFO'!$G389),", ",PROPER('DASMA INFO'!$E389)," ",PROPER('DASMA INFO'!$F389),"."," (",UPPER('DASMA INFO'!$H389),")")</f>
        <v>Wilma, Ramol . ()</v>
      </c>
      <c r="E389" s="70" t="s">
        <v>1481</v>
      </c>
      <c r="F389" s="70"/>
      <c r="G389" s="70" t="s">
        <v>471</v>
      </c>
      <c r="H389" s="69"/>
      <c r="I389" s="92">
        <v>0.05</v>
      </c>
      <c r="J389" s="93">
        <v>1000.0</v>
      </c>
      <c r="K389" s="73"/>
      <c r="L389" s="73"/>
      <c r="M389" s="73"/>
      <c r="N389" s="74"/>
    </row>
    <row r="390" ht="30.0" hidden="1" customHeight="1">
      <c r="A390" s="68">
        <v>391.0</v>
      </c>
      <c r="B390" s="68"/>
      <c r="C390" s="68"/>
      <c r="D390" s="69" t="str">
        <f>CONCATENATE(PROPER('DASMA INFO'!$G390),", ",PROPER('DASMA INFO'!$E390)," ",PROPER('DASMA INFO'!$F390),"."," (",UPPER('DASMA INFO'!$H390),")")</f>
        <v>Sebello, Demmark . ()</v>
      </c>
      <c r="E390" s="70" t="s">
        <v>1482</v>
      </c>
      <c r="F390" s="70"/>
      <c r="G390" s="70" t="s">
        <v>590</v>
      </c>
      <c r="H390" s="69"/>
      <c r="I390" s="92">
        <v>0.05</v>
      </c>
      <c r="J390" s="93">
        <v>1000.0</v>
      </c>
      <c r="K390" s="73"/>
      <c r="L390" s="73"/>
      <c r="M390" s="73"/>
      <c r="N390" s="74"/>
    </row>
    <row r="391" ht="30.0" hidden="1" customHeight="1">
      <c r="A391" s="68">
        <v>392.0</v>
      </c>
      <c r="B391" s="68"/>
      <c r="C391" s="68"/>
      <c r="D391" s="69" t="str">
        <f>CONCATENATE(PROPER('DASMA INFO'!$G391),", ",PROPER('DASMA INFO'!$E391)," ",PROPER('DASMA INFO'!$F391),"."," (",UPPER('DASMA INFO'!$H391),")")</f>
        <v>Sagi, Tadashi . ()</v>
      </c>
      <c r="E391" s="70" t="s">
        <v>1483</v>
      </c>
      <c r="F391" s="70"/>
      <c r="G391" s="70" t="s">
        <v>1484</v>
      </c>
      <c r="H391" s="69"/>
      <c r="I391" s="92">
        <v>0.05</v>
      </c>
      <c r="J391" s="93">
        <v>1000.0</v>
      </c>
      <c r="K391" s="73"/>
      <c r="L391" s="73"/>
      <c r="M391" s="73"/>
      <c r="N391" s="74"/>
    </row>
    <row r="392" ht="30.0" hidden="1" customHeight="1">
      <c r="A392" s="68">
        <v>393.0</v>
      </c>
      <c r="B392" s="68"/>
      <c r="C392" s="68"/>
      <c r="D392" s="69" t="str">
        <f>CONCATENATE(PROPER('DASMA INFO'!$G392),", ",PROPER('DASMA INFO'!$E392)," ",PROPER('DASMA INFO'!$F392),"."," (",UPPER('DASMA INFO'!$H392),")")</f>
        <v>Feliciano, Joselito C. ()</v>
      </c>
      <c r="E392" s="70" t="s">
        <v>315</v>
      </c>
      <c r="F392" s="70" t="s">
        <v>318</v>
      </c>
      <c r="G392" s="70" t="s">
        <v>366</v>
      </c>
      <c r="H392" s="69"/>
      <c r="I392" s="92">
        <v>0.05</v>
      </c>
      <c r="J392" s="93">
        <v>1000.0</v>
      </c>
      <c r="K392" s="73"/>
      <c r="L392" s="73"/>
      <c r="M392" s="73"/>
      <c r="N392" s="74"/>
    </row>
    <row r="393" ht="30.0" hidden="1" customHeight="1">
      <c r="A393" s="68">
        <v>394.0</v>
      </c>
      <c r="B393" s="68"/>
      <c r="C393" s="68"/>
      <c r="D393" s="69" t="str">
        <f>CONCATENATE(PROPER('DASMA INFO'!$G393),", ",PROPER('DASMA INFO'!$E393)," ",PROPER('DASMA INFO'!$F393),"."," (",UPPER('DASMA INFO'!$H393),")")</f>
        <v>Santiago, Ronena . ()</v>
      </c>
      <c r="E393" s="70" t="s">
        <v>1485</v>
      </c>
      <c r="F393" s="70"/>
      <c r="G393" s="70" t="s">
        <v>948</v>
      </c>
      <c r="H393" s="69"/>
      <c r="I393" s="92">
        <v>0.05</v>
      </c>
      <c r="J393" s="93">
        <v>1000.0</v>
      </c>
      <c r="K393" s="73"/>
      <c r="L393" s="73"/>
      <c r="M393" s="73"/>
      <c r="N393" s="74"/>
    </row>
    <row r="394" ht="30.0" hidden="1" customHeight="1">
      <c r="A394" s="68">
        <v>395.0</v>
      </c>
      <c r="B394" s="68"/>
      <c r="C394" s="68"/>
      <c r="D394" s="69" t="str">
        <f>CONCATENATE(PROPER('DASMA INFO'!$G394),", ",PROPER('DASMA INFO'!$E394)," ",PROPER('DASMA INFO'!$F394),"."," (",UPPER('DASMA INFO'!$H394),")")</f>
        <v>,  . ()</v>
      </c>
      <c r="E394" s="70"/>
      <c r="F394" s="70"/>
      <c r="G394" s="70"/>
      <c r="H394" s="69"/>
      <c r="I394" s="92">
        <v>0.05</v>
      </c>
      <c r="J394" s="93">
        <v>1000.0</v>
      </c>
      <c r="K394" s="73"/>
      <c r="L394" s="73"/>
      <c r="M394" s="73"/>
      <c r="N394" s="74"/>
    </row>
    <row r="395" ht="30.0" hidden="1" customHeight="1">
      <c r="A395" s="68">
        <v>396.0</v>
      </c>
      <c r="B395" s="68"/>
      <c r="C395" s="68"/>
      <c r="D395" s="69" t="str">
        <f>CONCATENATE(PROPER('DASMA INFO'!$G395),", ",PROPER('DASMA INFO'!$E395)," ",PROPER('DASMA INFO'!$F395),"."," (",UPPER('DASMA INFO'!$H395),")")</f>
        <v>Fernandez, Leo V. ()</v>
      </c>
      <c r="E395" s="70" t="s">
        <v>1258</v>
      </c>
      <c r="F395" s="70" t="s">
        <v>620</v>
      </c>
      <c r="G395" s="70" t="s">
        <v>762</v>
      </c>
      <c r="H395" s="69"/>
      <c r="I395" s="92">
        <v>0.05</v>
      </c>
      <c r="J395" s="93">
        <v>1000.0</v>
      </c>
      <c r="K395" s="73" t="s">
        <v>1486</v>
      </c>
      <c r="L395" s="73"/>
      <c r="M395" s="73"/>
      <c r="N395" s="74"/>
    </row>
    <row r="396" ht="30.0" hidden="1" customHeight="1">
      <c r="A396" s="68">
        <v>397.0</v>
      </c>
      <c r="B396" s="68"/>
      <c r="C396" s="68"/>
      <c r="D396" s="69" t="str">
        <f>CONCATENATE(PROPER('DASMA INFO'!$G396),", ",PROPER('DASMA INFO'!$E396)," ",PROPER('DASMA INFO'!$F396),"."," (",UPPER('DASMA INFO'!$H396),")")</f>
        <v>Valderama, Peter . ()</v>
      </c>
      <c r="E396" s="70" t="s">
        <v>1487</v>
      </c>
      <c r="F396" s="70"/>
      <c r="G396" s="70" t="s">
        <v>1041</v>
      </c>
      <c r="H396" s="69"/>
      <c r="I396" s="92">
        <v>0.05</v>
      </c>
      <c r="J396" s="93">
        <v>1000.0</v>
      </c>
      <c r="K396" s="73"/>
      <c r="L396" s="73"/>
      <c r="M396" s="73"/>
      <c r="N396" s="74"/>
    </row>
    <row r="397" ht="30.0" hidden="1" customHeight="1">
      <c r="A397" s="68">
        <v>398.0</v>
      </c>
      <c r="B397" s="68"/>
      <c r="C397" s="68"/>
      <c r="D397" s="69" t="str">
        <f>CONCATENATE(PROPER('DASMA INFO'!$G397),", ",PROPER('DASMA INFO'!$E397)," ",PROPER('DASMA INFO'!$F397),"."," (",UPPER('DASMA INFO'!$H397),")")</f>
        <v>Ku, Tina . ()</v>
      </c>
      <c r="E397" s="70" t="s">
        <v>1488</v>
      </c>
      <c r="F397" s="70"/>
      <c r="G397" s="70" t="s">
        <v>1489</v>
      </c>
      <c r="H397" s="69"/>
      <c r="I397" s="92">
        <v>0.05</v>
      </c>
      <c r="J397" s="93">
        <v>1000.0</v>
      </c>
      <c r="K397" s="73"/>
      <c r="L397" s="73"/>
      <c r="M397" s="73"/>
      <c r="N397" s="74"/>
    </row>
    <row r="398" ht="30.0" hidden="1" customHeight="1">
      <c r="A398" s="68">
        <v>399.0</v>
      </c>
      <c r="B398" s="68"/>
      <c r="C398" s="68"/>
      <c r="D398" s="69" t="str">
        <f>CONCATENATE(PROPER('DASMA INFO'!$G398),", ",PROPER('DASMA INFO'!$E398)," ",PROPER('DASMA INFO'!$F398),"."," (",UPPER('DASMA INFO'!$H398),")")</f>
        <v>Rugan, Vicente . ()</v>
      </c>
      <c r="E398" s="70" t="s">
        <v>1490</v>
      </c>
      <c r="F398" s="70"/>
      <c r="G398" s="70" t="s">
        <v>1491</v>
      </c>
      <c r="H398" s="69"/>
      <c r="I398" s="92">
        <v>0.05</v>
      </c>
      <c r="J398" s="93">
        <v>1000.0</v>
      </c>
      <c r="K398" s="73"/>
      <c r="L398" s="73"/>
      <c r="M398" s="73"/>
      <c r="N398" s="74"/>
    </row>
    <row r="399" ht="30.0" hidden="1" customHeight="1">
      <c r="A399" s="68">
        <v>400.0</v>
      </c>
      <c r="B399" s="68"/>
      <c r="C399" s="68"/>
      <c r="D399" s="69" t="str">
        <f>CONCATENATE(PROPER('DASMA INFO'!$G399),", ",PROPER('DASMA INFO'!$E399)," ",PROPER('DASMA INFO'!$F399),"."," (",UPPER('DASMA INFO'!$H399),")")</f>
        <v>Alexander, Violenda . ()</v>
      </c>
      <c r="E399" s="70" t="s">
        <v>1492</v>
      </c>
      <c r="F399" s="70"/>
      <c r="G399" s="70" t="s">
        <v>1493</v>
      </c>
      <c r="H399" s="69"/>
      <c r="I399" s="92">
        <v>0.05</v>
      </c>
      <c r="J399" s="93">
        <v>1000.0</v>
      </c>
      <c r="K399" s="73"/>
      <c r="L399" s="73"/>
      <c r="M399" s="73"/>
      <c r="N399" s="74"/>
    </row>
    <row r="400" ht="30.0" hidden="1" customHeight="1">
      <c r="A400" s="68">
        <v>401.0</v>
      </c>
      <c r="B400" s="68"/>
      <c r="C400" s="68"/>
      <c r="D400" s="69" t="str">
        <f>CONCATENATE(PROPER('DASMA INFO'!$G400),", ",PROPER('DASMA INFO'!$E400)," ",PROPER('DASMA INFO'!$F400),"."," (",UPPER('DASMA INFO'!$H400),")")</f>
        <v>Elo, Mario . ()</v>
      </c>
      <c r="E400" s="70" t="s">
        <v>1254</v>
      </c>
      <c r="F400" s="70"/>
      <c r="G400" s="70" t="s">
        <v>1494</v>
      </c>
      <c r="H400" s="69"/>
      <c r="I400" s="92">
        <v>0.05</v>
      </c>
      <c r="J400" s="93">
        <v>1000.0</v>
      </c>
      <c r="K400" s="73"/>
      <c r="L400" s="73"/>
      <c r="M400" s="73"/>
      <c r="N400" s="74"/>
    </row>
    <row r="401" ht="30.0" hidden="1" customHeight="1">
      <c r="A401" s="68">
        <v>402.0</v>
      </c>
      <c r="B401" s="68"/>
      <c r="C401" s="68"/>
      <c r="D401" s="69" t="str">
        <f>CONCATENATE(PROPER('DASMA INFO'!$G401),", ",PROPER('DASMA INFO'!$E401)," ",PROPER('DASMA INFO'!$F401),"."," (",UPPER('DASMA INFO'!$H401),")")</f>
        <v>Banzuelo, Alberto . ()</v>
      </c>
      <c r="E401" s="70" t="s">
        <v>879</v>
      </c>
      <c r="F401" s="70"/>
      <c r="G401" s="70" t="s">
        <v>1495</v>
      </c>
      <c r="H401" s="69"/>
      <c r="I401" s="92">
        <v>0.05</v>
      </c>
      <c r="J401" s="93">
        <v>1000.0</v>
      </c>
      <c r="K401" s="73"/>
      <c r="L401" s="73"/>
      <c r="M401" s="73"/>
      <c r="N401" s="74"/>
    </row>
    <row r="402" ht="30.0" hidden="1" customHeight="1">
      <c r="A402" s="68">
        <v>403.0</v>
      </c>
      <c r="B402" s="68"/>
      <c r="C402" s="68"/>
      <c r="D402" s="69" t="str">
        <f>CONCATENATE(PROPER('DASMA INFO'!$G402),", ",PROPER('DASMA INFO'!$E402)," ",PROPER('DASMA INFO'!$F402),"."," (",UPPER('DASMA INFO'!$H402),")")</f>
        <v>Togle, Felix Romeo . ()</v>
      </c>
      <c r="E402" s="70" t="s">
        <v>1496</v>
      </c>
      <c r="F402" s="70"/>
      <c r="G402" s="70" t="s">
        <v>1497</v>
      </c>
      <c r="H402" s="69"/>
      <c r="I402" s="92">
        <v>0.05</v>
      </c>
      <c r="J402" s="93">
        <v>1000.0</v>
      </c>
      <c r="K402" s="73"/>
      <c r="L402" s="73"/>
      <c r="M402" s="73"/>
      <c r="N402" s="74"/>
    </row>
    <row r="403" ht="30.0" hidden="1" customHeight="1">
      <c r="A403" s="68">
        <v>404.0</v>
      </c>
      <c r="B403" s="68"/>
      <c r="C403" s="68"/>
      <c r="D403" s="69" t="str">
        <f>CONCATENATE(PROPER('DASMA INFO'!$G403),", ",PROPER('DASMA INFO'!$E403)," ",PROPER('DASMA INFO'!$F403),"."," (",UPPER('DASMA INFO'!$H403),")")</f>
        <v>Nabong, Rocky . ()</v>
      </c>
      <c r="E403" s="70" t="s">
        <v>1498</v>
      </c>
      <c r="F403" s="70"/>
      <c r="G403" s="70" t="s">
        <v>1499</v>
      </c>
      <c r="H403" s="69"/>
      <c r="I403" s="92">
        <v>0.05</v>
      </c>
      <c r="J403" s="93">
        <v>1000.0</v>
      </c>
      <c r="K403" s="73"/>
      <c r="L403" s="73"/>
      <c r="M403" s="73"/>
      <c r="N403" s="74"/>
    </row>
    <row r="404" ht="30.0" hidden="1" customHeight="1">
      <c r="A404" s="68">
        <v>405.0</v>
      </c>
      <c r="B404" s="68"/>
      <c r="C404" s="68"/>
      <c r="D404" s="69" t="str">
        <f>CONCATENATE(PROPER('DASMA INFO'!$G404),", ",PROPER('DASMA INFO'!$E404)," ",PROPER('DASMA INFO'!$F404),"."," (",UPPER('DASMA INFO'!$H404),")")</f>
        <v>Chun, Jessa . ()</v>
      </c>
      <c r="E404" s="70" t="s">
        <v>1500</v>
      </c>
      <c r="F404" s="70"/>
      <c r="G404" s="70" t="s">
        <v>1501</v>
      </c>
      <c r="H404" s="69"/>
      <c r="I404" s="92">
        <v>0.05</v>
      </c>
      <c r="J404" s="93">
        <v>1000.0</v>
      </c>
      <c r="K404" s="73"/>
      <c r="L404" s="73"/>
      <c r="M404" s="73"/>
      <c r="N404" s="74"/>
    </row>
    <row r="405" ht="30.0" hidden="1" customHeight="1">
      <c r="A405" s="68">
        <v>406.0</v>
      </c>
      <c r="B405" s="68"/>
      <c r="C405" s="68"/>
      <c r="D405" s="69" t="str">
        <f>CONCATENATE(PROPER('DASMA INFO'!$G405),", ",PROPER('DASMA INFO'!$E405)," ",PROPER('DASMA INFO'!$F405),"."," (",UPPER('DASMA INFO'!$H405),")")</f>
        <v>Tibayan, Philip L. ()</v>
      </c>
      <c r="E405" s="70" t="s">
        <v>1502</v>
      </c>
      <c r="F405" s="70" t="s">
        <v>648</v>
      </c>
      <c r="G405" s="70" t="s">
        <v>1503</v>
      </c>
      <c r="H405" s="69"/>
      <c r="I405" s="92">
        <v>0.05</v>
      </c>
      <c r="J405" s="93">
        <v>1000.0</v>
      </c>
      <c r="K405" s="73"/>
      <c r="L405" s="73"/>
      <c r="M405" s="73"/>
      <c r="N405" s="74"/>
    </row>
    <row r="406" ht="30.0" hidden="1" customHeight="1">
      <c r="A406" s="68">
        <v>407.0</v>
      </c>
      <c r="B406" s="68"/>
      <c r="C406" s="68"/>
      <c r="D406" s="69" t="str">
        <f>CONCATENATE(PROPER('DASMA INFO'!$G406),", ",PROPER('DASMA INFO'!$E406)," ",PROPER('DASMA INFO'!$F406),"."," (",UPPER('DASMA INFO'!$H406),")")</f>
        <v>Enanu, Joselito . ()</v>
      </c>
      <c r="E406" s="70" t="s">
        <v>315</v>
      </c>
      <c r="F406" s="70"/>
      <c r="G406" s="70" t="s">
        <v>1504</v>
      </c>
      <c r="H406" s="69"/>
      <c r="I406" s="92">
        <v>0.05</v>
      </c>
      <c r="J406" s="93">
        <v>1000.0</v>
      </c>
      <c r="K406" s="73"/>
      <c r="L406" s="73"/>
      <c r="M406" s="73"/>
      <c r="N406" s="74"/>
    </row>
    <row r="407" ht="30.0" hidden="1" customHeight="1">
      <c r="A407" s="68">
        <v>408.0</v>
      </c>
      <c r="B407" s="68"/>
      <c r="C407" s="68"/>
      <c r="D407" s="69" t="str">
        <f>CONCATENATE(PROPER('DASMA INFO'!$G407),", ",PROPER('DASMA INFO'!$E407)," ",PROPER('DASMA INFO'!$F407),"."," (",UPPER('DASMA INFO'!$H407),")")</f>
        <v>Sasis, Allans S. ()</v>
      </c>
      <c r="E407" s="70" t="s">
        <v>1505</v>
      </c>
      <c r="F407" s="70" t="s">
        <v>342</v>
      </c>
      <c r="G407" s="70" t="s">
        <v>1506</v>
      </c>
      <c r="H407" s="69"/>
      <c r="I407" s="92">
        <v>0.05</v>
      </c>
      <c r="J407" s="93">
        <v>1000.0</v>
      </c>
      <c r="K407" s="73"/>
      <c r="L407" s="73"/>
      <c r="M407" s="73"/>
      <c r="N407" s="74"/>
    </row>
    <row r="408" ht="30.0" hidden="1" customHeight="1">
      <c r="A408" s="68">
        <v>409.0</v>
      </c>
      <c r="B408" s="68"/>
      <c r="C408" s="68"/>
      <c r="D408" s="69" t="str">
        <f>CONCATENATE(PROPER('DASMA INFO'!$G408),", ",PROPER('DASMA INFO'!$E408)," ",PROPER('DASMA INFO'!$F408),"."," (",UPPER('DASMA INFO'!$H408),")")</f>
        <v>Ynclino, Evi . ()</v>
      </c>
      <c r="E408" s="70" t="s">
        <v>1507</v>
      </c>
      <c r="F408" s="70"/>
      <c r="G408" s="70" t="s">
        <v>1508</v>
      </c>
      <c r="H408" s="69"/>
      <c r="I408" s="92">
        <v>0.05</v>
      </c>
      <c r="J408" s="93">
        <v>1000.0</v>
      </c>
      <c r="K408" s="73"/>
      <c r="L408" s="73"/>
      <c r="M408" s="73"/>
      <c r="N408" s="74"/>
    </row>
    <row r="409" ht="30.0" hidden="1" customHeight="1">
      <c r="A409" s="68">
        <v>410.0</v>
      </c>
      <c r="B409" s="68"/>
      <c r="C409" s="68"/>
      <c r="D409" s="69" t="str">
        <f>CONCATENATE(PROPER('DASMA INFO'!$G409),", ",PROPER('DASMA INFO'!$E409)," ",PROPER('DASMA INFO'!$F409),"."," (",UPPER('DASMA INFO'!$H409),")")</f>
        <v>Garcia, Vilma . ()</v>
      </c>
      <c r="E409" s="70" t="s">
        <v>1509</v>
      </c>
      <c r="F409" s="70"/>
      <c r="G409" s="70" t="s">
        <v>496</v>
      </c>
      <c r="H409" s="69"/>
      <c r="I409" s="92">
        <v>0.05</v>
      </c>
      <c r="J409" s="93">
        <v>1000.0</v>
      </c>
      <c r="K409" s="73"/>
      <c r="L409" s="73"/>
      <c r="M409" s="73"/>
      <c r="N409" s="74"/>
    </row>
    <row r="410" ht="30.0" hidden="1" customHeight="1">
      <c r="A410" s="68">
        <v>411.0</v>
      </c>
      <c r="B410" s="68"/>
      <c r="C410" s="68"/>
      <c r="D410" s="69" t="str">
        <f>CONCATENATE(PROPER('DASMA INFO'!$G410),", ",PROPER('DASMA INFO'!$E410)," ",PROPER('DASMA INFO'!$F410),"."," (",UPPER('DASMA INFO'!$H410),")")</f>
        <v>Maranan, Haydee . ()</v>
      </c>
      <c r="E410" s="70" t="s">
        <v>1510</v>
      </c>
      <c r="F410" s="70"/>
      <c r="G410" s="70" t="s">
        <v>1511</v>
      </c>
      <c r="H410" s="69"/>
      <c r="I410" s="92">
        <v>0.05</v>
      </c>
      <c r="J410" s="93">
        <v>1000.0</v>
      </c>
      <c r="K410" s="73"/>
      <c r="L410" s="73"/>
      <c r="M410" s="73"/>
      <c r="N410" s="74"/>
    </row>
    <row r="411" ht="30.0" hidden="1" customHeight="1">
      <c r="A411" s="68">
        <v>412.0</v>
      </c>
      <c r="B411" s="68"/>
      <c r="C411" s="68"/>
      <c r="D411" s="69" t="str">
        <f>CONCATENATE(PROPER('DASMA INFO'!$G411),", ",PROPER('DASMA INFO'!$E411)," ",PROPER('DASMA INFO'!$F411),"."," (",UPPER('DASMA INFO'!$H411),")")</f>
        <v>Libed, Edge . ()</v>
      </c>
      <c r="E411" s="70" t="s">
        <v>1512</v>
      </c>
      <c r="F411" s="70"/>
      <c r="G411" s="70" t="s">
        <v>1513</v>
      </c>
      <c r="H411" s="69"/>
      <c r="I411" s="92">
        <v>0.05</v>
      </c>
      <c r="J411" s="93">
        <v>1000.0</v>
      </c>
      <c r="K411" s="73"/>
      <c r="L411" s="73"/>
      <c r="M411" s="73"/>
      <c r="N411" s="74"/>
    </row>
    <row r="412" ht="30.0" hidden="1" customHeight="1">
      <c r="A412" s="68">
        <v>413.0</v>
      </c>
      <c r="B412" s="68"/>
      <c r="C412" s="68"/>
      <c r="D412" s="69" t="str">
        <f>CONCATENATE(PROPER('DASMA INFO'!$G412),", ",PROPER('DASMA INFO'!$E412)," ",PROPER('DASMA INFO'!$F412),"."," (",UPPER('DASMA INFO'!$H412),")")</f>
        <v>Marquez, Jennifer . ()</v>
      </c>
      <c r="E412" s="70" t="s">
        <v>964</v>
      </c>
      <c r="F412" s="70"/>
      <c r="G412" s="70" t="s">
        <v>751</v>
      </c>
      <c r="H412" s="69"/>
      <c r="I412" s="92">
        <v>0.05</v>
      </c>
      <c r="J412" s="93">
        <v>1000.0</v>
      </c>
      <c r="K412" s="73"/>
      <c r="L412" s="73"/>
      <c r="M412" s="73"/>
      <c r="N412" s="74"/>
    </row>
    <row r="413" ht="30.0" hidden="1" customHeight="1">
      <c r="A413" s="68">
        <v>414.0</v>
      </c>
      <c r="B413" s="68"/>
      <c r="C413" s="68"/>
      <c r="D413" s="69" t="str">
        <f>CONCATENATE(PROPER('DASMA INFO'!$G413),", ",PROPER('DASMA INFO'!$E413)," ",PROPER('DASMA INFO'!$F413),"."," (",UPPER('DASMA INFO'!$H413),")")</f>
        <v>Nocite, Rysn . ()</v>
      </c>
      <c r="E413" s="70" t="s">
        <v>1514</v>
      </c>
      <c r="F413" s="70"/>
      <c r="G413" s="70" t="s">
        <v>1515</v>
      </c>
      <c r="H413" s="69"/>
      <c r="I413" s="92">
        <v>0.05</v>
      </c>
      <c r="J413" s="93">
        <v>1000.0</v>
      </c>
      <c r="K413" s="73"/>
      <c r="L413" s="73"/>
      <c r="M413" s="73"/>
      <c r="N413" s="74"/>
    </row>
    <row r="414" ht="30.0" hidden="1" customHeight="1">
      <c r="A414" s="68">
        <v>415.0</v>
      </c>
      <c r="B414" s="68"/>
      <c r="C414" s="68"/>
      <c r="D414" s="69" t="str">
        <f>CONCATENATE(PROPER('DASMA INFO'!$G414),", ",PROPER('DASMA INFO'!$E414)," ",PROPER('DASMA INFO'!$F414),"."," (",UPPER('DASMA INFO'!$H414),")")</f>
        <v>Ortuyo, Ryan C. ()</v>
      </c>
      <c r="E414" s="70" t="s">
        <v>1516</v>
      </c>
      <c r="F414" s="70" t="s">
        <v>318</v>
      </c>
      <c r="G414" s="70" t="s">
        <v>1517</v>
      </c>
      <c r="H414" s="69"/>
      <c r="I414" s="92">
        <v>0.05</v>
      </c>
      <c r="J414" s="93">
        <v>1000.0</v>
      </c>
      <c r="K414" s="73" t="s">
        <v>1475</v>
      </c>
      <c r="L414" s="73"/>
      <c r="M414" s="73"/>
      <c r="N414" s="74"/>
    </row>
    <row r="415" ht="30.0" hidden="1" customHeight="1">
      <c r="A415" s="68">
        <v>416.0</v>
      </c>
      <c r="B415" s="68"/>
      <c r="C415" s="68"/>
      <c r="D415" s="69" t="str">
        <f>CONCATENATE(PROPER('DASMA INFO'!$G415),", ",PROPER('DASMA INFO'!$E415)," ",PROPER('DASMA INFO'!$F415),"."," (",UPPER('DASMA INFO'!$H415),")")</f>
        <v>De Grano, Ruel . ()</v>
      </c>
      <c r="E415" s="70" t="s">
        <v>589</v>
      </c>
      <c r="F415" s="70"/>
      <c r="G415" s="70" t="s">
        <v>1518</v>
      </c>
      <c r="H415" s="69"/>
      <c r="I415" s="92">
        <v>0.05</v>
      </c>
      <c r="J415" s="93">
        <v>1000.0</v>
      </c>
      <c r="K415" s="73"/>
      <c r="L415" s="73"/>
      <c r="M415" s="73"/>
      <c r="N415" s="74"/>
    </row>
    <row r="416" ht="30.0" hidden="1" customHeight="1">
      <c r="A416" s="68">
        <v>417.0</v>
      </c>
      <c r="B416" s="68"/>
      <c r="C416" s="68"/>
      <c r="D416" s="69" t="str">
        <f>CONCATENATE(PROPER('DASMA INFO'!$G416),", ",PROPER('DASMA INFO'!$E416)," ",PROPER('DASMA INFO'!$F416),"."," (",UPPER('DASMA INFO'!$H416),")")</f>
        <v>Isabelita, Bauit . ()</v>
      </c>
      <c r="E416" s="70" t="s">
        <v>1519</v>
      </c>
      <c r="F416" s="70"/>
      <c r="G416" s="70" t="s">
        <v>1520</v>
      </c>
      <c r="H416" s="69"/>
      <c r="I416" s="92">
        <v>0.05</v>
      </c>
      <c r="J416" s="93">
        <v>1000.0</v>
      </c>
      <c r="K416" s="73"/>
      <c r="L416" s="73"/>
      <c r="M416" s="73"/>
      <c r="N416" s="74"/>
    </row>
    <row r="417" ht="30.0" hidden="1" customHeight="1">
      <c r="A417" s="68">
        <v>418.0</v>
      </c>
      <c r="B417" s="68"/>
      <c r="C417" s="68"/>
      <c r="D417" s="69" t="str">
        <f>CONCATENATE(PROPER('DASMA INFO'!$G417),", ",PROPER('DASMA INFO'!$E417)," ",PROPER('DASMA INFO'!$F417),"."," (",UPPER('DASMA INFO'!$H417),")")</f>
        <v>Maicet, Escala . ()</v>
      </c>
      <c r="E417" s="70" t="s">
        <v>1521</v>
      </c>
      <c r="F417" s="70"/>
      <c r="G417" s="70" t="s">
        <v>1522</v>
      </c>
      <c r="H417" s="69"/>
      <c r="I417" s="92">
        <v>0.05</v>
      </c>
      <c r="J417" s="93">
        <v>1000.0</v>
      </c>
      <c r="K417" s="73"/>
      <c r="L417" s="73"/>
      <c r="M417" s="73"/>
      <c r="N417" s="74"/>
    </row>
    <row r="418" ht="30.0" hidden="1" customHeight="1">
      <c r="A418" s="68">
        <v>419.0</v>
      </c>
      <c r="B418" s="68"/>
      <c r="C418" s="68"/>
      <c r="D418" s="69" t="str">
        <f>CONCATENATE(PROPER('DASMA INFO'!$G418),", ",PROPER('DASMA INFO'!$E418)," ",PROPER('DASMA INFO'!$F418),"."," (",UPPER('DASMA INFO'!$H418),")")</f>
        <v>Javier, Ma. Theresa . ()</v>
      </c>
      <c r="E418" s="70" t="s">
        <v>715</v>
      </c>
      <c r="F418" s="70"/>
      <c r="G418" s="70" t="s">
        <v>1447</v>
      </c>
      <c r="H418" s="69"/>
      <c r="I418" s="92">
        <v>0.05</v>
      </c>
      <c r="J418" s="93">
        <v>1000.0</v>
      </c>
      <c r="K418" s="73"/>
      <c r="L418" s="73"/>
      <c r="M418" s="73"/>
      <c r="N418" s="74"/>
    </row>
    <row r="419" ht="30.0" hidden="1" customHeight="1">
      <c r="A419" s="68">
        <v>420.0</v>
      </c>
      <c r="B419" s="68"/>
      <c r="C419" s="68"/>
      <c r="D419" s="69" t="str">
        <f>CONCATENATE(PROPER('DASMA INFO'!$G419),", ",PROPER('DASMA INFO'!$E419)," ",PROPER('DASMA INFO'!$F419),"."," (",UPPER('DASMA INFO'!$H419),")")</f>
        <v>Doctor, Emmanuel . ()</v>
      </c>
      <c r="E419" s="70" t="s">
        <v>107</v>
      </c>
      <c r="F419" s="70"/>
      <c r="G419" s="70" t="s">
        <v>1523</v>
      </c>
      <c r="H419" s="69"/>
      <c r="I419" s="92">
        <v>0.05</v>
      </c>
      <c r="J419" s="93">
        <v>1000.0</v>
      </c>
      <c r="K419" s="73"/>
      <c r="L419" s="73"/>
      <c r="M419" s="73"/>
      <c r="N419" s="74"/>
    </row>
    <row r="420" ht="30.0" hidden="1" customHeight="1">
      <c r="A420" s="68">
        <v>421.0</v>
      </c>
      <c r="B420" s="68"/>
      <c r="C420" s="68"/>
      <c r="D420" s="69" t="str">
        <f>CONCATENATE(PROPER('DASMA INFO'!$G420),", ",PROPER('DASMA INFO'!$E420)," ",PROPER('DASMA INFO'!$F420),"."," (",UPPER('DASMA INFO'!$H420),")")</f>
        <v>Villaroman, Dallife . ()</v>
      </c>
      <c r="E420" s="70" t="s">
        <v>1524</v>
      </c>
      <c r="F420" s="70"/>
      <c r="G420" s="70" t="s">
        <v>1525</v>
      </c>
      <c r="H420" s="69"/>
      <c r="I420" s="92">
        <v>0.05</v>
      </c>
      <c r="J420" s="93">
        <v>1000.0</v>
      </c>
      <c r="K420" s="73"/>
      <c r="L420" s="73"/>
      <c r="M420" s="73"/>
      <c r="N420" s="74"/>
    </row>
    <row r="421" ht="30.0" hidden="1" customHeight="1">
      <c r="A421" s="68">
        <v>422.0</v>
      </c>
      <c r="B421" s="68"/>
      <c r="C421" s="68"/>
      <c r="D421" s="69" t="str">
        <f>CONCATENATE(PROPER('DASMA INFO'!$G421),", ",PROPER('DASMA INFO'!$E421)," ",PROPER('DASMA INFO'!$F421),"."," (",UPPER('DASMA INFO'!$H421),")")</f>
        <v>Fontamilla, Olivia . ()</v>
      </c>
      <c r="E421" s="70" t="s">
        <v>1526</v>
      </c>
      <c r="F421" s="70"/>
      <c r="G421" s="70" t="s">
        <v>1527</v>
      </c>
      <c r="H421" s="69"/>
      <c r="I421" s="92">
        <v>0.05</v>
      </c>
      <c r="J421" s="93">
        <v>1000.0</v>
      </c>
      <c r="K421" s="73"/>
      <c r="L421" s="73"/>
      <c r="M421" s="73"/>
      <c r="N421" s="74"/>
    </row>
    <row r="422" ht="30.0" hidden="1" customHeight="1">
      <c r="A422" s="68">
        <v>423.0</v>
      </c>
      <c r="B422" s="68"/>
      <c r="C422" s="68"/>
      <c r="D422" s="69" t="str">
        <f>CONCATENATE(PROPER('DASMA INFO'!$G422),", ",PROPER('DASMA INFO'!$E422)," ",PROPER('DASMA INFO'!$F422),"."," (",UPPER('DASMA INFO'!$H422),")")</f>
        <v>Amores, Charlene . ()</v>
      </c>
      <c r="E422" s="70" t="s">
        <v>1528</v>
      </c>
      <c r="F422" s="70"/>
      <c r="G422" s="70" t="s">
        <v>1529</v>
      </c>
      <c r="H422" s="69"/>
      <c r="I422" s="92">
        <v>0.05</v>
      </c>
      <c r="J422" s="93">
        <v>1000.0</v>
      </c>
      <c r="K422" s="73"/>
      <c r="L422" s="73"/>
      <c r="M422" s="73"/>
      <c r="N422" s="74"/>
    </row>
    <row r="423" ht="30.0" hidden="1" customHeight="1">
      <c r="A423" s="68">
        <v>424.0</v>
      </c>
      <c r="B423" s="68"/>
      <c r="C423" s="68"/>
      <c r="D423" s="69" t="str">
        <f>CONCATENATE(PROPER('DASMA INFO'!$G423),", ",PROPER('DASMA INFO'!$E423)," ",PROPER('DASMA INFO'!$F423),"."," (",UPPER('DASMA INFO'!$H423),")")</f>
        <v>Alvarez, Glwnn Tito . ()</v>
      </c>
      <c r="E423" s="70" t="s">
        <v>1530</v>
      </c>
      <c r="F423" s="70"/>
      <c r="G423" s="70" t="s">
        <v>1206</v>
      </c>
      <c r="H423" s="69"/>
      <c r="I423" s="92">
        <v>0.05</v>
      </c>
      <c r="J423" s="93">
        <v>1000.0</v>
      </c>
      <c r="K423" s="73"/>
      <c r="L423" s="73"/>
      <c r="M423" s="73"/>
      <c r="N423" s="74"/>
    </row>
    <row r="424" ht="30.0" hidden="1" customHeight="1">
      <c r="A424" s="68">
        <v>425.0</v>
      </c>
      <c r="B424" s="68"/>
      <c r="C424" s="68"/>
      <c r="D424" s="69" t="str">
        <f>CONCATENATE(PROPER('DASMA INFO'!$G424),", ",PROPER('DASMA INFO'!$E424)," ",PROPER('DASMA INFO'!$F424),"."," (",UPPER('DASMA INFO'!$H424),")")</f>
        <v>Espejo, Donna . ()</v>
      </c>
      <c r="E424" s="70" t="s">
        <v>1418</v>
      </c>
      <c r="F424" s="70"/>
      <c r="G424" s="70" t="s">
        <v>1531</v>
      </c>
      <c r="H424" s="69"/>
      <c r="I424" s="92">
        <v>0.05</v>
      </c>
      <c r="J424" s="93">
        <v>1000.0</v>
      </c>
      <c r="K424" s="73"/>
      <c r="L424" s="73"/>
      <c r="M424" s="73"/>
      <c r="N424" s="74"/>
    </row>
    <row r="425" ht="30.0" hidden="1" customHeight="1">
      <c r="A425" s="68">
        <v>426.0</v>
      </c>
      <c r="B425" s="68"/>
      <c r="C425" s="68"/>
      <c r="D425" s="69" t="str">
        <f>CONCATENATE(PROPER('DASMA INFO'!$G425),", ",PROPER('DASMA INFO'!$E425)," ",PROPER('DASMA INFO'!$F425),"."," (",UPPER('DASMA INFO'!$H425),")")</f>
        <v>Del Mundo, Edgardo . ()</v>
      </c>
      <c r="E425" s="70" t="s">
        <v>869</v>
      </c>
      <c r="F425" s="70"/>
      <c r="G425" s="70" t="s">
        <v>1532</v>
      </c>
      <c r="H425" s="69"/>
      <c r="I425" s="92">
        <v>0.05</v>
      </c>
      <c r="J425" s="93">
        <v>1000.0</v>
      </c>
      <c r="K425" s="73"/>
      <c r="L425" s="73"/>
      <c r="M425" s="73"/>
      <c r="N425" s="74"/>
    </row>
    <row r="426" ht="30.0" hidden="1" customHeight="1">
      <c r="A426" s="68">
        <v>427.0</v>
      </c>
      <c r="B426" s="68"/>
      <c r="C426" s="68"/>
      <c r="D426" s="69" t="str">
        <f>CONCATENATE(PROPER('DASMA INFO'!$G426),", ",PROPER('DASMA INFO'!$E426)," ",PROPER('DASMA INFO'!$F426),"."," (",UPPER('DASMA INFO'!$H426),")")</f>
        <v>Perea, Erlinda . ()</v>
      </c>
      <c r="E426" s="70" t="s">
        <v>1533</v>
      </c>
      <c r="F426" s="70"/>
      <c r="G426" s="70" t="s">
        <v>1534</v>
      </c>
      <c r="H426" s="69"/>
      <c r="I426" s="92">
        <v>0.05</v>
      </c>
      <c r="J426" s="93">
        <v>1000.0</v>
      </c>
      <c r="K426" s="73"/>
      <c r="L426" s="73"/>
      <c r="M426" s="73"/>
      <c r="N426" s="74"/>
    </row>
    <row r="427" ht="30.0" hidden="1" customHeight="1">
      <c r="A427" s="68">
        <v>428.0</v>
      </c>
      <c r="B427" s="68"/>
      <c r="C427" s="68"/>
      <c r="D427" s="69" t="str">
        <f>CONCATENATE(PROPER('DASMA INFO'!$G427),", ",PROPER('DASMA INFO'!$E427)," ",PROPER('DASMA INFO'!$F427),"."," (",UPPER('DASMA INFO'!$H427),")")</f>
        <v>Arcega, Rachele . ()</v>
      </c>
      <c r="E427" s="70" t="s">
        <v>1535</v>
      </c>
      <c r="F427" s="70"/>
      <c r="G427" s="70" t="s">
        <v>1536</v>
      </c>
      <c r="H427" s="69"/>
      <c r="I427" s="92">
        <v>0.05</v>
      </c>
      <c r="J427" s="93">
        <v>1000.0</v>
      </c>
      <c r="K427" s="73"/>
      <c r="L427" s="73"/>
      <c r="M427" s="73"/>
      <c r="N427" s="74"/>
    </row>
    <row r="428" ht="30.0" hidden="1" customHeight="1">
      <c r="A428" s="68">
        <v>429.0</v>
      </c>
      <c r="B428" s="68"/>
      <c r="C428" s="68"/>
      <c r="D428" s="69" t="str">
        <f>CONCATENATE(PROPER('DASMA INFO'!$G428),", ",PROPER('DASMA INFO'!$E428)," ",PROPER('DASMA INFO'!$F428),"."," (",UPPER('DASMA INFO'!$H428),")")</f>
        <v>Arcilla, Rebecca . ()</v>
      </c>
      <c r="E428" s="70" t="s">
        <v>1537</v>
      </c>
      <c r="F428" s="70"/>
      <c r="G428" s="70" t="s">
        <v>1538</v>
      </c>
      <c r="H428" s="69"/>
      <c r="I428" s="92">
        <v>0.05</v>
      </c>
      <c r="J428" s="93">
        <v>1000.0</v>
      </c>
      <c r="K428" s="73"/>
      <c r="L428" s="73"/>
      <c r="M428" s="73"/>
      <c r="N428" s="74"/>
    </row>
    <row r="429" ht="30.0" hidden="1" customHeight="1">
      <c r="A429" s="68">
        <v>430.0</v>
      </c>
      <c r="B429" s="68"/>
      <c r="C429" s="68"/>
      <c r="D429" s="69" t="str">
        <f>CONCATENATE(PROPER('DASMA INFO'!$G429),", ",PROPER('DASMA INFO'!$E429)," ",PROPER('DASMA INFO'!$F429),"."," (",UPPER('DASMA INFO'!$H429),")")</f>
        <v>Roman, Hazel . ()</v>
      </c>
      <c r="E429" s="70" t="s">
        <v>1539</v>
      </c>
      <c r="F429" s="70"/>
      <c r="G429" s="70" t="s">
        <v>1540</v>
      </c>
      <c r="H429" s="69"/>
      <c r="I429" s="92">
        <v>0.05</v>
      </c>
      <c r="J429" s="93">
        <v>1000.0</v>
      </c>
      <c r="K429" s="73"/>
      <c r="L429" s="73"/>
      <c r="M429" s="73"/>
      <c r="N429" s="74"/>
    </row>
    <row r="430" ht="30.0" hidden="1" customHeight="1">
      <c r="A430" s="68">
        <v>431.0</v>
      </c>
      <c r="B430" s="68"/>
      <c r="C430" s="68"/>
      <c r="D430" s="69" t="str">
        <f>CONCATENATE(PROPER('DASMA INFO'!$G430),", ",PROPER('DASMA INFO'!$E430)," ",PROPER('DASMA INFO'!$F430),"."," (",UPPER('DASMA INFO'!$H430),")")</f>
        <v>Peñano, Nolina . ()</v>
      </c>
      <c r="E430" s="70" t="s">
        <v>1541</v>
      </c>
      <c r="F430" s="70"/>
      <c r="G430" s="70" t="s">
        <v>1542</v>
      </c>
      <c r="H430" s="69"/>
      <c r="I430" s="92">
        <v>0.05</v>
      </c>
      <c r="J430" s="93">
        <v>1000.0</v>
      </c>
      <c r="K430" s="73"/>
      <c r="L430" s="73"/>
      <c r="M430" s="73"/>
      <c r="N430" s="74"/>
    </row>
    <row r="431" ht="30.0" hidden="1" customHeight="1">
      <c r="A431" s="68">
        <v>432.0</v>
      </c>
      <c r="B431" s="68"/>
      <c r="C431" s="68"/>
      <c r="D431" s="69" t="str">
        <f>CONCATENATE(PROPER('DASMA INFO'!$G431),", ",PROPER('DASMA INFO'!$E431)," ",PROPER('DASMA INFO'!$F431),"."," (",UPPER('DASMA INFO'!$H431),")")</f>
        <v>Peñano, Nolina . ()</v>
      </c>
      <c r="E431" s="70" t="s">
        <v>1541</v>
      </c>
      <c r="F431" s="70"/>
      <c r="G431" s="70" t="s">
        <v>1542</v>
      </c>
      <c r="H431" s="69"/>
      <c r="I431" s="92">
        <v>0.05</v>
      </c>
      <c r="J431" s="93">
        <v>1000.0</v>
      </c>
      <c r="K431" s="73"/>
      <c r="L431" s="73"/>
      <c r="M431" s="73"/>
      <c r="N431" s="74"/>
    </row>
    <row r="432" ht="30.0" hidden="1" customHeight="1">
      <c r="A432" s="68">
        <v>433.0</v>
      </c>
      <c r="B432" s="68"/>
      <c r="C432" s="68"/>
      <c r="D432" s="69" t="str">
        <f>CONCATENATE(PROPER('DASMA INFO'!$G432),", ",PROPER('DASMA INFO'!$E432)," ",PROPER('DASMA INFO'!$F432),"."," (",UPPER('DASMA INFO'!$H432),")")</f>
        <v>,  . ()</v>
      </c>
      <c r="E432" s="70"/>
      <c r="F432" s="70"/>
      <c r="G432" s="70"/>
      <c r="H432" s="69"/>
      <c r="I432" s="92">
        <v>0.05</v>
      </c>
      <c r="J432" s="93">
        <v>1000.0</v>
      </c>
      <c r="K432" s="73"/>
      <c r="L432" s="73"/>
      <c r="M432" s="73"/>
      <c r="N432" s="74"/>
    </row>
    <row r="433" ht="30.0" hidden="1" customHeight="1">
      <c r="A433" s="68">
        <v>434.0</v>
      </c>
      <c r="B433" s="68"/>
      <c r="C433" s="68"/>
      <c r="D433" s="69" t="str">
        <f>CONCATENATE(PROPER('DASMA INFO'!$G433),", ",PROPER('DASMA INFO'!$E433)," ",PROPER('DASMA INFO'!$F433),"."," (",UPPER('DASMA INFO'!$H433),")")</f>
        <v>Ramirez, Reynaldo . ()</v>
      </c>
      <c r="E433" s="70" t="s">
        <v>1028</v>
      </c>
      <c r="F433" s="70"/>
      <c r="G433" s="70" t="s">
        <v>716</v>
      </c>
      <c r="H433" s="69"/>
      <c r="I433" s="92">
        <v>0.05</v>
      </c>
      <c r="J433" s="93">
        <v>1000.0</v>
      </c>
      <c r="K433" s="73"/>
      <c r="L433" s="73"/>
      <c r="M433" s="73"/>
      <c r="N433" s="74"/>
    </row>
    <row r="434" ht="30.0" hidden="1" customHeight="1">
      <c r="A434" s="68">
        <v>435.0</v>
      </c>
      <c r="B434" s="68"/>
      <c r="C434" s="68"/>
      <c r="D434" s="69" t="str">
        <f>CONCATENATE(PROPER('DASMA INFO'!$G434),", ",PROPER('DASMA INFO'!$E434)," ",PROPER('DASMA INFO'!$F434),"."," (",UPPER('DASMA INFO'!$H434),")")</f>
        <v>Manalo, Enrico . ()</v>
      </c>
      <c r="E434" s="70" t="s">
        <v>1543</v>
      </c>
      <c r="F434" s="70"/>
      <c r="G434" s="70" t="s">
        <v>1544</v>
      </c>
      <c r="H434" s="69"/>
      <c r="I434" s="92">
        <v>0.05</v>
      </c>
      <c r="J434" s="93">
        <v>1000.0</v>
      </c>
      <c r="K434" s="73"/>
      <c r="L434" s="73"/>
      <c r="M434" s="73"/>
      <c r="N434" s="74"/>
    </row>
    <row r="435" ht="30.0" hidden="1" customHeight="1">
      <c r="A435" s="68">
        <v>436.0</v>
      </c>
      <c r="B435" s="68"/>
      <c r="C435" s="68"/>
      <c r="D435" s="69" t="str">
        <f>CONCATENATE(PROPER('DASMA INFO'!$G435),", ",PROPER('DASMA INFO'!$E435)," ",PROPER('DASMA INFO'!$F435),"."," (",UPPER('DASMA INFO'!$H435),")")</f>
        <v>Fernandez, Geraldine . ()</v>
      </c>
      <c r="E435" s="70" t="s">
        <v>1175</v>
      </c>
      <c r="F435" s="70"/>
      <c r="G435" s="70" t="s">
        <v>762</v>
      </c>
      <c r="H435" s="69"/>
      <c r="I435" s="92">
        <v>0.05</v>
      </c>
      <c r="J435" s="93">
        <v>1000.0</v>
      </c>
      <c r="K435" s="73"/>
      <c r="L435" s="73"/>
      <c r="M435" s="73"/>
      <c r="N435" s="74"/>
    </row>
    <row r="436" ht="30.0" hidden="1" customHeight="1">
      <c r="A436" s="68">
        <v>437.0</v>
      </c>
      <c r="B436" s="68"/>
      <c r="C436" s="68"/>
      <c r="D436" s="69" t="str">
        <f>CONCATENATE(PROPER('DASMA INFO'!$G436),", ",PROPER('DASMA INFO'!$E436)," ",PROPER('DASMA INFO'!$F436),"."," (",UPPER('DASMA INFO'!$H436),")")</f>
        <v>Panti, Fe . ()</v>
      </c>
      <c r="E436" s="70" t="s">
        <v>641</v>
      </c>
      <c r="F436" s="70"/>
      <c r="G436" s="70" t="s">
        <v>1545</v>
      </c>
      <c r="H436" s="69"/>
      <c r="I436" s="92">
        <v>0.05</v>
      </c>
      <c r="J436" s="93">
        <v>1000.0</v>
      </c>
      <c r="K436" s="73"/>
      <c r="L436" s="73"/>
      <c r="M436" s="73"/>
      <c r="N436" s="74"/>
    </row>
    <row r="437" ht="30.0" hidden="1" customHeight="1">
      <c r="A437" s="68">
        <v>438.0</v>
      </c>
      <c r="B437" s="68"/>
      <c r="C437" s="68"/>
      <c r="D437" s="69" t="str">
        <f>CONCATENATE(PROPER('DASMA INFO'!$G437),", ",PROPER('DASMA INFO'!$E437)," ",PROPER('DASMA INFO'!$F437),"."," (",UPPER('DASMA INFO'!$H437),")")</f>
        <v>Valencia, Felecitas . ()</v>
      </c>
      <c r="E437" s="70" t="s">
        <v>1546</v>
      </c>
      <c r="F437" s="70"/>
      <c r="G437" s="70" t="s">
        <v>898</v>
      </c>
      <c r="H437" s="69"/>
      <c r="I437" s="92">
        <v>0.05</v>
      </c>
      <c r="J437" s="93">
        <v>1000.0</v>
      </c>
      <c r="K437" s="73"/>
      <c r="L437" s="73"/>
      <c r="M437" s="73"/>
      <c r="N437" s="74"/>
    </row>
    <row r="438" ht="30.0" hidden="1" customHeight="1">
      <c r="A438" s="68">
        <v>439.0</v>
      </c>
      <c r="B438" s="68"/>
      <c r="C438" s="68"/>
      <c r="D438" s="69" t="str">
        <f>CONCATENATE(PROPER('DASMA INFO'!$G438),", ",PROPER('DASMA INFO'!$E438)," ",PROPER('DASMA INFO'!$F438),"."," (",UPPER('DASMA INFO'!$H438),")")</f>
        <v>Traquina, Jacqueline J. ()</v>
      </c>
      <c r="E438" s="70" t="s">
        <v>1547</v>
      </c>
      <c r="F438" s="70" t="s">
        <v>613</v>
      </c>
      <c r="G438" s="70" t="s">
        <v>1548</v>
      </c>
      <c r="H438" s="69"/>
      <c r="I438" s="92">
        <v>0.05</v>
      </c>
      <c r="J438" s="93">
        <v>1000.0</v>
      </c>
      <c r="K438" s="73"/>
      <c r="L438" s="73"/>
      <c r="M438" s="73"/>
      <c r="N438" s="74"/>
    </row>
    <row r="439" ht="30.0" hidden="1" customHeight="1">
      <c r="A439" s="68">
        <v>440.0</v>
      </c>
      <c r="B439" s="68"/>
      <c r="C439" s="68"/>
      <c r="D439" s="69" t="str">
        <f>CONCATENATE(PROPER('DASMA INFO'!$G439),", ",PROPER('DASMA INFO'!$E439)," ",PROPER('DASMA INFO'!$F439),"."," (",UPPER('DASMA INFO'!$H439),")")</f>
        <v>Quibuyen, Mark Anthony . ()</v>
      </c>
      <c r="E439" s="70" t="s">
        <v>77</v>
      </c>
      <c r="F439" s="70"/>
      <c r="G439" s="70" t="s">
        <v>1549</v>
      </c>
      <c r="H439" s="69"/>
      <c r="I439" s="92">
        <v>0.05</v>
      </c>
      <c r="J439" s="93">
        <v>1000.0</v>
      </c>
      <c r="K439" s="73"/>
      <c r="L439" s="73"/>
      <c r="M439" s="73"/>
      <c r="N439" s="74"/>
    </row>
    <row r="440" ht="30.0" hidden="1" customHeight="1">
      <c r="A440" s="68">
        <v>441.0</v>
      </c>
      <c r="B440" s="68"/>
      <c r="C440" s="68"/>
      <c r="D440" s="69" t="str">
        <f>CONCATENATE(PROPER('DASMA INFO'!$G440),", ",PROPER('DASMA INFO'!$E440)," ",PROPER('DASMA INFO'!$F440),"."," (",UPPER('DASMA INFO'!$H440),")")</f>
        <v>Mercado, John Teejay D. ()</v>
      </c>
      <c r="E440" s="70" t="s">
        <v>1550</v>
      </c>
      <c r="F440" s="70" t="s">
        <v>1078</v>
      </c>
      <c r="G440" s="70" t="s">
        <v>840</v>
      </c>
      <c r="H440" s="70"/>
      <c r="I440" s="92">
        <v>0.05</v>
      </c>
      <c r="J440" s="93">
        <v>1000.0</v>
      </c>
      <c r="K440" s="73" t="s">
        <v>1551</v>
      </c>
      <c r="L440" s="73"/>
      <c r="M440" s="73"/>
      <c r="N440" s="74"/>
    </row>
    <row r="441" ht="30.0" hidden="1" customHeight="1">
      <c r="A441" s="68">
        <v>446.0</v>
      </c>
      <c r="B441" s="68"/>
      <c r="C441" s="68"/>
      <c r="D441" s="69" t="str">
        <f>CONCATENATE(PROPER('DASMA INFO'!$G441),", ",PROPER('DASMA INFO'!$E441)," ",PROPER('DASMA INFO'!$F441),"."," (",UPPER('DASMA INFO'!$H441),")")</f>
        <v>Ebuenga, Welmer S. ()</v>
      </c>
      <c r="E441" s="70" t="s">
        <v>1552</v>
      </c>
      <c r="F441" s="70" t="s">
        <v>342</v>
      </c>
      <c r="G441" s="70" t="s">
        <v>1553</v>
      </c>
      <c r="H441" s="69"/>
      <c r="I441" s="92">
        <v>0.05</v>
      </c>
      <c r="J441" s="93">
        <v>1000.0</v>
      </c>
      <c r="K441" s="73"/>
      <c r="L441" s="73"/>
      <c r="M441" s="73"/>
      <c r="N441" s="74"/>
    </row>
    <row r="442" ht="30.0" hidden="1" customHeight="1">
      <c r="A442" s="68">
        <v>448.0</v>
      </c>
      <c r="B442" s="68"/>
      <c r="C442" s="68"/>
      <c r="D442" s="69" t="str">
        <f>CONCATENATE(PROPER('DASMA INFO'!$G442),", ",PROPER('DASMA INFO'!$E442)," ",PROPER('DASMA INFO'!$F442),"."," (",UPPER('DASMA INFO'!$H442),")")</f>
        <v>Saballa, Dante M. ()</v>
      </c>
      <c r="E442" s="70" t="s">
        <v>1005</v>
      </c>
      <c r="F442" s="70" t="s">
        <v>587</v>
      </c>
      <c r="G442" s="70" t="s">
        <v>1554</v>
      </c>
      <c r="H442" s="69"/>
      <c r="I442" s="92">
        <v>0.05</v>
      </c>
      <c r="J442" s="93">
        <v>1000.0</v>
      </c>
      <c r="K442" s="73" t="s">
        <v>1555</v>
      </c>
      <c r="L442" s="73"/>
      <c r="M442" s="73"/>
      <c r="N442" s="74"/>
    </row>
    <row r="443" ht="30.0" hidden="1" customHeight="1">
      <c r="A443" s="68">
        <v>451.0</v>
      </c>
      <c r="B443" s="68"/>
      <c r="C443" s="68"/>
      <c r="D443" s="69" t="str">
        <f>CONCATENATE(PROPER('DASMA INFO'!$G443),", ",PROPER('DASMA INFO'!$E443)," ",PROPER('DASMA INFO'!$F443),"."," (",UPPER('DASMA INFO'!$H443),")")</f>
        <v>De Jesus, Angelo M. ()</v>
      </c>
      <c r="E443" s="70" t="s">
        <v>347</v>
      </c>
      <c r="F443" s="70" t="s">
        <v>587</v>
      </c>
      <c r="G443" s="70" t="s">
        <v>1556</v>
      </c>
      <c r="H443" s="70"/>
      <c r="I443" s="92">
        <v>0.05</v>
      </c>
      <c r="J443" s="93">
        <v>1000.0</v>
      </c>
      <c r="K443" s="73" t="s">
        <v>953</v>
      </c>
      <c r="L443" s="73"/>
      <c r="M443" s="73"/>
      <c r="N443" s="74"/>
    </row>
    <row r="444" ht="30.0" hidden="1" customHeight="1">
      <c r="A444" s="68">
        <v>452.0</v>
      </c>
      <c r="B444" s="68"/>
      <c r="C444" s="68"/>
      <c r="D444" s="69" t="str">
        <f>CONCATENATE(PROPER('DASMA INFO'!$G444),", ",PROPER('DASMA INFO'!$E444)," ",PROPER('DASMA INFO'!$F444),"."," (",UPPER('DASMA INFO'!$H444),")")</f>
        <v>Arellano, Erick . ()</v>
      </c>
      <c r="E444" s="70" t="s">
        <v>1557</v>
      </c>
      <c r="F444" s="70"/>
      <c r="G444" s="70" t="s">
        <v>1558</v>
      </c>
      <c r="H444" s="70"/>
      <c r="I444" s="92">
        <v>0.05</v>
      </c>
      <c r="J444" s="93">
        <v>1000.0</v>
      </c>
      <c r="K444" s="73"/>
      <c r="L444" s="73"/>
      <c r="M444" s="73"/>
      <c r="N444" s="74"/>
    </row>
    <row r="445" ht="30.0" hidden="1" customHeight="1">
      <c r="A445" s="68">
        <v>453.0</v>
      </c>
      <c r="B445" s="68"/>
      <c r="C445" s="68"/>
      <c r="D445" s="69" t="str">
        <f>CONCATENATE(PROPER('DASMA INFO'!$G445),", ",PROPER('DASMA INFO'!$E445)," ",PROPER('DASMA INFO'!$F445),"."," (",UPPER('DASMA INFO'!$H445),")")</f>
        <v>Dela Cruz, Nenita . ()</v>
      </c>
      <c r="E445" s="70" t="s">
        <v>994</v>
      </c>
      <c r="F445" s="70"/>
      <c r="G445" s="70" t="s">
        <v>636</v>
      </c>
      <c r="H445" s="70"/>
      <c r="I445" s="92">
        <v>0.05</v>
      </c>
      <c r="J445" s="93">
        <v>1000.0</v>
      </c>
      <c r="K445" s="73"/>
      <c r="L445" s="73"/>
      <c r="M445" s="73"/>
      <c r="N445" s="74"/>
    </row>
    <row r="446" ht="30.0" hidden="1" customHeight="1">
      <c r="A446" s="68">
        <v>454.0</v>
      </c>
      <c r="B446" s="68"/>
      <c r="C446" s="68"/>
      <c r="D446" s="69" t="str">
        <f>CONCATENATE(PROPER('DASMA INFO'!$G446),", ",PROPER('DASMA INFO'!$E446)," ",PROPER('DASMA INFO'!$F446),"."," (",UPPER('DASMA INFO'!$H446),")")</f>
        <v>Villanueva, Garry . ()</v>
      </c>
      <c r="E446" s="70" t="s">
        <v>1559</v>
      </c>
      <c r="F446" s="70"/>
      <c r="G446" s="70" t="s">
        <v>454</v>
      </c>
      <c r="H446" s="70"/>
      <c r="I446" s="92">
        <v>0.05</v>
      </c>
      <c r="J446" s="93">
        <v>1000.0</v>
      </c>
      <c r="K446" s="73"/>
      <c r="L446" s="73"/>
      <c r="M446" s="73"/>
      <c r="N446" s="74"/>
    </row>
    <row r="447" ht="30.0" hidden="1" customHeight="1">
      <c r="A447" s="68">
        <v>455.0</v>
      </c>
      <c r="B447" s="68"/>
      <c r="C447" s="68"/>
      <c r="D447" s="69" t="str">
        <f>CONCATENATE(PROPER('DASMA INFO'!$G447),", ",PROPER('DASMA INFO'!$E447)," ",PROPER('DASMA INFO'!$F447),"."," (",UPPER('DASMA INFO'!$H447),")")</f>
        <v>Lando, Peter Paul . ()</v>
      </c>
      <c r="E447" s="70" t="s">
        <v>1560</v>
      </c>
      <c r="F447" s="70"/>
      <c r="G447" s="70" t="s">
        <v>1561</v>
      </c>
      <c r="H447" s="70"/>
      <c r="I447" s="92">
        <v>0.05</v>
      </c>
      <c r="J447" s="93">
        <v>1000.0</v>
      </c>
      <c r="K447" s="73"/>
      <c r="L447" s="73"/>
      <c r="M447" s="73"/>
      <c r="N447" s="74"/>
    </row>
    <row r="448" ht="30.0" hidden="1" customHeight="1">
      <c r="A448" s="68">
        <v>456.0</v>
      </c>
      <c r="B448" s="68"/>
      <c r="C448" s="68"/>
      <c r="D448" s="69" t="str">
        <f>CONCATENATE(PROPER('DASMA INFO'!$G448),", ",PROPER('DASMA INFO'!$E448)," ",PROPER('DASMA INFO'!$F448),"."," (",UPPER('DASMA INFO'!$H448),")")</f>
        <v>Rouzon, Oliver . ()</v>
      </c>
      <c r="E448" s="70" t="s">
        <v>349</v>
      </c>
      <c r="F448" s="70"/>
      <c r="G448" s="70" t="s">
        <v>1562</v>
      </c>
      <c r="H448" s="70"/>
      <c r="I448" s="92">
        <v>0.05</v>
      </c>
      <c r="J448" s="93">
        <v>1000.0</v>
      </c>
      <c r="K448" s="73"/>
      <c r="L448" s="73"/>
      <c r="M448" s="73"/>
      <c r="N448" s="74"/>
    </row>
    <row r="449" ht="30.0" hidden="1" customHeight="1">
      <c r="A449" s="68">
        <v>457.0</v>
      </c>
      <c r="B449" s="68"/>
      <c r="C449" s="68"/>
      <c r="D449" s="69" t="str">
        <f>CONCATENATE(PROPER('DASMA INFO'!$G449),", ",PROPER('DASMA INFO'!$E449)," ",PROPER('DASMA INFO'!$F449),"."," (",UPPER('DASMA INFO'!$H449),")")</f>
        <v>Ramirez, Reynaldo . ()</v>
      </c>
      <c r="E449" s="70" t="s">
        <v>1028</v>
      </c>
      <c r="F449" s="70"/>
      <c r="G449" s="70" t="s">
        <v>716</v>
      </c>
      <c r="H449" s="70"/>
      <c r="I449" s="92">
        <v>0.05</v>
      </c>
      <c r="J449" s="93">
        <v>1000.0</v>
      </c>
      <c r="K449" s="73"/>
      <c r="L449" s="73"/>
      <c r="M449" s="73"/>
      <c r="N449" s="74"/>
    </row>
    <row r="450" ht="30.0" hidden="1" customHeight="1">
      <c r="A450" s="68">
        <v>458.0</v>
      </c>
      <c r="B450" s="68"/>
      <c r="C450" s="68"/>
      <c r="D450" s="69" t="str">
        <f>CONCATENATE(PROPER('DASMA INFO'!$G450),", ",PROPER('DASMA INFO'!$E450)," ",PROPER('DASMA INFO'!$F450),"."," (",UPPER('DASMA INFO'!$H450),")")</f>
        <v>Potino, Marilou . ()</v>
      </c>
      <c r="E450" s="70" t="s">
        <v>538</v>
      </c>
      <c r="F450" s="70"/>
      <c r="G450" s="70" t="s">
        <v>1563</v>
      </c>
      <c r="H450" s="70"/>
      <c r="I450" s="92">
        <v>0.05</v>
      </c>
      <c r="J450" s="93">
        <v>1000.0</v>
      </c>
      <c r="K450" s="73"/>
      <c r="L450" s="73"/>
      <c r="M450" s="73"/>
      <c r="N450" s="74"/>
    </row>
    <row r="451" ht="30.0" hidden="1" customHeight="1">
      <c r="A451" s="68">
        <v>459.0</v>
      </c>
      <c r="B451" s="68"/>
      <c r="C451" s="68"/>
      <c r="D451" s="69" t="str">
        <f>CONCATENATE(PROPER('DASMA INFO'!$G451),", ",PROPER('DASMA INFO'!$E451)," ",PROPER('DASMA INFO'!$F451),"."," (",UPPER('DASMA INFO'!$H451),")")</f>
        <v>Hufavar Jr, Mario . ()</v>
      </c>
      <c r="E451" s="70" t="s">
        <v>1254</v>
      </c>
      <c r="F451" s="70"/>
      <c r="G451" s="70" t="s">
        <v>1564</v>
      </c>
      <c r="H451" s="70"/>
      <c r="I451" s="92">
        <v>0.05</v>
      </c>
      <c r="J451" s="93">
        <v>1000.0</v>
      </c>
      <c r="K451" s="73"/>
      <c r="L451" s="73"/>
      <c r="M451" s="73"/>
      <c r="N451" s="74"/>
    </row>
    <row r="452" ht="30.0" hidden="1" customHeight="1">
      <c r="A452" s="68">
        <v>460.0</v>
      </c>
      <c r="B452" s="68"/>
      <c r="C452" s="68"/>
      <c r="D452" s="69" t="str">
        <f>CONCATENATE(PROPER('DASMA INFO'!$G452),", ",PROPER('DASMA INFO'!$E452)," ",PROPER('DASMA INFO'!$F452),"."," (",UPPER('DASMA INFO'!$H452),")")</f>
        <v>Basada, Wilma . ()</v>
      </c>
      <c r="E452" s="70" t="s">
        <v>471</v>
      </c>
      <c r="F452" s="70"/>
      <c r="G452" s="70" t="s">
        <v>1565</v>
      </c>
      <c r="H452" s="70"/>
      <c r="I452" s="92">
        <v>0.05</v>
      </c>
      <c r="J452" s="93">
        <v>1000.0</v>
      </c>
      <c r="K452" s="73"/>
      <c r="L452" s="73"/>
      <c r="M452" s="73"/>
      <c r="N452" s="74"/>
    </row>
    <row r="453" ht="30.0" hidden="1" customHeight="1">
      <c r="A453" s="68">
        <v>461.0</v>
      </c>
      <c r="B453" s="68"/>
      <c r="C453" s="68"/>
      <c r="D453" s="69" t="str">
        <f>CONCATENATE(PROPER('DASMA INFO'!$G453),", ",PROPER('DASMA INFO'!$E453)," ",PROPER('DASMA INFO'!$F453),"."," (",UPPER('DASMA INFO'!$H453),")")</f>
        <v>Dunne, Gloria . ()</v>
      </c>
      <c r="E453" s="70" t="s">
        <v>1566</v>
      </c>
      <c r="F453" s="70"/>
      <c r="G453" s="69" t="s">
        <v>1567</v>
      </c>
      <c r="H453" s="69"/>
      <c r="I453" s="92">
        <v>0.05</v>
      </c>
      <c r="J453" s="93">
        <v>1000.0</v>
      </c>
      <c r="K453" s="73"/>
      <c r="L453" s="73"/>
      <c r="M453" s="73"/>
      <c r="N453" s="74"/>
    </row>
    <row r="454" ht="30.0" hidden="1" customHeight="1">
      <c r="A454" s="68">
        <v>462.0</v>
      </c>
      <c r="B454" s="68"/>
      <c r="C454" s="68"/>
      <c r="D454" s="69" t="str">
        <f>CONCATENATE(PROPER('DASMA INFO'!$G454),", ",PROPER('DASMA INFO'!$E454)," ",PROPER('DASMA INFO'!$F454),"."," (",UPPER('DASMA INFO'!$H454),")")</f>
        <v>Vega, Arlene . ()</v>
      </c>
      <c r="E454" s="70" t="s">
        <v>1568</v>
      </c>
      <c r="F454" s="70"/>
      <c r="G454" s="69" t="s">
        <v>1569</v>
      </c>
      <c r="H454" s="69"/>
      <c r="I454" s="92">
        <v>0.05</v>
      </c>
      <c r="J454" s="93">
        <v>1000.0</v>
      </c>
      <c r="K454" s="73"/>
      <c r="L454" s="73"/>
      <c r="M454" s="73"/>
      <c r="N454" s="74"/>
    </row>
    <row r="455" ht="30.0" hidden="1" customHeight="1">
      <c r="A455" s="68">
        <v>463.0</v>
      </c>
      <c r="B455" s="68"/>
      <c r="C455" s="68"/>
      <c r="D455" s="69" t="str">
        <f>CONCATENATE(PROPER('DASMA INFO'!$G455),", ",PROPER('DASMA INFO'!$E455)," ",PROPER('DASMA INFO'!$F455),"."," (",UPPER('DASMA INFO'!$H455),")")</f>
        <v>Campos, Sidney . ()</v>
      </c>
      <c r="E455" s="70" t="s">
        <v>1570</v>
      </c>
      <c r="F455" s="70"/>
      <c r="G455" s="69" t="s">
        <v>1571</v>
      </c>
      <c r="H455" s="69"/>
      <c r="I455" s="92">
        <v>0.05</v>
      </c>
      <c r="J455" s="93">
        <v>1000.0</v>
      </c>
      <c r="K455" s="73"/>
      <c r="L455" s="73"/>
      <c r="M455" s="73"/>
      <c r="N455" s="74"/>
    </row>
    <row r="456" ht="30.0" hidden="1" customHeight="1">
      <c r="A456" s="68">
        <v>464.0</v>
      </c>
      <c r="B456" s="68"/>
      <c r="C456" s="68"/>
      <c r="D456" s="69" t="str">
        <f>CONCATENATE(PROPER('DASMA INFO'!$G456),", ",PROPER('DASMA INFO'!$E456)," ",PROPER('DASMA INFO'!$F456),"."," (",UPPER('DASMA INFO'!$H456),")")</f>
        <v>Diño, Vilmer . ()</v>
      </c>
      <c r="E456" s="70" t="s">
        <v>1572</v>
      </c>
      <c r="F456" s="70"/>
      <c r="G456" s="69" t="s">
        <v>1573</v>
      </c>
      <c r="H456" s="69"/>
      <c r="I456" s="92">
        <v>0.05</v>
      </c>
      <c r="J456" s="93">
        <v>1000.0</v>
      </c>
      <c r="K456" s="73"/>
      <c r="L456" s="73"/>
      <c r="M456" s="73"/>
      <c r="N456" s="74"/>
    </row>
    <row r="457" ht="30.0" hidden="1" customHeight="1">
      <c r="A457" s="68">
        <v>465.0</v>
      </c>
      <c r="B457" s="68"/>
      <c r="C457" s="68"/>
      <c r="D457" s="69" t="str">
        <f>CONCATENATE(PROPER('DASMA INFO'!$G457),", ",PROPER('DASMA INFO'!$E457)," ",PROPER('DASMA INFO'!$F457),"."," (",UPPER('DASMA INFO'!$H457),")")</f>
        <v>Ramos, Jesus . ()</v>
      </c>
      <c r="E457" s="70" t="s">
        <v>803</v>
      </c>
      <c r="F457" s="70"/>
      <c r="G457" s="69" t="s">
        <v>74</v>
      </c>
      <c r="H457" s="69"/>
      <c r="I457" s="92">
        <v>0.05</v>
      </c>
      <c r="J457" s="93">
        <v>1000.0</v>
      </c>
      <c r="K457" s="73"/>
      <c r="L457" s="73"/>
      <c r="M457" s="73"/>
      <c r="N457" s="74"/>
    </row>
    <row r="458" ht="30.0" hidden="1" customHeight="1">
      <c r="A458" s="68">
        <v>466.0</v>
      </c>
      <c r="B458" s="68"/>
      <c r="C458" s="68"/>
      <c r="D458" s="69" t="str">
        <f>CONCATENATE(PROPER('DASMA INFO'!$G458),", ",PROPER('DASMA INFO'!$E458)," ",PROPER('DASMA INFO'!$F458),"."," (",UPPER('DASMA INFO'!$H458),")")</f>
        <v>Terillo, Ryotell . ()</v>
      </c>
      <c r="E458" s="70" t="s">
        <v>1574</v>
      </c>
      <c r="F458" s="70"/>
      <c r="G458" s="69" t="s">
        <v>1575</v>
      </c>
      <c r="H458" s="69"/>
      <c r="I458" s="92">
        <v>0.05</v>
      </c>
      <c r="J458" s="93">
        <v>1000.0</v>
      </c>
      <c r="K458" s="73"/>
      <c r="L458" s="73"/>
      <c r="M458" s="73"/>
      <c r="N458" s="74"/>
    </row>
    <row r="459" ht="30.0" hidden="1" customHeight="1">
      <c r="A459" s="68">
        <v>467.0</v>
      </c>
      <c r="B459" s="68"/>
      <c r="C459" s="68"/>
      <c r="D459" s="69" t="str">
        <f>CONCATENATE(PROPER('DASMA INFO'!$G459),", ",PROPER('DASMA INFO'!$E459)," ",PROPER('DASMA INFO'!$F459),"."," (",UPPER('DASMA INFO'!$H459),")")</f>
        <v>Desaville, Marissa . ()</v>
      </c>
      <c r="E459" s="70" t="s">
        <v>227</v>
      </c>
      <c r="F459" s="70"/>
      <c r="G459" s="69" t="s">
        <v>1576</v>
      </c>
      <c r="H459" s="69"/>
      <c r="I459" s="92">
        <v>0.05</v>
      </c>
      <c r="J459" s="93">
        <v>1000.0</v>
      </c>
      <c r="K459" s="73"/>
      <c r="L459" s="73"/>
      <c r="M459" s="73"/>
      <c r="N459" s="74"/>
    </row>
    <row r="460" ht="30.0" hidden="1" customHeight="1">
      <c r="A460" s="68">
        <v>468.0</v>
      </c>
      <c r="B460" s="68"/>
      <c r="C460" s="68"/>
      <c r="D460" s="69" t="str">
        <f>CONCATENATE(PROPER('DASMA INFO'!$G460),", ",PROPER('DASMA INFO'!$E460)," ",PROPER('DASMA INFO'!$F460),"."," (",UPPER('DASMA INFO'!$H460),")")</f>
        <v>Cuerdo, Jeffrey . ()</v>
      </c>
      <c r="E460" s="70" t="s">
        <v>1577</v>
      </c>
      <c r="F460" s="70"/>
      <c r="G460" s="69" t="s">
        <v>1578</v>
      </c>
      <c r="H460" s="69"/>
      <c r="I460" s="92">
        <v>0.05</v>
      </c>
      <c r="J460" s="93">
        <v>1000.0</v>
      </c>
      <c r="K460" s="73"/>
      <c r="L460" s="73"/>
      <c r="M460" s="73"/>
      <c r="N460" s="74"/>
    </row>
    <row r="461" ht="30.0" hidden="1" customHeight="1">
      <c r="A461" s="68">
        <v>469.0</v>
      </c>
      <c r="B461" s="68"/>
      <c r="C461" s="68"/>
      <c r="D461" s="69" t="str">
        <f>CONCATENATE(PROPER('DASMA INFO'!$G461),", ",PROPER('DASMA INFO'!$E461)," ",PROPER('DASMA INFO'!$F461),"."," (",UPPER('DASMA INFO'!$H461),")")</f>
        <v>Magtangob, Ernesto . ()</v>
      </c>
      <c r="E461" s="70" t="s">
        <v>1579</v>
      </c>
      <c r="F461" s="70"/>
      <c r="G461" s="69" t="s">
        <v>1580</v>
      </c>
      <c r="H461" s="69"/>
      <c r="I461" s="92">
        <v>0.05</v>
      </c>
      <c r="J461" s="93">
        <v>1000.0</v>
      </c>
      <c r="K461" s="73"/>
      <c r="L461" s="73"/>
      <c r="M461" s="73"/>
      <c r="N461" s="74"/>
    </row>
    <row r="462" ht="30.0" hidden="1" customHeight="1">
      <c r="A462" s="68">
        <v>470.0</v>
      </c>
      <c r="B462" s="68"/>
      <c r="C462" s="68"/>
      <c r="D462" s="69" t="str">
        <f>CONCATENATE(PROPER('DASMA INFO'!$G462),", ",PROPER('DASMA INFO'!$E462)," ",PROPER('DASMA INFO'!$F462),"."," (",UPPER('DASMA INFO'!$H462),")")</f>
        <v>Desaville, Marissa . ()</v>
      </c>
      <c r="E462" s="70" t="s">
        <v>227</v>
      </c>
      <c r="F462" s="70"/>
      <c r="G462" s="69" t="s">
        <v>1576</v>
      </c>
      <c r="H462" s="69"/>
      <c r="I462" s="92">
        <v>0.05</v>
      </c>
      <c r="J462" s="93">
        <v>1000.0</v>
      </c>
      <c r="K462" s="73"/>
      <c r="L462" s="73"/>
      <c r="M462" s="73"/>
      <c r="N462" s="74"/>
    </row>
    <row r="463" ht="30.0" hidden="1" customHeight="1">
      <c r="A463" s="68">
        <v>471.0</v>
      </c>
      <c r="B463" s="68"/>
      <c r="C463" s="68"/>
      <c r="D463" s="69" t="str">
        <f>CONCATENATE(PROPER('DASMA INFO'!$G463),", ",PROPER('DASMA INFO'!$E463)," ",PROPER('DASMA INFO'!$F463),"."," (",UPPER('DASMA INFO'!$H463),")")</f>
        <v>Tuvera, Denn . ()</v>
      </c>
      <c r="E463" s="70" t="s">
        <v>1581</v>
      </c>
      <c r="F463" s="70"/>
      <c r="G463" s="69" t="s">
        <v>1582</v>
      </c>
      <c r="H463" s="69"/>
      <c r="I463" s="92">
        <v>0.05</v>
      </c>
      <c r="J463" s="93">
        <v>1000.0</v>
      </c>
      <c r="K463" s="73"/>
      <c r="L463" s="73"/>
      <c r="M463" s="73"/>
      <c r="N463" s="74"/>
    </row>
    <row r="464" ht="30.0" hidden="1" customHeight="1">
      <c r="A464" s="68">
        <v>472.0</v>
      </c>
      <c r="B464" s="68"/>
      <c r="C464" s="68"/>
      <c r="D464" s="69" t="str">
        <f>CONCATENATE(PROPER('DASMA INFO'!$G464),", ",PROPER('DASMA INFO'!$E464)," ",PROPER('DASMA INFO'!$F464),"."," (",UPPER('DASMA INFO'!$H464),")")</f>
        <v>Tabisnao, Josephine . ()</v>
      </c>
      <c r="E464" s="70" t="s">
        <v>137</v>
      </c>
      <c r="F464" s="70"/>
      <c r="G464" s="69" t="s">
        <v>1583</v>
      </c>
      <c r="H464" s="69"/>
      <c r="I464" s="92">
        <v>0.05</v>
      </c>
      <c r="J464" s="93">
        <v>1000.0</v>
      </c>
      <c r="K464" s="73"/>
      <c r="L464" s="73"/>
      <c r="M464" s="73"/>
      <c r="N464" s="74"/>
    </row>
    <row r="465" ht="30.0" hidden="1" customHeight="1">
      <c r="A465" s="68">
        <v>473.0</v>
      </c>
      <c r="B465" s="68"/>
      <c r="C465" s="68"/>
      <c r="D465" s="69" t="str">
        <f>CONCATENATE(PROPER('DASMA INFO'!$G465),", ",PROPER('DASMA INFO'!$E465)," ",PROPER('DASMA INFO'!$F465),"."," (",UPPER('DASMA INFO'!$H465),")")</f>
        <v>Chaves, Edgar . ()</v>
      </c>
      <c r="E465" s="70" t="s">
        <v>1584</v>
      </c>
      <c r="F465" s="70"/>
      <c r="G465" s="69" t="s">
        <v>1585</v>
      </c>
      <c r="H465" s="69"/>
      <c r="I465" s="92">
        <v>0.05</v>
      </c>
      <c r="J465" s="93">
        <v>1000.0</v>
      </c>
      <c r="K465" s="73"/>
      <c r="L465" s="73"/>
      <c r="M465" s="73"/>
      <c r="N465" s="74"/>
    </row>
    <row r="466" ht="30.0" hidden="1" customHeight="1">
      <c r="A466" s="68">
        <v>474.0</v>
      </c>
      <c r="B466" s="68"/>
      <c r="C466" s="68"/>
      <c r="D466" s="69" t="str">
        <f>CONCATENATE(PROPER('DASMA INFO'!$G466),", ",PROPER('DASMA INFO'!$E466)," ",PROPER('DASMA INFO'!$F466),"."," (",UPPER('DASMA INFO'!$H466),")")</f>
        <v>Ramos, Emerlito Rey S. ()</v>
      </c>
      <c r="E466" s="70" t="s">
        <v>1586</v>
      </c>
      <c r="F466" s="70" t="s">
        <v>342</v>
      </c>
      <c r="G466" s="70" t="s">
        <v>74</v>
      </c>
      <c r="H466" s="70"/>
      <c r="I466" s="92">
        <v>0.05</v>
      </c>
      <c r="J466" s="93">
        <v>1000.0</v>
      </c>
      <c r="K466" s="73" t="s">
        <v>1555</v>
      </c>
      <c r="L466" s="73"/>
      <c r="M466" s="73"/>
      <c r="N466" s="74"/>
    </row>
    <row r="467" ht="30.0" hidden="1" customHeight="1">
      <c r="A467" s="68">
        <v>475.0</v>
      </c>
      <c r="B467" s="68"/>
      <c r="C467" s="68"/>
      <c r="D467" s="69" t="str">
        <f>CONCATENATE(PROPER('DASMA INFO'!$G467),", ",PROPER('DASMA INFO'!$E467)," ",PROPER('DASMA INFO'!$F467),"."," (",UPPER('DASMA INFO'!$H467),")")</f>
        <v>Repil, Annaliza . ()</v>
      </c>
      <c r="E467" s="70" t="s">
        <v>1587</v>
      </c>
      <c r="F467" s="70"/>
      <c r="G467" s="70" t="s">
        <v>1588</v>
      </c>
      <c r="H467" s="70"/>
      <c r="I467" s="92">
        <v>0.05</v>
      </c>
      <c r="J467" s="93">
        <v>1000.0</v>
      </c>
      <c r="K467" s="73"/>
      <c r="L467" s="73"/>
      <c r="M467" s="73"/>
      <c r="N467" s="74"/>
    </row>
    <row r="468" ht="30.0" hidden="1" customHeight="1">
      <c r="A468" s="68">
        <v>476.0</v>
      </c>
      <c r="B468" s="68"/>
      <c r="C468" s="68"/>
      <c r="D468" s="69" t="str">
        <f>CONCATENATE(PROPER('DASMA INFO'!$G468),", ",PROPER('DASMA INFO'!$E468)," ",PROPER('DASMA INFO'!$F468),"."," (",UPPER('DASMA INFO'!$H468),")")</f>
        <v>Uhomoibhi, Trinitas . ()</v>
      </c>
      <c r="E468" s="70" t="s">
        <v>1589</v>
      </c>
      <c r="F468" s="70"/>
      <c r="G468" s="70" t="s">
        <v>1590</v>
      </c>
      <c r="H468" s="70"/>
      <c r="I468" s="92">
        <v>0.05</v>
      </c>
      <c r="J468" s="93">
        <v>1000.0</v>
      </c>
      <c r="K468" s="73"/>
      <c r="L468" s="73"/>
      <c r="M468" s="73"/>
      <c r="N468" s="74"/>
    </row>
    <row r="469" ht="30.0" hidden="1" customHeight="1">
      <c r="A469" s="68">
        <v>477.0</v>
      </c>
      <c r="B469" s="94"/>
      <c r="C469" s="94"/>
      <c r="D469" s="69" t="str">
        <f>CONCATENATE(PROPER('DASMA INFO'!$G469),", ",PROPER('DASMA INFO'!$E469)," ",PROPER('DASMA INFO'!$F469),"."," (",UPPER('DASMA INFO'!$H469),")")</f>
        <v>Panti, Fe . ()</v>
      </c>
      <c r="E469" s="100" t="s">
        <v>641</v>
      </c>
      <c r="F469" s="100"/>
      <c r="G469" s="101" t="s">
        <v>1545</v>
      </c>
      <c r="H469" s="101"/>
      <c r="I469" s="92">
        <v>0.05</v>
      </c>
      <c r="J469" s="93">
        <v>1000.0</v>
      </c>
      <c r="K469" s="102"/>
      <c r="L469" s="102"/>
      <c r="M469" s="102"/>
      <c r="N469" s="98"/>
    </row>
    <row r="470" ht="30.0" hidden="1" customHeight="1">
      <c r="A470" s="68">
        <v>478.0</v>
      </c>
      <c r="B470" s="68"/>
      <c r="C470" s="68"/>
      <c r="D470" s="69" t="str">
        <f>CONCATENATE(PROPER('DASMA INFO'!$G470),", ",PROPER('DASMA INFO'!$E470)," ",PROPER('DASMA INFO'!$F470),"."," (",UPPER('DASMA INFO'!$H470),")")</f>
        <v>,  . ()</v>
      </c>
      <c r="E470" s="103"/>
      <c r="F470" s="70"/>
      <c r="G470" s="69"/>
      <c r="H470" s="69"/>
      <c r="I470" s="92">
        <v>0.05</v>
      </c>
      <c r="J470" s="93">
        <v>1000.0</v>
      </c>
      <c r="K470" s="73"/>
      <c r="L470" s="73"/>
      <c r="M470" s="73"/>
      <c r="N470" s="74"/>
    </row>
    <row r="471" ht="30.0" hidden="1" customHeight="1">
      <c r="A471" s="68">
        <v>479.0</v>
      </c>
      <c r="B471" s="68"/>
      <c r="C471" s="68"/>
      <c r="D471" s="69" t="str">
        <f>CONCATENATE(PROPER('DASMA INFO'!$G471),", ",PROPER('DASMA INFO'!$E471)," ",PROPER('DASMA INFO'!$F471),"."," (",UPPER('DASMA INFO'!$H471),")")</f>
        <v>,  . ()</v>
      </c>
      <c r="E471" s="103"/>
      <c r="F471" s="70"/>
      <c r="G471" s="69"/>
      <c r="H471" s="69"/>
      <c r="I471" s="92">
        <v>0.05</v>
      </c>
      <c r="J471" s="93">
        <v>1000.0</v>
      </c>
      <c r="K471" s="73"/>
      <c r="L471" s="73"/>
      <c r="M471" s="73"/>
      <c r="N471" s="74"/>
    </row>
    <row r="472" ht="30.0" hidden="1" customHeight="1">
      <c r="A472" s="68">
        <v>480.0</v>
      </c>
      <c r="B472" s="68"/>
      <c r="C472" s="68"/>
      <c r="D472" s="69" t="str">
        <f>CONCATENATE(PROPER('DASMA INFO'!$G472),", ",PROPER('DASMA INFO'!$E472)," ",PROPER('DASMA INFO'!$F472),"."," (",UPPER('DASMA INFO'!$H472),")")</f>
        <v>,  . ()</v>
      </c>
      <c r="E472" s="103"/>
      <c r="F472" s="70"/>
      <c r="G472" s="69"/>
      <c r="H472" s="69"/>
      <c r="I472" s="92">
        <v>0.05</v>
      </c>
      <c r="J472" s="93">
        <v>1000.0</v>
      </c>
      <c r="K472" s="73"/>
      <c r="L472" s="73"/>
      <c r="M472" s="73"/>
      <c r="N472" s="74"/>
    </row>
    <row r="473" ht="30.0" hidden="1" customHeight="1">
      <c r="A473" s="68">
        <v>481.0</v>
      </c>
      <c r="B473" s="68"/>
      <c r="C473" s="68"/>
      <c r="D473" s="69" t="str">
        <f>CONCATENATE(PROPER('DASMA INFO'!$G473),", ",PROPER('DASMA INFO'!$E473)," ",PROPER('DASMA INFO'!$F473),"."," (",UPPER('DASMA INFO'!$H473),")")</f>
        <v>,  . ()</v>
      </c>
      <c r="E473" s="103"/>
      <c r="F473" s="70"/>
      <c r="G473" s="69"/>
      <c r="H473" s="69"/>
      <c r="I473" s="92">
        <v>0.05</v>
      </c>
      <c r="J473" s="93">
        <v>1000.0</v>
      </c>
      <c r="K473" s="73"/>
      <c r="L473" s="73"/>
      <c r="M473" s="73"/>
      <c r="N473" s="74"/>
    </row>
    <row r="474" ht="30.0" hidden="1" customHeight="1">
      <c r="A474" s="68">
        <v>482.0</v>
      </c>
      <c r="B474" s="68"/>
      <c r="C474" s="68"/>
      <c r="D474" s="69" t="str">
        <f>CONCATENATE(PROPER('DASMA INFO'!$G474),", ",PROPER('DASMA INFO'!$E474)," ",PROPER('DASMA INFO'!$F474),"."," (",UPPER('DASMA INFO'!$H474),")")</f>
        <v>,  . ()</v>
      </c>
      <c r="E474" s="103"/>
      <c r="F474" s="70"/>
      <c r="G474" s="69"/>
      <c r="H474" s="69"/>
      <c r="I474" s="92">
        <v>0.05</v>
      </c>
      <c r="J474" s="93">
        <v>1000.0</v>
      </c>
      <c r="K474" s="73"/>
      <c r="L474" s="73"/>
      <c r="M474" s="73"/>
      <c r="N474" s="74"/>
    </row>
    <row r="475" ht="30.0" hidden="1" customHeight="1">
      <c r="A475" s="68">
        <v>483.0</v>
      </c>
      <c r="B475" s="68"/>
      <c r="C475" s="68"/>
      <c r="D475" s="69" t="str">
        <f>CONCATENATE(PROPER('DASMA INFO'!$G475),", ",PROPER('DASMA INFO'!$E475)," ",PROPER('DASMA INFO'!$F475),"."," (",UPPER('DASMA INFO'!$H475),")")</f>
        <v>,  . ()</v>
      </c>
      <c r="E475" s="103"/>
      <c r="F475" s="70"/>
      <c r="G475" s="69"/>
      <c r="H475" s="69"/>
      <c r="I475" s="92">
        <v>0.05</v>
      </c>
      <c r="J475" s="93">
        <v>1000.0</v>
      </c>
      <c r="K475" s="73"/>
      <c r="L475" s="73"/>
      <c r="M475" s="73"/>
      <c r="N475" s="74"/>
    </row>
    <row r="476" ht="30.0" hidden="1" customHeight="1">
      <c r="A476" s="68">
        <v>484.0</v>
      </c>
      <c r="B476" s="68"/>
      <c r="C476" s="68"/>
      <c r="D476" s="69" t="str">
        <f>CONCATENATE(PROPER('DASMA INFO'!$G476),", ",PROPER('DASMA INFO'!$E476)," ",PROPER('DASMA INFO'!$F476),"."," (",UPPER('DASMA INFO'!$H476),")")</f>
        <v>,  . ()</v>
      </c>
      <c r="E476" s="103"/>
      <c r="F476" s="70"/>
      <c r="G476" s="69"/>
      <c r="H476" s="69"/>
      <c r="I476" s="92">
        <v>0.05</v>
      </c>
      <c r="J476" s="93">
        <v>1000.0</v>
      </c>
      <c r="K476" s="73"/>
      <c r="L476" s="73"/>
      <c r="M476" s="73"/>
      <c r="N476" s="74"/>
    </row>
    <row r="477" ht="30.0" hidden="1" customHeight="1">
      <c r="A477" s="68">
        <v>485.0</v>
      </c>
      <c r="B477" s="68"/>
      <c r="C477" s="68"/>
      <c r="D477" s="69" t="str">
        <f>CONCATENATE(PROPER('DASMA INFO'!$G477),", ",PROPER('DASMA INFO'!$E477)," ",PROPER('DASMA INFO'!$F477),"."," (",UPPER('DASMA INFO'!$H477),")")</f>
        <v>,  . ()</v>
      </c>
      <c r="E477" s="103"/>
      <c r="F477" s="70"/>
      <c r="G477" s="69"/>
      <c r="H477" s="69"/>
      <c r="I477" s="92">
        <v>0.05</v>
      </c>
      <c r="J477" s="93">
        <v>1000.0</v>
      </c>
      <c r="K477" s="73"/>
      <c r="L477" s="73"/>
      <c r="M477" s="73"/>
      <c r="N477" s="74"/>
    </row>
    <row r="478" ht="30.0" hidden="1" customHeight="1">
      <c r="A478" s="68">
        <v>486.0</v>
      </c>
      <c r="B478" s="68"/>
      <c r="C478" s="68"/>
      <c r="D478" s="69" t="str">
        <f>CONCATENATE(PROPER('DASMA INFO'!$G478),", ",PROPER('DASMA INFO'!$E478)," ",PROPER('DASMA INFO'!$F478),"."," (",UPPER('DASMA INFO'!$H478),")")</f>
        <v>,  . ()</v>
      </c>
      <c r="E478" s="103"/>
      <c r="F478" s="70"/>
      <c r="G478" s="69"/>
      <c r="H478" s="69"/>
      <c r="I478" s="92">
        <v>0.05</v>
      </c>
      <c r="J478" s="93">
        <v>1000.0</v>
      </c>
      <c r="K478" s="73"/>
      <c r="L478" s="73"/>
      <c r="M478" s="73"/>
      <c r="N478" s="74"/>
    </row>
    <row r="479" ht="30.0" hidden="1" customHeight="1">
      <c r="A479" s="68">
        <v>487.0</v>
      </c>
      <c r="B479" s="68"/>
      <c r="C479" s="68"/>
      <c r="D479" s="69" t="str">
        <f>CONCATENATE(PROPER('DASMA INFO'!$G479),", ",PROPER('DASMA INFO'!$E479)," ",PROPER('DASMA INFO'!$F479),"."," (",UPPER('DASMA INFO'!$H479),")")</f>
        <v>,  . ()</v>
      </c>
      <c r="E479" s="103"/>
      <c r="F479" s="70"/>
      <c r="G479" s="69"/>
      <c r="H479" s="69"/>
      <c r="I479" s="92">
        <v>0.05</v>
      </c>
      <c r="J479" s="93">
        <v>1000.0</v>
      </c>
      <c r="K479" s="73"/>
      <c r="L479" s="73"/>
      <c r="M479" s="73"/>
      <c r="N479" s="74"/>
    </row>
    <row r="480" ht="30.0" hidden="1" customHeight="1">
      <c r="A480" s="68">
        <v>488.0</v>
      </c>
      <c r="B480" s="68"/>
      <c r="C480" s="68"/>
      <c r="D480" s="69" t="str">
        <f>CONCATENATE(PROPER('DASMA INFO'!$G480),", ",PROPER('DASMA INFO'!$E480)," ",PROPER('DASMA INFO'!$F480),"."," (",UPPER('DASMA INFO'!$H480),")")</f>
        <v>,  . ()</v>
      </c>
      <c r="E480" s="103"/>
      <c r="F480" s="70"/>
      <c r="G480" s="69"/>
      <c r="H480" s="69"/>
      <c r="I480" s="92">
        <v>0.05</v>
      </c>
      <c r="J480" s="93">
        <v>1000.0</v>
      </c>
      <c r="K480" s="73"/>
      <c r="L480" s="73"/>
      <c r="M480" s="73"/>
      <c r="N480" s="74"/>
    </row>
    <row r="481" ht="30.0" hidden="1" customHeight="1">
      <c r="A481" s="68">
        <v>489.0</v>
      </c>
      <c r="B481" s="68"/>
      <c r="C481" s="68"/>
      <c r="D481" s="69" t="str">
        <f>CONCATENATE(PROPER('DASMA INFO'!$G481),", ",PROPER('DASMA INFO'!$E481)," ",PROPER('DASMA INFO'!$F481),"."," (",UPPER('DASMA INFO'!$H481),")")</f>
        <v>,  . ()</v>
      </c>
      <c r="E481" s="103"/>
      <c r="F481" s="70"/>
      <c r="G481" s="69"/>
      <c r="H481" s="69"/>
      <c r="I481" s="92">
        <v>0.05</v>
      </c>
      <c r="J481" s="93">
        <v>1000.0</v>
      </c>
      <c r="K481" s="73"/>
      <c r="L481" s="73"/>
      <c r="M481" s="73"/>
      <c r="N481" s="74"/>
    </row>
    <row r="482" ht="30.0" hidden="1" customHeight="1">
      <c r="A482" s="68">
        <v>490.0</v>
      </c>
      <c r="B482" s="68"/>
      <c r="C482" s="68"/>
      <c r="D482" s="69" t="str">
        <f>CONCATENATE(PROPER('DASMA INFO'!$G482),", ",PROPER('DASMA INFO'!$E482)," ",PROPER('DASMA INFO'!$F482),"."," (",UPPER('DASMA INFO'!$H482),")")</f>
        <v>Cañete, Camil . ()</v>
      </c>
      <c r="E482" s="104" t="s">
        <v>1591</v>
      </c>
      <c r="F482" s="70"/>
      <c r="G482" s="69" t="s">
        <v>1592</v>
      </c>
      <c r="H482" s="69"/>
      <c r="I482" s="92">
        <v>0.05</v>
      </c>
      <c r="J482" s="93">
        <v>1000.0</v>
      </c>
      <c r="K482" s="73"/>
      <c r="L482" s="73"/>
      <c r="M482" s="73"/>
      <c r="N482" s="98"/>
    </row>
    <row r="483" ht="30.0" hidden="1" customHeight="1">
      <c r="A483" s="68">
        <v>491.0</v>
      </c>
      <c r="B483" s="68"/>
      <c r="C483" s="68"/>
      <c r="D483" s="69" t="str">
        <f>CONCATENATE(PROPER('DASMA INFO'!$G483),", ",PROPER('DASMA INFO'!$E483)," ",PROPER('DASMA INFO'!$F483),"."," (",UPPER('DASMA INFO'!$H483),")")</f>
        <v>Kitane, Aida . ()</v>
      </c>
      <c r="E483" s="104" t="s">
        <v>1593</v>
      </c>
      <c r="F483" s="70"/>
      <c r="G483" s="69" t="s">
        <v>1594</v>
      </c>
      <c r="H483" s="69"/>
      <c r="I483" s="92">
        <v>0.05</v>
      </c>
      <c r="J483" s="93">
        <v>1000.0</v>
      </c>
      <c r="K483" s="73"/>
      <c r="L483" s="73"/>
      <c r="M483" s="73"/>
      <c r="N483" s="98"/>
    </row>
    <row r="484" ht="30.0" hidden="1" customHeight="1">
      <c r="A484" s="68">
        <v>492.0</v>
      </c>
      <c r="B484" s="68"/>
      <c r="C484" s="68"/>
      <c r="D484" s="69" t="str">
        <f>CONCATENATE(PROPER('DASMA INFO'!$G484),", ",PROPER('DASMA INFO'!$E484)," ",PROPER('DASMA INFO'!$F484),"."," (",UPPER('DASMA INFO'!$H484),")")</f>
        <v>Bitavarra, Virginia G. ()</v>
      </c>
      <c r="E484" s="70" t="s">
        <v>655</v>
      </c>
      <c r="F484" s="70" t="s">
        <v>1032</v>
      </c>
      <c r="G484" s="70" t="s">
        <v>1595</v>
      </c>
      <c r="H484" s="69"/>
      <c r="I484" s="92">
        <v>0.05</v>
      </c>
      <c r="J484" s="93">
        <v>1000.0</v>
      </c>
      <c r="K484" s="73" t="s">
        <v>1596</v>
      </c>
      <c r="L484" s="73"/>
      <c r="M484" s="73"/>
      <c r="N484" s="74"/>
    </row>
    <row r="485" ht="30.0" hidden="1" customHeight="1">
      <c r="A485" s="68">
        <v>493.0</v>
      </c>
      <c r="B485" s="68"/>
      <c r="C485" s="68"/>
      <c r="D485" s="69" t="str">
        <f>CONCATENATE(PROPER('DASMA INFO'!$G485),", ",PROPER('DASMA INFO'!$E485)," ",PROPER('DASMA INFO'!$F485),"."," (",UPPER('DASMA INFO'!$H485),")")</f>
        <v>Gaspi, Elva . ()</v>
      </c>
      <c r="E485" s="70" t="s">
        <v>1597</v>
      </c>
      <c r="F485" s="70"/>
      <c r="G485" s="70" t="s">
        <v>1598</v>
      </c>
      <c r="H485" s="69"/>
      <c r="I485" s="92">
        <v>0.05</v>
      </c>
      <c r="J485" s="93">
        <v>1000.0</v>
      </c>
      <c r="K485" s="73"/>
      <c r="L485" s="73"/>
      <c r="M485" s="73"/>
      <c r="N485" s="74"/>
    </row>
    <row r="486" ht="30.0" hidden="1" customHeight="1">
      <c r="A486" s="68">
        <v>494.0</v>
      </c>
      <c r="B486" s="68"/>
      <c r="C486" s="68"/>
      <c r="D486" s="69" t="str">
        <f>CONCATENATE(PROPER('DASMA INFO'!$G486),", ",PROPER('DASMA INFO'!$E486)," ",PROPER('DASMA INFO'!$F486),"."," (",UPPER('DASMA INFO'!$H486),")")</f>
        <v>Manzanero, Hina Shella . ()</v>
      </c>
      <c r="E486" s="70" t="s">
        <v>1599</v>
      </c>
      <c r="F486" s="70"/>
      <c r="G486" s="70" t="s">
        <v>1600</v>
      </c>
      <c r="H486" s="69"/>
      <c r="I486" s="92">
        <v>0.05</v>
      </c>
      <c r="J486" s="93">
        <v>1000.0</v>
      </c>
      <c r="K486" s="73"/>
      <c r="L486" s="73"/>
      <c r="M486" s="73"/>
      <c r="N486" s="74"/>
    </row>
    <row r="487" ht="30.0" hidden="1" customHeight="1">
      <c r="A487" s="68">
        <v>495.0</v>
      </c>
      <c r="B487" s="68"/>
      <c r="C487" s="68"/>
      <c r="D487" s="69" t="str">
        <f>CONCATENATE(PROPER('DASMA INFO'!$G487),", ",PROPER('DASMA INFO'!$E487)," ",PROPER('DASMA INFO'!$F487),"."," (",UPPER('DASMA INFO'!$H487),")")</f>
        <v>Nacionales, Mike . ()</v>
      </c>
      <c r="E487" s="70" t="s">
        <v>1601</v>
      </c>
      <c r="F487" s="70"/>
      <c r="G487" s="70" t="s">
        <v>1413</v>
      </c>
      <c r="H487" s="69"/>
      <c r="I487" s="92">
        <v>0.05</v>
      </c>
      <c r="J487" s="93">
        <v>1000.0</v>
      </c>
      <c r="K487" s="73"/>
      <c r="L487" s="73"/>
      <c r="M487" s="73"/>
      <c r="N487" s="74"/>
    </row>
    <row r="488" ht="30.0" hidden="1" customHeight="1">
      <c r="A488" s="68">
        <v>496.0</v>
      </c>
      <c r="B488" s="68"/>
      <c r="C488" s="68"/>
      <c r="D488" s="69" t="str">
        <f>CONCATENATE(PROPER('DASMA INFO'!$G488),", ",PROPER('DASMA INFO'!$E488)," ",PROPER('DASMA INFO'!$F488),"."," (",UPPER('DASMA INFO'!$H488),")")</f>
        <v>Fornal, Jay . ()</v>
      </c>
      <c r="E488" s="70" t="s">
        <v>1602</v>
      </c>
      <c r="F488" s="70"/>
      <c r="G488" s="69" t="s">
        <v>173</v>
      </c>
      <c r="H488" s="69"/>
      <c r="I488" s="92">
        <v>0.05</v>
      </c>
      <c r="J488" s="93">
        <v>1000.0</v>
      </c>
      <c r="K488" s="73" t="s">
        <v>1486</v>
      </c>
      <c r="L488" s="73"/>
      <c r="M488" s="73"/>
      <c r="N488" s="74"/>
    </row>
    <row r="489" ht="30.0" hidden="1" customHeight="1">
      <c r="A489" s="68">
        <v>497.0</v>
      </c>
      <c r="B489" s="68"/>
      <c r="C489" s="68"/>
      <c r="D489" s="69" t="str">
        <f>CONCATENATE(PROPER('DASMA INFO'!$G489),", ",PROPER('DASMA INFO'!$E489)," ",PROPER('DASMA INFO'!$F489),"."," (",UPPER('DASMA INFO'!$H489),")")</f>
        <v>Jianzon, Ranil . ()</v>
      </c>
      <c r="E489" s="70" t="s">
        <v>1603</v>
      </c>
      <c r="F489" s="70"/>
      <c r="G489" s="69" t="s">
        <v>1604</v>
      </c>
      <c r="H489" s="69"/>
      <c r="I489" s="92">
        <v>0.05</v>
      </c>
      <c r="J489" s="93">
        <v>1000.0</v>
      </c>
      <c r="K489" s="73"/>
      <c r="L489" s="73"/>
      <c r="M489" s="73"/>
      <c r="N489" s="74"/>
    </row>
    <row r="490" ht="30.0" hidden="1" customHeight="1">
      <c r="A490" s="68">
        <v>498.0</v>
      </c>
      <c r="B490" s="68"/>
      <c r="C490" s="68"/>
      <c r="D490" s="69" t="str">
        <f>CONCATENATE(PROPER('DASMA INFO'!$G490),", ",PROPER('DASMA INFO'!$E490)," ",PROPER('DASMA INFO'!$F490),"."," (",UPPER('DASMA INFO'!$H490),")")</f>
        <v>Martinez, Zoe . ()</v>
      </c>
      <c r="E490" s="70" t="s">
        <v>1605</v>
      </c>
      <c r="F490" s="70"/>
      <c r="G490" s="69" t="s">
        <v>831</v>
      </c>
      <c r="H490" s="69"/>
      <c r="I490" s="92">
        <v>0.05</v>
      </c>
      <c r="J490" s="93">
        <v>1000.0</v>
      </c>
      <c r="K490" s="73"/>
      <c r="L490" s="73"/>
      <c r="M490" s="73"/>
      <c r="N490" s="74"/>
    </row>
    <row r="491" ht="30.0" hidden="1" customHeight="1">
      <c r="A491" s="68">
        <v>499.0</v>
      </c>
      <c r="B491" s="68"/>
      <c r="C491" s="68"/>
      <c r="D491" s="69" t="str">
        <f>CONCATENATE(PROPER('DASMA INFO'!$G491),", ",PROPER('DASMA INFO'!$E491)," ",PROPER('DASMA INFO'!$F491),"."," (",UPPER('DASMA INFO'!$H491),")")</f>
        <v>Mcilhenney, Happy . ()</v>
      </c>
      <c r="E491" s="70" t="s">
        <v>1606</v>
      </c>
      <c r="F491" s="70"/>
      <c r="G491" s="69" t="s">
        <v>1607</v>
      </c>
      <c r="H491" s="69"/>
      <c r="I491" s="92">
        <v>0.05</v>
      </c>
      <c r="J491" s="93">
        <v>1000.0</v>
      </c>
      <c r="K491" s="73"/>
      <c r="L491" s="73"/>
      <c r="M491" s="73"/>
      <c r="N491" s="74"/>
    </row>
    <row r="492" ht="30.0" hidden="1" customHeight="1">
      <c r="A492" s="68">
        <v>500.0</v>
      </c>
      <c r="B492" s="68"/>
      <c r="C492" s="68"/>
      <c r="D492" s="69" t="str">
        <f>CONCATENATE(PROPER('DASMA INFO'!$G492),", ",PROPER('DASMA INFO'!$E492)," ",PROPER('DASMA INFO'!$F492),"."," (",UPPER('DASMA INFO'!$H492),")")</f>
        <v>Suda, Jean S. ()</v>
      </c>
      <c r="E492" s="70" t="s">
        <v>1608</v>
      </c>
      <c r="F492" s="70" t="s">
        <v>342</v>
      </c>
      <c r="G492" s="70" t="s">
        <v>1609</v>
      </c>
      <c r="H492" s="69"/>
      <c r="I492" s="92">
        <v>0.05</v>
      </c>
      <c r="J492" s="93">
        <v>1000.0</v>
      </c>
      <c r="K492" s="73" t="s">
        <v>968</v>
      </c>
      <c r="L492" s="73"/>
      <c r="M492" s="73"/>
      <c r="N492" s="74"/>
    </row>
    <row r="493" ht="30.0" hidden="1" customHeight="1">
      <c r="A493" s="68">
        <v>501.0</v>
      </c>
      <c r="B493" s="68"/>
      <c r="C493" s="68"/>
      <c r="D493" s="69" t="str">
        <f>CONCATENATE(PROPER('DASMA INFO'!$G493),", ",PROPER('DASMA INFO'!$E493)," ",PROPER('DASMA INFO'!$F493),"."," (",UPPER('DASMA INFO'!$H493),")")</f>
        <v>Reyes, Chrisdunler . ()</v>
      </c>
      <c r="E493" s="70" t="s">
        <v>1610</v>
      </c>
      <c r="F493" s="70"/>
      <c r="G493" s="70" t="s">
        <v>122</v>
      </c>
      <c r="H493" s="69"/>
      <c r="I493" s="92">
        <v>0.05</v>
      </c>
      <c r="J493" s="93">
        <v>1000.0</v>
      </c>
      <c r="K493" s="73"/>
      <c r="L493" s="73"/>
      <c r="M493" s="73"/>
      <c r="N493" s="74"/>
    </row>
    <row r="494" ht="30.0" hidden="1" customHeight="1">
      <c r="A494" s="68">
        <v>502.0</v>
      </c>
      <c r="B494" s="68"/>
      <c r="C494" s="68"/>
      <c r="D494" s="69" t="str">
        <f>CONCATENATE(PROPER('DASMA INFO'!$G494),", ",PROPER('DASMA INFO'!$E494)," ",PROPER('DASMA INFO'!$F494),"."," (",UPPER('DASMA INFO'!$H494),")")</f>
        <v>Perea, Erlinda . ()</v>
      </c>
      <c r="E494" s="70" t="s">
        <v>1533</v>
      </c>
      <c r="F494" s="70"/>
      <c r="G494" s="70" t="s">
        <v>1534</v>
      </c>
      <c r="H494" s="69"/>
      <c r="I494" s="92">
        <v>0.05</v>
      </c>
      <c r="J494" s="93">
        <v>1000.0</v>
      </c>
      <c r="K494" s="73"/>
      <c r="L494" s="73"/>
      <c r="M494" s="73"/>
      <c r="N494" s="74"/>
    </row>
    <row r="495" ht="30.0" hidden="1" customHeight="1">
      <c r="A495" s="68">
        <v>503.0</v>
      </c>
      <c r="B495" s="68"/>
      <c r="C495" s="68"/>
      <c r="D495" s="69" t="str">
        <f>CONCATENATE(PROPER('DASMA INFO'!$G495),", ",PROPER('DASMA INFO'!$E495)," ",PROPER('DASMA INFO'!$F495),"."," (",UPPER('DASMA INFO'!$H495),")")</f>
        <v>Hernandez, John Eric . ()</v>
      </c>
      <c r="E495" s="70" t="s">
        <v>1611</v>
      </c>
      <c r="F495" s="70"/>
      <c r="G495" s="70" t="s">
        <v>635</v>
      </c>
      <c r="H495" s="69"/>
      <c r="I495" s="92">
        <v>0.05</v>
      </c>
      <c r="J495" s="93">
        <v>1000.0</v>
      </c>
      <c r="K495" s="73"/>
      <c r="L495" s="73"/>
      <c r="M495" s="73"/>
      <c r="N495" s="74"/>
    </row>
    <row r="496" ht="30.0" hidden="1" customHeight="1">
      <c r="A496" s="68">
        <v>504.0</v>
      </c>
      <c r="B496" s="68"/>
      <c r="C496" s="68"/>
      <c r="D496" s="69" t="str">
        <f>CONCATENATE(PROPER('DASMA INFO'!$G496),", ",PROPER('DASMA INFO'!$E496)," ",PROPER('DASMA INFO'!$F496),"."," (",UPPER('DASMA INFO'!$H496),")")</f>
        <v>Lim, Aurora . ()</v>
      </c>
      <c r="E496" s="70" t="s">
        <v>109</v>
      </c>
      <c r="F496" s="70"/>
      <c r="G496" s="70" t="s">
        <v>611</v>
      </c>
      <c r="H496" s="69"/>
      <c r="I496" s="92">
        <v>0.05</v>
      </c>
      <c r="J496" s="93">
        <v>1000.0</v>
      </c>
      <c r="K496" s="73"/>
      <c r="L496" s="73"/>
      <c r="M496" s="73"/>
      <c r="N496" s="74"/>
    </row>
    <row r="497" ht="30.0" hidden="1" customHeight="1">
      <c r="A497" s="68">
        <v>505.0</v>
      </c>
      <c r="B497" s="68"/>
      <c r="C497" s="68"/>
      <c r="D497" s="69" t="str">
        <f>CONCATENATE(PROPER('DASMA INFO'!$G497),", ",PROPER('DASMA INFO'!$E497)," ",PROPER('DASMA INFO'!$F497),"."," (",UPPER('DASMA INFO'!$H497),")")</f>
        <v>Sedurifa, Nelia . ()</v>
      </c>
      <c r="E497" s="70" t="s">
        <v>75</v>
      </c>
      <c r="F497" s="70"/>
      <c r="G497" s="70" t="s">
        <v>1453</v>
      </c>
      <c r="H497" s="69"/>
      <c r="I497" s="92">
        <v>0.05</v>
      </c>
      <c r="J497" s="93">
        <v>1000.0</v>
      </c>
      <c r="K497" s="73"/>
      <c r="L497" s="73"/>
      <c r="M497" s="73"/>
      <c r="N497" s="74"/>
    </row>
    <row r="498" ht="30.0" hidden="1" customHeight="1">
      <c r="A498" s="68">
        <v>506.0</v>
      </c>
      <c r="B498" s="68"/>
      <c r="C498" s="68"/>
      <c r="D498" s="69" t="str">
        <f>CONCATENATE(PROPER('DASMA INFO'!$G498),", ",PROPER('DASMA INFO'!$E498)," ",PROPER('DASMA INFO'!$F498),"."," (",UPPER('DASMA INFO'!$H498),")")</f>
        <v>Manrique, Merlynda . ()</v>
      </c>
      <c r="E498" s="70" t="s">
        <v>1612</v>
      </c>
      <c r="F498" s="70"/>
      <c r="G498" s="70" t="s">
        <v>1613</v>
      </c>
      <c r="H498" s="69"/>
      <c r="I498" s="92">
        <v>0.05</v>
      </c>
      <c r="J498" s="93">
        <v>1000.0</v>
      </c>
      <c r="K498" s="73"/>
      <c r="L498" s="73"/>
      <c r="M498" s="73"/>
      <c r="N498" s="74"/>
    </row>
    <row r="499" ht="30.0" hidden="1" customHeight="1">
      <c r="A499" s="68">
        <v>507.0</v>
      </c>
      <c r="B499" s="68"/>
      <c r="C499" s="68"/>
      <c r="D499" s="69" t="str">
        <f>CONCATENATE(PROPER('DASMA INFO'!$G499),", ",PROPER('DASMA INFO'!$E499)," ",PROPER('DASMA INFO'!$F499),"."," (",UPPER('DASMA INFO'!$H499),")")</f>
        <v>Laxamana, Sandra . ()</v>
      </c>
      <c r="E499" s="70" t="s">
        <v>1614</v>
      </c>
      <c r="F499" s="70"/>
      <c r="G499" s="70" t="s">
        <v>1615</v>
      </c>
      <c r="H499" s="69"/>
      <c r="I499" s="92">
        <v>0.05</v>
      </c>
      <c r="J499" s="93">
        <v>1000.0</v>
      </c>
      <c r="K499" s="73"/>
      <c r="L499" s="73"/>
      <c r="M499" s="73"/>
      <c r="N499" s="74"/>
    </row>
    <row r="500" ht="30.0" hidden="1" customHeight="1">
      <c r="A500" s="68">
        <v>508.0</v>
      </c>
      <c r="B500" s="68"/>
      <c r="C500" s="68"/>
      <c r="D500" s="69" t="str">
        <f>CONCATENATE(PROPER('DASMA INFO'!$G500),", ",PROPER('DASMA INFO'!$E500)," ",PROPER('DASMA INFO'!$F500),"."," (",UPPER('DASMA INFO'!$H500),")")</f>
        <v>Enriquez, Sheena . ()</v>
      </c>
      <c r="E500" s="70" t="s">
        <v>1616</v>
      </c>
      <c r="F500" s="70"/>
      <c r="G500" s="70" t="s">
        <v>1617</v>
      </c>
      <c r="H500" s="69"/>
      <c r="I500" s="92">
        <v>0.05</v>
      </c>
      <c r="J500" s="93">
        <v>1000.0</v>
      </c>
      <c r="K500" s="73"/>
      <c r="L500" s="73"/>
      <c r="M500" s="73"/>
      <c r="N500" s="74"/>
    </row>
    <row r="501" ht="30.0" hidden="1" customHeight="1">
      <c r="A501" s="68">
        <v>509.0</v>
      </c>
      <c r="B501" s="68"/>
      <c r="C501" s="68"/>
      <c r="D501" s="69" t="str">
        <f>CONCATENATE(PROPER('DASMA INFO'!$G501),", ",PROPER('DASMA INFO'!$E501)," ",PROPER('DASMA INFO'!$F501),"."," (",UPPER('DASMA INFO'!$H501),")")</f>
        <v>Lintag, Jeffrey . ()</v>
      </c>
      <c r="E501" s="70" t="s">
        <v>1577</v>
      </c>
      <c r="F501" s="70"/>
      <c r="G501" s="70" t="s">
        <v>1618</v>
      </c>
      <c r="H501" s="69"/>
      <c r="I501" s="92">
        <v>0.05</v>
      </c>
      <c r="J501" s="93">
        <v>1000.0</v>
      </c>
      <c r="K501" s="73"/>
      <c r="L501" s="73"/>
      <c r="M501" s="73"/>
      <c r="N501" s="74"/>
    </row>
    <row r="502" ht="30.0" hidden="1" customHeight="1">
      <c r="A502" s="68">
        <v>510.0</v>
      </c>
      <c r="B502" s="68"/>
      <c r="C502" s="68"/>
      <c r="D502" s="69" t="str">
        <f>CONCATENATE(PROPER('DASMA INFO'!$G502),", ",PROPER('DASMA INFO'!$E502)," ",PROPER('DASMA INFO'!$F502),"."," (",UPPER('DASMA INFO'!$H502),")")</f>
        <v>Aurora, Yolanda . ()</v>
      </c>
      <c r="E502" s="70" t="s">
        <v>961</v>
      </c>
      <c r="F502" s="70"/>
      <c r="G502" s="70" t="s">
        <v>109</v>
      </c>
      <c r="H502" s="69"/>
      <c r="I502" s="92">
        <v>0.05</v>
      </c>
      <c r="J502" s="93">
        <v>1000.0</v>
      </c>
      <c r="K502" s="73"/>
      <c r="L502" s="73"/>
      <c r="M502" s="73"/>
      <c r="N502" s="74"/>
    </row>
    <row r="503" ht="30.0" hidden="1" customHeight="1">
      <c r="A503" s="68">
        <v>511.0</v>
      </c>
      <c r="B503" s="68"/>
      <c r="C503" s="68"/>
      <c r="D503" s="69" t="str">
        <f>CONCATENATE(PROPER('DASMA INFO'!$G503),", ",PROPER('DASMA INFO'!$E503)," ",PROPER('DASMA INFO'!$F503),"."," (",UPPER('DASMA INFO'!$H503),")")</f>
        <v>Durendes, Jesus . ()</v>
      </c>
      <c r="E503" s="70" t="s">
        <v>803</v>
      </c>
      <c r="F503" s="70"/>
      <c r="G503" s="70" t="s">
        <v>1619</v>
      </c>
      <c r="H503" s="69"/>
      <c r="I503" s="92">
        <v>0.05</v>
      </c>
      <c r="J503" s="93">
        <v>1000.0</v>
      </c>
      <c r="K503" s="73"/>
      <c r="L503" s="73"/>
      <c r="M503" s="73"/>
      <c r="N503" s="74"/>
    </row>
    <row r="504" ht="30.0" hidden="1" customHeight="1">
      <c r="A504" s="68">
        <v>512.0</v>
      </c>
      <c r="B504" s="68"/>
      <c r="C504" s="68"/>
      <c r="D504" s="69" t="str">
        <f>CONCATENATE(PROPER('DASMA INFO'!$G504),", ",PROPER('DASMA INFO'!$E504)," ",PROPER('DASMA INFO'!$F504),"."," (",UPPER('DASMA INFO'!$H504),")")</f>
        <v>Camañag, Mary Ann . ()</v>
      </c>
      <c r="E504" s="70" t="s">
        <v>834</v>
      </c>
      <c r="F504" s="70"/>
      <c r="G504" s="70" t="s">
        <v>1620</v>
      </c>
      <c r="H504" s="69"/>
      <c r="I504" s="92">
        <v>0.05</v>
      </c>
      <c r="J504" s="93">
        <v>1000.0</v>
      </c>
      <c r="K504" s="73"/>
      <c r="L504" s="73"/>
      <c r="M504" s="73"/>
      <c r="N504" s="74"/>
    </row>
    <row r="505" ht="30.0" hidden="1" customHeight="1">
      <c r="A505" s="68">
        <v>513.0</v>
      </c>
      <c r="B505" s="68"/>
      <c r="C505" s="68"/>
      <c r="D505" s="69" t="str">
        <f>CONCATENATE(PROPER('DASMA INFO'!$G505),", ",PROPER('DASMA INFO'!$E505)," ",PROPER('DASMA INFO'!$F505),"."," (",UPPER('DASMA INFO'!$H505),")")</f>
        <v>Dela Pena, Kemby . ()</v>
      </c>
      <c r="E505" s="70" t="s">
        <v>1621</v>
      </c>
      <c r="F505" s="70"/>
      <c r="G505" s="70" t="s">
        <v>1622</v>
      </c>
      <c r="H505" s="69"/>
      <c r="I505" s="92">
        <v>0.05</v>
      </c>
      <c r="J505" s="93">
        <v>1000.0</v>
      </c>
      <c r="K505" s="73"/>
      <c r="L505" s="73"/>
      <c r="M505" s="73"/>
      <c r="N505" s="74"/>
    </row>
    <row r="506" ht="30.0" hidden="1" customHeight="1">
      <c r="A506" s="68">
        <v>514.0</v>
      </c>
      <c r="B506" s="68"/>
      <c r="C506" s="68"/>
      <c r="D506" s="69" t="str">
        <f>CONCATENATE(PROPER('DASMA INFO'!$G506),", ",PROPER('DASMA INFO'!$E506)," ",PROPER('DASMA INFO'!$F506),"."," (",UPPER('DASMA INFO'!$H506),")")</f>
        <v>Mercado, Rosemarie . ()</v>
      </c>
      <c r="E506" s="70" t="s">
        <v>42</v>
      </c>
      <c r="F506" s="70"/>
      <c r="G506" s="70" t="s">
        <v>840</v>
      </c>
      <c r="H506" s="69"/>
      <c r="I506" s="92">
        <v>0.05</v>
      </c>
      <c r="J506" s="93">
        <v>1000.0</v>
      </c>
      <c r="K506" s="73"/>
      <c r="L506" s="73"/>
      <c r="M506" s="73"/>
      <c r="N506" s="74"/>
    </row>
    <row r="507" ht="30.0" hidden="1" customHeight="1">
      <c r="A507" s="68">
        <v>515.0</v>
      </c>
      <c r="B507" s="68"/>
      <c r="C507" s="68"/>
      <c r="D507" s="69" t="str">
        <f>CONCATENATE(PROPER('DASMA INFO'!$G507),", ",PROPER('DASMA INFO'!$E507)," ",PROPER('DASMA INFO'!$F507),"."," (",UPPER('DASMA INFO'!$H507),")")</f>
        <v>Fernando, Evelyn E. ()</v>
      </c>
      <c r="E507" s="70" t="s">
        <v>229</v>
      </c>
      <c r="F507" s="70" t="s">
        <v>299</v>
      </c>
      <c r="G507" s="70" t="s">
        <v>414</v>
      </c>
      <c r="H507" s="69"/>
      <c r="I507" s="92">
        <v>0.05</v>
      </c>
      <c r="J507" s="93">
        <v>1000.0</v>
      </c>
      <c r="K507" s="73" t="s">
        <v>968</v>
      </c>
      <c r="L507" s="73"/>
      <c r="M507" s="73"/>
      <c r="N507" s="74"/>
    </row>
    <row r="508" ht="30.0" hidden="1" customHeight="1">
      <c r="A508" s="68">
        <v>516.0</v>
      </c>
      <c r="B508" s="68"/>
      <c r="C508" s="68"/>
      <c r="D508" s="69" t="str">
        <f>CONCATENATE(PROPER('DASMA INFO'!$G508),", ",PROPER('DASMA INFO'!$E508)," ",PROPER('DASMA INFO'!$F508),"."," (",UPPER('DASMA INFO'!$H508),")")</f>
        <v>Pacheco, Elvira . ()</v>
      </c>
      <c r="E508" s="70" t="s">
        <v>147</v>
      </c>
      <c r="F508" s="70"/>
      <c r="G508" s="70" t="s">
        <v>1623</v>
      </c>
      <c r="H508" s="69"/>
      <c r="I508" s="92">
        <v>0.05</v>
      </c>
      <c r="J508" s="93">
        <v>1000.0</v>
      </c>
      <c r="K508" s="73"/>
      <c r="L508" s="73"/>
      <c r="M508" s="73"/>
      <c r="N508" s="74"/>
    </row>
    <row r="509" ht="30.0" hidden="1" customHeight="1">
      <c r="A509" s="68">
        <v>517.0</v>
      </c>
      <c r="B509" s="68"/>
      <c r="C509" s="68"/>
      <c r="D509" s="69" t="str">
        <f>CONCATENATE(PROPER('DASMA INFO'!$G509),", ",PROPER('DASMA INFO'!$E509)," ",PROPER('DASMA INFO'!$F509),"."," (",UPPER('DASMA INFO'!$H509),")")</f>
        <v>Dela Cruz, Cristina . ()</v>
      </c>
      <c r="E509" s="70" t="s">
        <v>294</v>
      </c>
      <c r="F509" s="70"/>
      <c r="G509" s="70" t="s">
        <v>636</v>
      </c>
      <c r="H509" s="69"/>
      <c r="I509" s="92">
        <v>0.05</v>
      </c>
      <c r="J509" s="93">
        <v>1000.0</v>
      </c>
      <c r="K509" s="73"/>
      <c r="L509" s="73"/>
      <c r="M509" s="73"/>
      <c r="N509" s="74"/>
    </row>
    <row r="510" ht="30.0" hidden="1" customHeight="1">
      <c r="A510" s="68">
        <v>518.0</v>
      </c>
      <c r="B510" s="68"/>
      <c r="C510" s="68"/>
      <c r="D510" s="69" t="str">
        <f>CONCATENATE(PROPER('DASMA INFO'!$G510),", ",PROPER('DASMA INFO'!$E510)," ",PROPER('DASMA INFO'!$F510),"."," (",UPPER('DASMA INFO'!$H510),")")</f>
        <v>Ruaya, Jenelito . ()</v>
      </c>
      <c r="E510" s="70" t="s">
        <v>1624</v>
      </c>
      <c r="F510" s="70"/>
      <c r="G510" s="70" t="s">
        <v>1625</v>
      </c>
      <c r="H510" s="69"/>
      <c r="I510" s="92">
        <v>0.05</v>
      </c>
      <c r="J510" s="93">
        <v>1000.0</v>
      </c>
      <c r="K510" s="73"/>
      <c r="L510" s="73"/>
      <c r="M510" s="73"/>
      <c r="N510" s="74"/>
    </row>
    <row r="511" ht="30.0" hidden="1" customHeight="1">
      <c r="A511" s="68">
        <v>519.0</v>
      </c>
      <c r="B511" s="68"/>
      <c r="C511" s="68"/>
      <c r="D511" s="69" t="str">
        <f>CONCATENATE(PROPER('DASMA INFO'!$G511),", ",PROPER('DASMA INFO'!$E511)," ",PROPER('DASMA INFO'!$F511),"."," (",UPPER('DASMA INFO'!$H511),")")</f>
        <v>Mendoza, Benny . ()</v>
      </c>
      <c r="E511" s="70" t="s">
        <v>1626</v>
      </c>
      <c r="F511" s="70"/>
      <c r="G511" s="70" t="s">
        <v>775</v>
      </c>
      <c r="H511" s="69"/>
      <c r="I511" s="92">
        <v>0.05</v>
      </c>
      <c r="J511" s="93">
        <v>1000.0</v>
      </c>
      <c r="K511" s="73"/>
      <c r="L511" s="73"/>
      <c r="M511" s="73"/>
      <c r="N511" s="74"/>
    </row>
    <row r="512" ht="30.0" hidden="1" customHeight="1">
      <c r="A512" s="68">
        <v>520.0</v>
      </c>
      <c r="B512" s="68"/>
      <c r="C512" s="68"/>
      <c r="D512" s="69" t="str">
        <f>CONCATENATE(PROPER('DASMA INFO'!$G512),", ",PROPER('DASMA INFO'!$E512)," ",PROPER('DASMA INFO'!$F512),"."," (",UPPER('DASMA INFO'!$H512),")")</f>
        <v>Senson, Avelinda U. ()</v>
      </c>
      <c r="E512" s="70" t="s">
        <v>1627</v>
      </c>
      <c r="F512" s="70" t="s">
        <v>1628</v>
      </c>
      <c r="G512" s="70" t="s">
        <v>1629</v>
      </c>
      <c r="H512" s="69"/>
      <c r="I512" s="92">
        <v>0.05</v>
      </c>
      <c r="J512" s="93">
        <v>1000.0</v>
      </c>
      <c r="K512" s="73" t="s">
        <v>968</v>
      </c>
      <c r="L512" s="73"/>
      <c r="M512" s="73"/>
      <c r="N512" s="74"/>
    </row>
    <row r="513" ht="30.0" hidden="1" customHeight="1">
      <c r="A513" s="68">
        <v>521.0</v>
      </c>
      <c r="B513" s="68"/>
      <c r="C513" s="68"/>
      <c r="D513" s="69" t="str">
        <f>CONCATENATE(PROPER('DASMA INFO'!$G513),", ",PROPER('DASMA INFO'!$E513)," ",PROPER('DASMA INFO'!$F513),"."," (",UPPER('DASMA INFO'!$H513),")")</f>
        <v>Gaso, Loida . ()</v>
      </c>
      <c r="E513" s="70" t="s">
        <v>1630</v>
      </c>
      <c r="F513" s="70"/>
      <c r="G513" s="70" t="s">
        <v>1631</v>
      </c>
      <c r="H513" s="69"/>
      <c r="I513" s="92">
        <v>0.05</v>
      </c>
      <c r="J513" s="93">
        <v>1000.0</v>
      </c>
      <c r="K513" s="73"/>
      <c r="L513" s="73"/>
      <c r="M513" s="73"/>
      <c r="N513" s="74"/>
    </row>
    <row r="514" ht="30.0" hidden="1" customHeight="1">
      <c r="A514" s="68">
        <v>522.0</v>
      </c>
      <c r="B514" s="68"/>
      <c r="C514" s="68"/>
      <c r="D514" s="69" t="str">
        <f>CONCATENATE(PROPER('DASMA INFO'!$G514),", ",PROPER('DASMA INFO'!$E514)," ",PROPER('DASMA INFO'!$F514),"."," (",UPPER('DASMA INFO'!$H514),")")</f>
        <v>Palgan, Cerelino . ()</v>
      </c>
      <c r="E514" s="70" t="s">
        <v>1632</v>
      </c>
      <c r="F514" s="70"/>
      <c r="G514" s="70" t="s">
        <v>1633</v>
      </c>
      <c r="H514" s="69"/>
      <c r="I514" s="92">
        <v>0.05</v>
      </c>
      <c r="J514" s="93">
        <v>1000.0</v>
      </c>
      <c r="K514" s="73"/>
      <c r="L514" s="73"/>
      <c r="M514" s="73"/>
      <c r="N514" s="74"/>
    </row>
    <row r="515" ht="30.0" hidden="1" customHeight="1">
      <c r="A515" s="68">
        <v>523.0</v>
      </c>
      <c r="B515" s="68"/>
      <c r="C515" s="68"/>
      <c r="D515" s="69" t="str">
        <f>CONCATENATE(PROPER('DASMA INFO'!$G515),", ",PROPER('DASMA INFO'!$E515)," ",PROPER('DASMA INFO'!$F515),"."," (",UPPER('DASMA INFO'!$H515),")")</f>
        <v>Stokes, Ging . ()</v>
      </c>
      <c r="E515" s="70" t="s">
        <v>1634</v>
      </c>
      <c r="F515" s="70"/>
      <c r="G515" s="70" t="s">
        <v>1635</v>
      </c>
      <c r="H515" s="69"/>
      <c r="I515" s="92">
        <v>0.05</v>
      </c>
      <c r="J515" s="93">
        <v>1000.0</v>
      </c>
      <c r="K515" s="73"/>
      <c r="L515" s="73"/>
      <c r="M515" s="73"/>
      <c r="N515" s="74"/>
    </row>
    <row r="516" ht="30.0" hidden="1" customHeight="1">
      <c r="A516" s="68">
        <v>524.0</v>
      </c>
      <c r="B516" s="68"/>
      <c r="C516" s="68"/>
      <c r="D516" s="69" t="str">
        <f>CONCATENATE(PROPER('DASMA INFO'!$G516),", ",PROPER('DASMA INFO'!$E516)," ",PROPER('DASMA INFO'!$F516),"."," (",UPPER('DASMA INFO'!$H516),")")</f>
        <v>Evangelista, Fairy Pearl . ()</v>
      </c>
      <c r="E516" s="70" t="s">
        <v>1636</v>
      </c>
      <c r="F516" s="70"/>
      <c r="G516" s="70" t="s">
        <v>1248</v>
      </c>
      <c r="H516" s="69"/>
      <c r="I516" s="92">
        <v>0.05</v>
      </c>
      <c r="J516" s="93">
        <v>1000.0</v>
      </c>
      <c r="K516" s="73"/>
      <c r="L516" s="73"/>
      <c r="M516" s="73"/>
      <c r="N516" s="74"/>
    </row>
    <row r="517" ht="30.0" hidden="1" customHeight="1">
      <c r="A517" s="68">
        <v>525.0</v>
      </c>
      <c r="B517" s="68"/>
      <c r="C517" s="68"/>
      <c r="D517" s="69" t="str">
        <f>CONCATENATE(PROPER('DASMA INFO'!$G517),", ",PROPER('DASMA INFO'!$E517)," ",PROPER('DASMA INFO'!$F517),"."," (",UPPER('DASMA INFO'!$H517),")")</f>
        <v>Masigla, Edwin . ()</v>
      </c>
      <c r="E517" s="70" t="s">
        <v>424</v>
      </c>
      <c r="F517" s="70"/>
      <c r="G517" s="70" t="s">
        <v>1637</v>
      </c>
      <c r="H517" s="69"/>
      <c r="I517" s="92">
        <v>0.05</v>
      </c>
      <c r="J517" s="93">
        <v>1000.0</v>
      </c>
      <c r="K517" s="73"/>
      <c r="L517" s="73"/>
      <c r="M517" s="73"/>
      <c r="N517" s="74"/>
    </row>
    <row r="518" ht="30.0" hidden="1" customHeight="1">
      <c r="A518" s="68">
        <v>526.0</v>
      </c>
      <c r="B518" s="68"/>
      <c r="C518" s="68"/>
      <c r="D518" s="69" t="str">
        <f>CONCATENATE(PROPER('DASMA INFO'!$G518),", ",PROPER('DASMA INFO'!$E518)," ",PROPER('DASMA INFO'!$F518),"."," (",UPPER('DASMA INFO'!$H518),")")</f>
        <v>Gallardo, Jack . ()</v>
      </c>
      <c r="E518" s="70" t="s">
        <v>1638</v>
      </c>
      <c r="F518" s="70"/>
      <c r="G518" s="70" t="s">
        <v>1639</v>
      </c>
      <c r="H518" s="69"/>
      <c r="I518" s="92">
        <v>0.05</v>
      </c>
      <c r="J518" s="93">
        <v>1000.0</v>
      </c>
      <c r="K518" s="73"/>
      <c r="L518" s="73"/>
      <c r="M518" s="73"/>
      <c r="N518" s="74"/>
    </row>
    <row r="519" ht="30.0" hidden="1" customHeight="1">
      <c r="A519" s="68">
        <v>527.0</v>
      </c>
      <c r="B519" s="68"/>
      <c r="C519" s="68"/>
      <c r="D519" s="69" t="str">
        <f>CONCATENATE(PROPER('DASMA INFO'!$G519),", ",PROPER('DASMA INFO'!$E519)," ",PROPER('DASMA INFO'!$F519),"."," (",UPPER('DASMA INFO'!$H519),")")</f>
        <v>Caranito, Armando . ()</v>
      </c>
      <c r="E519" s="70" t="s">
        <v>174</v>
      </c>
      <c r="F519" s="70"/>
      <c r="G519" s="70" t="s">
        <v>1640</v>
      </c>
      <c r="H519" s="69"/>
      <c r="I519" s="92">
        <v>0.05</v>
      </c>
      <c r="J519" s="93">
        <v>1000.0</v>
      </c>
      <c r="K519" s="73"/>
      <c r="L519" s="73"/>
      <c r="M519" s="73"/>
      <c r="N519" s="74"/>
    </row>
    <row r="520" ht="30.0" hidden="1" customHeight="1">
      <c r="A520" s="68">
        <v>528.0</v>
      </c>
      <c r="B520" s="68"/>
      <c r="C520" s="68"/>
      <c r="D520" s="69" t="str">
        <f>CONCATENATE(PROPER('DASMA INFO'!$G520),", ",PROPER('DASMA INFO'!$E520)," ",PROPER('DASMA INFO'!$F520),"."," (",UPPER('DASMA INFO'!$H520),")")</f>
        <v>Prayco, Daisy . ()</v>
      </c>
      <c r="E520" s="70" t="s">
        <v>162</v>
      </c>
      <c r="F520" s="70"/>
      <c r="G520" s="70" t="s">
        <v>1641</v>
      </c>
      <c r="H520" s="69"/>
      <c r="I520" s="92">
        <v>0.05</v>
      </c>
      <c r="J520" s="93">
        <v>1000.0</v>
      </c>
      <c r="K520" s="73"/>
      <c r="L520" s="73"/>
      <c r="M520" s="73"/>
      <c r="N520" s="74"/>
    </row>
    <row r="521" ht="30.0" hidden="1" customHeight="1">
      <c r="A521" s="68">
        <v>529.0</v>
      </c>
      <c r="B521" s="68"/>
      <c r="C521" s="68"/>
      <c r="D521" s="69" t="str">
        <f>CONCATENATE(PROPER('DASMA INFO'!$G521),", ",PROPER('DASMA INFO'!$E521)," ",PROPER('DASMA INFO'!$F521),"."," (",UPPER('DASMA INFO'!$H521),")")</f>
        <v>Cirilo, Dolores . ()</v>
      </c>
      <c r="E521" s="70" t="s">
        <v>901</v>
      </c>
      <c r="F521" s="70"/>
      <c r="G521" s="70" t="s">
        <v>1642</v>
      </c>
      <c r="H521" s="69"/>
      <c r="I521" s="92">
        <v>0.05</v>
      </c>
      <c r="J521" s="93">
        <v>1000.0</v>
      </c>
      <c r="K521" s="73"/>
      <c r="L521" s="73"/>
      <c r="M521" s="73"/>
      <c r="N521" s="74"/>
    </row>
    <row r="522" ht="30.0" hidden="1" customHeight="1">
      <c r="A522" s="68">
        <v>530.0</v>
      </c>
      <c r="B522" s="68"/>
      <c r="C522" s="68"/>
      <c r="D522" s="69" t="str">
        <f>CONCATENATE(PROPER('DASMA INFO'!$G522),", ",PROPER('DASMA INFO'!$E522)," ",PROPER('DASMA INFO'!$F522),"."," (",UPPER('DASMA INFO'!$H522),")")</f>
        <v>Cirilo, Vicky . ()</v>
      </c>
      <c r="E522" s="70" t="s">
        <v>1643</v>
      </c>
      <c r="F522" s="70"/>
      <c r="G522" s="70" t="s">
        <v>1642</v>
      </c>
      <c r="H522" s="69"/>
      <c r="I522" s="92">
        <v>0.05</v>
      </c>
      <c r="J522" s="93">
        <v>1000.0</v>
      </c>
      <c r="K522" s="73"/>
      <c r="L522" s="73"/>
      <c r="M522" s="73"/>
      <c r="N522" s="74"/>
    </row>
    <row r="523" ht="30.0" hidden="1" customHeight="1">
      <c r="A523" s="68">
        <v>531.0</v>
      </c>
      <c r="B523" s="68"/>
      <c r="C523" s="68"/>
      <c r="D523" s="69" t="str">
        <f>CONCATENATE(PROPER('DASMA INFO'!$G523),", ",PROPER('DASMA INFO'!$E523)," ",PROPER('DASMA INFO'!$F523),"."," (",UPPER('DASMA INFO'!$H523),")")</f>
        <v>Arquillo, Alexander . ()</v>
      </c>
      <c r="E523" s="70" t="s">
        <v>1493</v>
      </c>
      <c r="F523" s="70"/>
      <c r="G523" s="70" t="s">
        <v>1644</v>
      </c>
      <c r="H523" s="69"/>
      <c r="I523" s="92">
        <v>0.05</v>
      </c>
      <c r="J523" s="93">
        <v>1000.0</v>
      </c>
      <c r="K523" s="73"/>
      <c r="L523" s="73"/>
      <c r="M523" s="73"/>
      <c r="N523" s="74"/>
    </row>
    <row r="524" ht="30.0" hidden="1" customHeight="1">
      <c r="A524" s="68">
        <v>532.0</v>
      </c>
      <c r="B524" s="68"/>
      <c r="C524" s="68"/>
      <c r="D524" s="69" t="str">
        <f>CONCATENATE(PROPER('DASMA INFO'!$G524),", ",PROPER('DASMA INFO'!$E524)," ",PROPER('DASMA INFO'!$F524),"."," (",UPPER('DASMA INFO'!$H524),")")</f>
        <v>Amulong, Macario . ()</v>
      </c>
      <c r="E524" s="70" t="s">
        <v>1645</v>
      </c>
      <c r="F524" s="70"/>
      <c r="G524" s="70" t="s">
        <v>1646</v>
      </c>
      <c r="H524" s="69"/>
      <c r="I524" s="92">
        <v>0.05</v>
      </c>
      <c r="J524" s="93">
        <v>1000.0</v>
      </c>
      <c r="K524" s="73"/>
      <c r="L524" s="73"/>
      <c r="M524" s="73"/>
      <c r="N524" s="74"/>
    </row>
    <row r="525" ht="30.0" hidden="1" customHeight="1">
      <c r="A525" s="68">
        <v>533.0</v>
      </c>
      <c r="B525" s="68"/>
      <c r="C525" s="68"/>
      <c r="D525" s="69" t="str">
        <f>CONCATENATE(PROPER('DASMA INFO'!$G525),", ",PROPER('DASMA INFO'!$E525)," ",PROPER('DASMA INFO'!$F525),"."," (",UPPER('DASMA INFO'!$H525),")")</f>
        <v>Pangayan, Louie . ()</v>
      </c>
      <c r="E525" s="70" t="s">
        <v>1647</v>
      </c>
      <c r="F525" s="70"/>
      <c r="G525" s="70" t="s">
        <v>1648</v>
      </c>
      <c r="H525" s="69"/>
      <c r="I525" s="92">
        <v>0.05</v>
      </c>
      <c r="J525" s="93">
        <v>1000.0</v>
      </c>
      <c r="K525" s="73"/>
      <c r="L525" s="73"/>
      <c r="M525" s="73"/>
      <c r="N525" s="74"/>
    </row>
    <row r="526" ht="30.0" hidden="1" customHeight="1">
      <c r="A526" s="68">
        <v>534.0</v>
      </c>
      <c r="B526" s="68"/>
      <c r="C526" s="68"/>
      <c r="D526" s="69" t="str">
        <f>CONCATENATE(PROPER('DASMA INFO'!$G526),", ",PROPER('DASMA INFO'!$E526)," ",PROPER('DASMA INFO'!$F526),"."," (",UPPER('DASMA INFO'!$H526),")")</f>
        <v>Galvez, Randy . ()</v>
      </c>
      <c r="E526" s="70" t="s">
        <v>145</v>
      </c>
      <c r="F526" s="70"/>
      <c r="G526" s="70" t="s">
        <v>1649</v>
      </c>
      <c r="H526" s="69"/>
      <c r="I526" s="92">
        <v>0.05</v>
      </c>
      <c r="J526" s="93">
        <v>1000.0</v>
      </c>
      <c r="K526" s="73"/>
      <c r="L526" s="73"/>
      <c r="M526" s="73"/>
      <c r="N526" s="74"/>
    </row>
    <row r="527" ht="30.0" hidden="1" customHeight="1">
      <c r="A527" s="68">
        <v>535.0</v>
      </c>
      <c r="B527" s="68"/>
      <c r="C527" s="68"/>
      <c r="D527" s="69" t="str">
        <f>CONCATENATE(PROPER('DASMA INFO'!$G527),", ",PROPER('DASMA INFO'!$E527)," ",PROPER('DASMA INFO'!$F527),"."," (",UPPER('DASMA INFO'!$H527),")")</f>
        <v>Dela Cruz, Nenita . ()</v>
      </c>
      <c r="E527" s="70" t="s">
        <v>994</v>
      </c>
      <c r="F527" s="70"/>
      <c r="G527" s="70" t="s">
        <v>636</v>
      </c>
      <c r="H527" s="69"/>
      <c r="I527" s="92">
        <v>0.05</v>
      </c>
      <c r="J527" s="93">
        <v>1000.0</v>
      </c>
      <c r="K527" s="73"/>
      <c r="L527" s="73"/>
      <c r="M527" s="73"/>
      <c r="N527" s="74"/>
    </row>
    <row r="528" ht="30.0" hidden="1" customHeight="1">
      <c r="A528" s="68">
        <v>536.0</v>
      </c>
      <c r="B528" s="68"/>
      <c r="C528" s="68"/>
      <c r="D528" s="69" t="str">
        <f>CONCATENATE(PROPER('DASMA INFO'!$G528),", ",PROPER('DASMA INFO'!$E528)," ",PROPER('DASMA INFO'!$F528),"."," (",UPPER('DASMA INFO'!$H528),")")</f>
        <v>De Roxas, Nadine Karla . ()</v>
      </c>
      <c r="E528" s="70" t="s">
        <v>1650</v>
      </c>
      <c r="F528" s="70"/>
      <c r="G528" s="70" t="s">
        <v>1651</v>
      </c>
      <c r="H528" s="69"/>
      <c r="I528" s="92">
        <v>0.05</v>
      </c>
      <c r="J528" s="93">
        <v>1000.0</v>
      </c>
      <c r="K528" s="73"/>
      <c r="L528" s="73"/>
      <c r="M528" s="73"/>
      <c r="N528" s="74"/>
    </row>
    <row r="529" ht="30.0" hidden="1" customHeight="1">
      <c r="A529" s="68">
        <v>537.0</v>
      </c>
      <c r="B529" s="68"/>
      <c r="C529" s="68"/>
      <c r="D529" s="69" t="str">
        <f>CONCATENATE(PROPER('DASMA INFO'!$G529),", ",PROPER('DASMA INFO'!$E529)," ",PROPER('DASMA INFO'!$F529),"."," (",UPPER('DASMA INFO'!$H529),")")</f>
        <v>Bartolo, Armando B. ()</v>
      </c>
      <c r="E529" s="70" t="s">
        <v>174</v>
      </c>
      <c r="F529" s="70" t="s">
        <v>627</v>
      </c>
      <c r="G529" s="70" t="s">
        <v>175</v>
      </c>
      <c r="H529" s="69"/>
      <c r="I529" s="92">
        <v>0.05</v>
      </c>
      <c r="J529" s="93">
        <v>1000.0</v>
      </c>
      <c r="K529" s="73" t="s">
        <v>1652</v>
      </c>
      <c r="L529" s="73"/>
      <c r="M529" s="73"/>
      <c r="N529" s="74"/>
    </row>
    <row r="530" ht="30.0" hidden="1" customHeight="1">
      <c r="A530" s="68">
        <v>538.0</v>
      </c>
      <c r="B530" s="68"/>
      <c r="C530" s="68"/>
      <c r="D530" s="69" t="str">
        <f>CONCATENATE(PROPER('DASMA INFO'!$G530),", ",PROPER('DASMA INFO'!$E530)," ",PROPER('DASMA INFO'!$F530),"."," (",UPPER('DASMA INFO'!$H530),")")</f>
        <v>Ladines, Joven . ()</v>
      </c>
      <c r="E530" s="70" t="s">
        <v>1653</v>
      </c>
      <c r="F530" s="70"/>
      <c r="G530" s="70" t="s">
        <v>1654</v>
      </c>
      <c r="H530" s="69"/>
      <c r="I530" s="92">
        <v>0.05</v>
      </c>
      <c r="J530" s="93">
        <v>1000.0</v>
      </c>
      <c r="K530" s="73"/>
      <c r="L530" s="73"/>
      <c r="M530" s="73"/>
      <c r="N530" s="74"/>
    </row>
    <row r="531" ht="30.0" hidden="1" customHeight="1">
      <c r="A531" s="68">
        <v>539.0</v>
      </c>
      <c r="B531" s="68"/>
      <c r="C531" s="68"/>
      <c r="D531" s="69" t="str">
        <f>CONCATENATE(PROPER('DASMA INFO'!$G531),", ",PROPER('DASMA INFO'!$E531)," ",PROPER('DASMA INFO'!$F531),"."," (",UPPER('DASMA INFO'!$H531),")")</f>
        <v>Reyes, Marilyn . ()</v>
      </c>
      <c r="E531" s="70" t="s">
        <v>231</v>
      </c>
      <c r="F531" s="70"/>
      <c r="G531" s="70" t="s">
        <v>122</v>
      </c>
      <c r="H531" s="69"/>
      <c r="I531" s="92">
        <v>0.05</v>
      </c>
      <c r="J531" s="93">
        <v>1000.0</v>
      </c>
      <c r="K531" s="73"/>
      <c r="L531" s="73"/>
      <c r="M531" s="73"/>
      <c r="N531" s="74"/>
    </row>
    <row r="532" ht="30.0" hidden="1" customHeight="1">
      <c r="A532" s="68">
        <v>540.0</v>
      </c>
      <c r="B532" s="68"/>
      <c r="C532" s="68"/>
      <c r="D532" s="69" t="str">
        <f>CONCATENATE(PROPER('DASMA INFO'!$G532),", ",PROPER('DASMA INFO'!$E532)," ",PROPER('DASMA INFO'!$F532),"."," (",UPPER('DASMA INFO'!$H532),")")</f>
        <v>Bolaños, Wilma . ()</v>
      </c>
      <c r="E532" s="70" t="s">
        <v>471</v>
      </c>
      <c r="F532" s="70"/>
      <c r="G532" s="70" t="s">
        <v>1655</v>
      </c>
      <c r="H532" s="69"/>
      <c r="I532" s="92">
        <v>0.05</v>
      </c>
      <c r="J532" s="93">
        <v>1000.0</v>
      </c>
      <c r="K532" s="73"/>
      <c r="L532" s="73"/>
      <c r="M532" s="73"/>
      <c r="N532" s="74"/>
    </row>
    <row r="533" ht="30.0" hidden="1" customHeight="1">
      <c r="A533" s="68">
        <v>541.0</v>
      </c>
      <c r="B533" s="68"/>
      <c r="C533" s="68"/>
      <c r="D533" s="69" t="str">
        <f>CONCATENATE(PROPER('DASMA INFO'!$G533),", ",PROPER('DASMA INFO'!$E533)," ",PROPER('DASMA INFO'!$F533),"."," (",UPPER('DASMA INFO'!$H533),")")</f>
        <v>De Guzman, Ana . ()</v>
      </c>
      <c r="E533" s="70" t="s">
        <v>70</v>
      </c>
      <c r="F533" s="70"/>
      <c r="G533" s="70" t="s">
        <v>741</v>
      </c>
      <c r="H533" s="69"/>
      <c r="I533" s="92">
        <v>0.05</v>
      </c>
      <c r="J533" s="93">
        <v>1000.0</v>
      </c>
      <c r="K533" s="73"/>
      <c r="L533" s="73"/>
      <c r="M533" s="73"/>
      <c r="N533" s="74"/>
    </row>
    <row r="534" ht="30.0" hidden="1" customHeight="1">
      <c r="A534" s="68">
        <v>542.0</v>
      </c>
      <c r="B534" s="68"/>
      <c r="C534" s="68"/>
      <c r="D534" s="69" t="str">
        <f>CONCATENATE(PROPER('DASMA INFO'!$G534),", ",PROPER('DASMA INFO'!$E534)," ",PROPER('DASMA INFO'!$F534),"."," (",UPPER('DASMA INFO'!$H534),")")</f>
        <v>Sudaria, Dulce . ()</v>
      </c>
      <c r="E534" s="70" t="s">
        <v>1656</v>
      </c>
      <c r="F534" s="70"/>
      <c r="G534" s="70" t="s">
        <v>1657</v>
      </c>
      <c r="H534" s="69"/>
      <c r="I534" s="92">
        <v>0.05</v>
      </c>
      <c r="J534" s="93">
        <v>1000.0</v>
      </c>
      <c r="K534" s="73"/>
      <c r="L534" s="73"/>
      <c r="M534" s="73"/>
      <c r="N534" s="74"/>
    </row>
    <row r="535" ht="30.0" hidden="1" customHeight="1">
      <c r="A535" s="68">
        <v>543.0</v>
      </c>
      <c r="B535" s="68"/>
      <c r="C535" s="68"/>
      <c r="D535" s="69" t="str">
        <f>CONCATENATE(PROPER('DASMA INFO'!$G535),", ",PROPER('DASMA INFO'!$E535)," ",PROPER('DASMA INFO'!$F535),"."," (",UPPER('DASMA INFO'!$H535),")")</f>
        <v>Anticuando, Delserey . ()</v>
      </c>
      <c r="E535" s="70" t="s">
        <v>1658</v>
      </c>
      <c r="F535" s="70"/>
      <c r="G535" s="70" t="s">
        <v>1659</v>
      </c>
      <c r="H535" s="69"/>
      <c r="I535" s="92">
        <v>0.05</v>
      </c>
      <c r="J535" s="93">
        <v>1000.0</v>
      </c>
      <c r="K535" s="73"/>
      <c r="L535" s="73"/>
      <c r="M535" s="73"/>
      <c r="N535" s="74"/>
    </row>
    <row r="536" ht="30.0" hidden="1" customHeight="1">
      <c r="A536" s="68">
        <v>544.0</v>
      </c>
      <c r="B536" s="68"/>
      <c r="C536" s="68"/>
      <c r="D536" s="69" t="str">
        <f>CONCATENATE(PROPER('DASMA INFO'!$G536),", ",PROPER('DASMA INFO'!$E536)," ",PROPER('DASMA INFO'!$F536),"."," (",UPPER('DASMA INFO'!$H536),")")</f>
        <v>Castro, Adel . ()</v>
      </c>
      <c r="E536" s="70" t="s">
        <v>1660</v>
      </c>
      <c r="F536" s="70"/>
      <c r="G536" s="70" t="s">
        <v>505</v>
      </c>
      <c r="H536" s="69"/>
      <c r="I536" s="92">
        <v>0.05</v>
      </c>
      <c r="J536" s="93">
        <v>1000.0</v>
      </c>
      <c r="K536" s="73"/>
      <c r="L536" s="73"/>
      <c r="M536" s="73"/>
      <c r="N536" s="74"/>
    </row>
    <row r="537" ht="30.0" hidden="1" customHeight="1">
      <c r="A537" s="68">
        <v>545.0</v>
      </c>
      <c r="B537" s="68"/>
      <c r="C537" s="68"/>
      <c r="D537" s="69" t="str">
        <f>CONCATENATE(PROPER('DASMA INFO'!$G537),", ",PROPER('DASMA INFO'!$E537)," ",PROPER('DASMA INFO'!$F537),"."," (",UPPER('DASMA INFO'!$H537),")")</f>
        <v>Riguer, Gemma . ()</v>
      </c>
      <c r="E537" s="70" t="s">
        <v>1222</v>
      </c>
      <c r="F537" s="70"/>
      <c r="G537" s="70" t="s">
        <v>1661</v>
      </c>
      <c r="H537" s="69"/>
      <c r="I537" s="92">
        <v>0.05</v>
      </c>
      <c r="J537" s="93">
        <v>1000.0</v>
      </c>
      <c r="K537" s="73"/>
      <c r="L537" s="73"/>
      <c r="M537" s="73"/>
      <c r="N537" s="74"/>
    </row>
    <row r="538" ht="30.0" hidden="1" customHeight="1">
      <c r="A538" s="68">
        <v>546.0</v>
      </c>
      <c r="B538" s="68"/>
      <c r="C538" s="68"/>
      <c r="D538" s="69" t="str">
        <f>CONCATENATE(PROPER('DASMA INFO'!$G538),", ",PROPER('DASMA INFO'!$E538)," ",PROPER('DASMA INFO'!$F538),"."," (",UPPER('DASMA INFO'!$H538),")")</f>
        <v>Recilla, Donata . ()</v>
      </c>
      <c r="E538" s="70" t="s">
        <v>1662</v>
      </c>
      <c r="F538" s="70"/>
      <c r="G538" s="70" t="s">
        <v>1663</v>
      </c>
      <c r="H538" s="69"/>
      <c r="I538" s="92">
        <v>0.05</v>
      </c>
      <c r="J538" s="93">
        <v>1000.0</v>
      </c>
      <c r="K538" s="73"/>
      <c r="L538" s="73"/>
      <c r="M538" s="73"/>
      <c r="N538" s="74"/>
    </row>
    <row r="539" ht="30.0" hidden="1" customHeight="1">
      <c r="A539" s="68">
        <v>547.0</v>
      </c>
      <c r="B539" s="68"/>
      <c r="C539" s="68"/>
      <c r="D539" s="69" t="str">
        <f>CONCATENATE(PROPER('DASMA INFO'!$G539),", ",PROPER('DASMA INFO'!$E539)," ",PROPER('DASMA INFO'!$F539),"."," (",UPPER('DASMA INFO'!$H539),")")</f>
        <v>Albarico, Rosil . ()</v>
      </c>
      <c r="E539" s="70" t="s">
        <v>1664</v>
      </c>
      <c r="F539" s="70"/>
      <c r="G539" s="70" t="s">
        <v>1665</v>
      </c>
      <c r="H539" s="69"/>
      <c r="I539" s="92">
        <v>0.05</v>
      </c>
      <c r="J539" s="93">
        <v>1000.0</v>
      </c>
      <c r="K539" s="73"/>
      <c r="L539" s="73"/>
      <c r="M539" s="73"/>
      <c r="N539" s="74"/>
    </row>
    <row r="540" ht="30.0" hidden="1" customHeight="1">
      <c r="A540" s="68">
        <v>548.0</v>
      </c>
      <c r="B540" s="68"/>
      <c r="C540" s="68"/>
      <c r="D540" s="69" t="str">
        <f>CONCATENATE(PROPER('DASMA INFO'!$G540),", ",PROPER('DASMA INFO'!$E540)," ",PROPER('DASMA INFO'!$F540),"."," (",UPPER('DASMA INFO'!$H540),")")</f>
        <v>Porto, Mary Jane . ()</v>
      </c>
      <c r="E540" s="70" t="s">
        <v>351</v>
      </c>
      <c r="F540" s="70"/>
      <c r="G540" s="70" t="s">
        <v>1666</v>
      </c>
      <c r="H540" s="69"/>
      <c r="I540" s="92">
        <v>0.05</v>
      </c>
      <c r="J540" s="93">
        <v>1000.0</v>
      </c>
      <c r="K540" s="73"/>
      <c r="L540" s="73"/>
      <c r="M540" s="73"/>
      <c r="N540" s="74"/>
    </row>
    <row r="541" ht="30.0" hidden="1" customHeight="1">
      <c r="A541" s="68">
        <v>549.0</v>
      </c>
      <c r="B541" s="68"/>
      <c r="C541" s="68"/>
      <c r="D541" s="69" t="str">
        <f>CONCATENATE(PROPER('DASMA INFO'!$G541),", ",PROPER('DASMA INFO'!$E541)," ",PROPER('DASMA INFO'!$F541),"."," (",UPPER('DASMA INFO'!$H541),")")</f>
        <v>Casimsiman, Exequiel M. ()</v>
      </c>
      <c r="E541" s="70" t="s">
        <v>1667</v>
      </c>
      <c r="F541" s="70" t="s">
        <v>587</v>
      </c>
      <c r="G541" s="70" t="s">
        <v>1668</v>
      </c>
      <c r="H541" s="69"/>
      <c r="I541" s="92">
        <v>0.05</v>
      </c>
      <c r="J541" s="93">
        <v>1000.0</v>
      </c>
      <c r="K541" s="73"/>
      <c r="L541" s="73"/>
      <c r="M541" s="73"/>
      <c r="N541" s="74"/>
    </row>
    <row r="542" ht="30.0" hidden="1" customHeight="1">
      <c r="A542" s="68">
        <v>550.0</v>
      </c>
      <c r="B542" s="68"/>
      <c r="C542" s="68"/>
      <c r="D542" s="69" t="str">
        <f>CONCATENATE(PROPER('DASMA INFO'!$G542),", ",PROPER('DASMA INFO'!$E542)," ",PROPER('DASMA INFO'!$F542),"."," (",UPPER('DASMA INFO'!$H542),")")</f>
        <v>Villanueva, Sam . ()</v>
      </c>
      <c r="E542" s="70" t="s">
        <v>1669</v>
      </c>
      <c r="F542" s="70"/>
      <c r="G542" s="70" t="s">
        <v>454</v>
      </c>
      <c r="H542" s="69"/>
      <c r="I542" s="92">
        <v>0.05</v>
      </c>
      <c r="J542" s="93">
        <v>1000.0</v>
      </c>
      <c r="K542" s="73"/>
      <c r="L542" s="73"/>
      <c r="M542" s="73"/>
      <c r="N542" s="74"/>
    </row>
    <row r="543" ht="30.0" hidden="1" customHeight="1">
      <c r="A543" s="68">
        <v>551.0</v>
      </c>
      <c r="B543" s="68"/>
      <c r="C543" s="68"/>
      <c r="D543" s="69" t="str">
        <f>CONCATENATE(PROPER('DASMA INFO'!$G543),", ",PROPER('DASMA INFO'!$E543)," ",PROPER('DASMA INFO'!$F543),"."," (",UPPER('DASMA INFO'!$H543),")")</f>
        <v>Martinez, Carolyn . ()</v>
      </c>
      <c r="E543" s="70" t="s">
        <v>1670</v>
      </c>
      <c r="F543" s="70"/>
      <c r="G543" s="70" t="s">
        <v>831</v>
      </c>
      <c r="H543" s="69"/>
      <c r="I543" s="92">
        <v>0.05</v>
      </c>
      <c r="J543" s="93">
        <v>1000.0</v>
      </c>
      <c r="K543" s="73"/>
      <c r="L543" s="73"/>
      <c r="M543" s="73"/>
      <c r="N543" s="74"/>
    </row>
    <row r="544" ht="30.0" hidden="1" customHeight="1">
      <c r="A544" s="68">
        <v>552.0</v>
      </c>
      <c r="B544" s="68"/>
      <c r="C544" s="68"/>
      <c r="D544" s="69" t="str">
        <f>CONCATENATE(PROPER('DASMA INFO'!$G544),", ",PROPER('DASMA INFO'!$E544)," ",PROPER('DASMA INFO'!$F544),"."," (",UPPER('DASMA INFO'!$H544),")")</f>
        <v>Gabriel, Frances . ()</v>
      </c>
      <c r="E544" s="70" t="s">
        <v>724</v>
      </c>
      <c r="F544" s="70"/>
      <c r="G544" s="70" t="s">
        <v>1671</v>
      </c>
      <c r="H544" s="69"/>
      <c r="I544" s="92">
        <v>0.05</v>
      </c>
      <c r="J544" s="93">
        <v>1000.0</v>
      </c>
      <c r="K544" s="73"/>
      <c r="L544" s="73"/>
      <c r="M544" s="73"/>
      <c r="N544" s="74"/>
    </row>
    <row r="545" ht="30.0" hidden="1" customHeight="1">
      <c r="A545" s="68">
        <v>553.0</v>
      </c>
      <c r="B545" s="68"/>
      <c r="C545" s="68"/>
      <c r="D545" s="69" t="str">
        <f>CONCATENATE(PROPER('DASMA INFO'!$G545),", ",PROPER('DASMA INFO'!$E545)," ",PROPER('DASMA INFO'!$F545),"."," (",UPPER('DASMA INFO'!$H545),")")</f>
        <v>Fandiñola, Lolita . ()</v>
      </c>
      <c r="E545" s="70" t="s">
        <v>1672</v>
      </c>
      <c r="F545" s="70"/>
      <c r="G545" s="70" t="s">
        <v>1673</v>
      </c>
      <c r="H545" s="69"/>
      <c r="I545" s="92">
        <v>0.05</v>
      </c>
      <c r="J545" s="93">
        <v>1000.0</v>
      </c>
      <c r="K545" s="73"/>
      <c r="L545" s="73"/>
      <c r="M545" s="73"/>
      <c r="N545" s="74"/>
    </row>
    <row r="546" ht="30.0" hidden="1" customHeight="1">
      <c r="A546" s="68">
        <v>554.0</v>
      </c>
      <c r="B546" s="68"/>
      <c r="C546" s="68"/>
      <c r="D546" s="69" t="str">
        <f>CONCATENATE(PROPER('DASMA INFO'!$G546),", ",PROPER('DASMA INFO'!$E546)," ",PROPER('DASMA INFO'!$F546),"."," (",UPPER('DASMA INFO'!$H546),")")</f>
        <v>Velasco, Emerenciano . ()</v>
      </c>
      <c r="E546" s="70" t="s">
        <v>1674</v>
      </c>
      <c r="F546" s="70"/>
      <c r="G546" s="70" t="s">
        <v>996</v>
      </c>
      <c r="H546" s="69"/>
      <c r="I546" s="92">
        <v>0.05</v>
      </c>
      <c r="J546" s="93">
        <v>1000.0</v>
      </c>
      <c r="K546" s="73"/>
      <c r="L546" s="73"/>
      <c r="M546" s="73"/>
      <c r="N546" s="74"/>
    </row>
    <row r="547" ht="30.0" hidden="1" customHeight="1">
      <c r="A547" s="68">
        <v>555.0</v>
      </c>
      <c r="B547" s="68"/>
      <c r="C547" s="68"/>
      <c r="D547" s="69" t="str">
        <f>CONCATENATE(PROPER('DASMA INFO'!$G547),", ",PROPER('DASMA INFO'!$E547)," ",PROPER('DASMA INFO'!$F547),"."," (",UPPER('DASMA INFO'!$H547),")")</f>
        <v>Yamba, Marelyn . ()</v>
      </c>
      <c r="E547" s="70" t="s">
        <v>1675</v>
      </c>
      <c r="F547" s="70"/>
      <c r="G547" s="70" t="s">
        <v>1676</v>
      </c>
      <c r="H547" s="69"/>
      <c r="I547" s="92">
        <v>0.05</v>
      </c>
      <c r="J547" s="93">
        <v>1000.0</v>
      </c>
      <c r="K547" s="73"/>
      <c r="L547" s="73"/>
      <c r="M547" s="73"/>
      <c r="N547" s="74"/>
    </row>
    <row r="548" ht="30.0" hidden="1" customHeight="1">
      <c r="A548" s="68">
        <v>556.0</v>
      </c>
      <c r="B548" s="68"/>
      <c r="C548" s="68"/>
      <c r="D548" s="69" t="str">
        <f>CONCATENATE(PROPER('DASMA INFO'!$G548),", ",PROPER('DASMA INFO'!$E548)," ",PROPER('DASMA INFO'!$F548),"."," (",UPPER('DASMA INFO'!$H548),")")</f>
        <v>Ventura, Liza . ()</v>
      </c>
      <c r="E548" s="70" t="s">
        <v>1677</v>
      </c>
      <c r="F548" s="70"/>
      <c r="G548" s="70" t="s">
        <v>1678</v>
      </c>
      <c r="H548" s="69"/>
      <c r="I548" s="92">
        <v>0.05</v>
      </c>
      <c r="J548" s="93">
        <v>1000.0</v>
      </c>
      <c r="K548" s="73"/>
      <c r="L548" s="73"/>
      <c r="M548" s="73"/>
      <c r="N548" s="74"/>
    </row>
    <row r="549" ht="30.0" hidden="1" customHeight="1">
      <c r="A549" s="68">
        <v>557.0</v>
      </c>
      <c r="B549" s="68"/>
      <c r="C549" s="68"/>
      <c r="D549" s="69" t="str">
        <f>CONCATENATE(PROPER('DASMA INFO'!$G549),", ",PROPER('DASMA INFO'!$E549)," ",PROPER('DASMA INFO'!$F549),"."," (",UPPER('DASMA INFO'!$H549),")")</f>
        <v>Cabero, Alice . ()</v>
      </c>
      <c r="E549" s="70" t="s">
        <v>1679</v>
      </c>
      <c r="F549" s="70"/>
      <c r="G549" s="70" t="s">
        <v>1680</v>
      </c>
      <c r="H549" s="69"/>
      <c r="I549" s="92">
        <v>0.05</v>
      </c>
      <c r="J549" s="93">
        <v>1000.0</v>
      </c>
      <c r="K549" s="73"/>
      <c r="L549" s="73"/>
      <c r="M549" s="73"/>
      <c r="N549" s="74"/>
    </row>
    <row r="550" ht="30.0" hidden="1" customHeight="1">
      <c r="A550" s="68">
        <v>558.0</v>
      </c>
      <c r="B550" s="68"/>
      <c r="C550" s="68"/>
      <c r="D550" s="69" t="str">
        <f>CONCATENATE(PROPER('DASMA INFO'!$G550),", ",PROPER('DASMA INFO'!$E550)," ",PROPER('DASMA INFO'!$F550),"."," (",UPPER('DASMA INFO'!$H550),")")</f>
        <v>Cabero, Florentino . ()</v>
      </c>
      <c r="E550" s="70" t="s">
        <v>1681</v>
      </c>
      <c r="F550" s="70"/>
      <c r="G550" s="70" t="s">
        <v>1680</v>
      </c>
      <c r="H550" s="69"/>
      <c r="I550" s="92">
        <v>0.05</v>
      </c>
      <c r="J550" s="93">
        <v>1000.0</v>
      </c>
      <c r="K550" s="73"/>
      <c r="L550" s="73"/>
      <c r="M550" s="73"/>
      <c r="N550" s="74"/>
    </row>
    <row r="551" ht="30.0" hidden="1" customHeight="1">
      <c r="A551" s="68">
        <v>559.0</v>
      </c>
      <c r="B551" s="68"/>
      <c r="C551" s="68"/>
      <c r="D551" s="69" t="str">
        <f>CONCATENATE(PROPER('DASMA INFO'!$G551),", ",PROPER('DASMA INFO'!$E551)," ",PROPER('DASMA INFO'!$F551),"."," (",UPPER('DASMA INFO'!$H551),")")</f>
        <v>Bautista, Anna Marie . ()</v>
      </c>
      <c r="E551" s="70" t="s">
        <v>1682</v>
      </c>
      <c r="F551" s="70"/>
      <c r="G551" s="70" t="s">
        <v>275</v>
      </c>
      <c r="H551" s="69"/>
      <c r="I551" s="92">
        <v>0.05</v>
      </c>
      <c r="J551" s="93">
        <v>1000.0</v>
      </c>
      <c r="K551" s="73"/>
      <c r="L551" s="73"/>
      <c r="M551" s="73"/>
      <c r="N551" s="74"/>
    </row>
    <row r="552" ht="30.0" hidden="1" customHeight="1">
      <c r="A552" s="68">
        <v>560.0</v>
      </c>
      <c r="B552" s="68"/>
      <c r="C552" s="68"/>
      <c r="D552" s="69" t="str">
        <f>CONCATENATE(PROPER('DASMA INFO'!$G552),", ",PROPER('DASMA INFO'!$E552)," ",PROPER('DASMA INFO'!$F552),"."," (",UPPER('DASMA INFO'!$H552),")")</f>
        <v>Morante, Jin . ()</v>
      </c>
      <c r="E552" s="70" t="s">
        <v>1683</v>
      </c>
      <c r="F552" s="70"/>
      <c r="G552" s="70" t="s">
        <v>1684</v>
      </c>
      <c r="H552" s="69"/>
      <c r="I552" s="92">
        <v>0.05</v>
      </c>
      <c r="J552" s="93">
        <v>1000.0</v>
      </c>
      <c r="K552" s="73"/>
      <c r="L552" s="73"/>
      <c r="M552" s="73"/>
      <c r="N552" s="74"/>
    </row>
    <row r="553" ht="30.0" hidden="1" customHeight="1">
      <c r="A553" s="68">
        <v>561.0</v>
      </c>
      <c r="B553" s="68"/>
      <c r="C553" s="68"/>
      <c r="D553" s="69" t="str">
        <f>CONCATENATE(PROPER('DASMA INFO'!$G553),", ",PROPER('DASMA INFO'!$E553)," ",PROPER('DASMA INFO'!$F553),"."," (",UPPER('DASMA INFO'!$H553),")")</f>
        <v>Pareja, Lorelie Ann . ()</v>
      </c>
      <c r="E553" s="70" t="s">
        <v>1685</v>
      </c>
      <c r="F553" s="70"/>
      <c r="G553" s="70" t="s">
        <v>1686</v>
      </c>
      <c r="H553" s="69"/>
      <c r="I553" s="92">
        <v>0.05</v>
      </c>
      <c r="J553" s="93">
        <v>1000.0</v>
      </c>
      <c r="K553" s="73"/>
      <c r="L553" s="73"/>
      <c r="M553" s="73"/>
      <c r="N553" s="74"/>
    </row>
    <row r="554" ht="30.0" hidden="1" customHeight="1">
      <c r="A554" s="68">
        <v>562.0</v>
      </c>
      <c r="B554" s="68"/>
      <c r="C554" s="68"/>
      <c r="D554" s="69" t="str">
        <f>CONCATENATE(PROPER('DASMA INFO'!$G554),", ",PROPER('DASMA INFO'!$E554)," ",PROPER('DASMA INFO'!$F554),"."," (",UPPER('DASMA INFO'!$H554),")")</f>
        <v>Caballero, Joemel . ()</v>
      </c>
      <c r="E554" s="70" t="s">
        <v>1687</v>
      </c>
      <c r="F554" s="70"/>
      <c r="G554" s="70" t="s">
        <v>1688</v>
      </c>
      <c r="H554" s="69"/>
      <c r="I554" s="92">
        <v>0.05</v>
      </c>
      <c r="J554" s="93">
        <v>1000.0</v>
      </c>
      <c r="K554" s="73"/>
      <c r="L554" s="73"/>
      <c r="M554" s="73"/>
      <c r="N554" s="74"/>
    </row>
    <row r="555" ht="30.0" hidden="1" customHeight="1">
      <c r="A555" s="68">
        <v>563.0</v>
      </c>
      <c r="B555" s="68"/>
      <c r="C555" s="68"/>
      <c r="D555" s="69" t="str">
        <f>CONCATENATE(PROPER('DASMA INFO'!$G555),", ",PROPER('DASMA INFO'!$E555)," ",PROPER('DASMA INFO'!$F555),"."," (",UPPER('DASMA INFO'!$H555),")")</f>
        <v>Peuerto, Ofelia . ()</v>
      </c>
      <c r="E555" s="70" t="s">
        <v>576</v>
      </c>
      <c r="F555" s="70"/>
      <c r="G555" s="70" t="s">
        <v>1689</v>
      </c>
      <c r="H555" s="69"/>
      <c r="I555" s="92">
        <v>0.05</v>
      </c>
      <c r="J555" s="93">
        <v>1000.0</v>
      </c>
      <c r="K555" s="73"/>
      <c r="L555" s="73"/>
      <c r="M555" s="73"/>
      <c r="N555" s="74"/>
    </row>
    <row r="556" ht="30.0" hidden="1" customHeight="1">
      <c r="A556" s="68">
        <v>564.0</v>
      </c>
      <c r="B556" s="68"/>
      <c r="C556" s="68"/>
      <c r="D556" s="69" t="str">
        <f>CONCATENATE(PROPER('DASMA INFO'!$G556),", ",PROPER('DASMA INFO'!$E556)," ",PROPER('DASMA INFO'!$F556),"."," (",UPPER('DASMA INFO'!$H556),")")</f>
        <v>Tero, Rodolfo . ()</v>
      </c>
      <c r="E556" s="70" t="s">
        <v>53</v>
      </c>
      <c r="F556" s="70"/>
      <c r="G556" s="70" t="s">
        <v>1690</v>
      </c>
      <c r="H556" s="69"/>
      <c r="I556" s="92">
        <v>0.05</v>
      </c>
      <c r="J556" s="93">
        <v>1000.0</v>
      </c>
      <c r="K556" s="73"/>
      <c r="L556" s="73"/>
      <c r="M556" s="73"/>
      <c r="N556" s="74"/>
    </row>
    <row r="557" ht="30.0" hidden="1" customHeight="1">
      <c r="A557" s="68">
        <v>565.0</v>
      </c>
      <c r="B557" s="68"/>
      <c r="C557" s="68"/>
      <c r="D557" s="69" t="str">
        <f>CONCATENATE(PROPER('DASMA INFO'!$G557),", ",PROPER('DASMA INFO'!$E557)," ",PROPER('DASMA INFO'!$F557),"."," (",UPPER('DASMA INFO'!$H557),")")</f>
        <v>Bendol, Muriel . ()</v>
      </c>
      <c r="E557" s="70" t="s">
        <v>1691</v>
      </c>
      <c r="F557" s="70"/>
      <c r="G557" s="70" t="s">
        <v>1692</v>
      </c>
      <c r="H557" s="69"/>
      <c r="I557" s="92">
        <v>0.05</v>
      </c>
      <c r="J557" s="93">
        <v>1000.0</v>
      </c>
      <c r="K557" s="73"/>
      <c r="L557" s="73"/>
      <c r="M557" s="73"/>
      <c r="N557" s="74"/>
    </row>
    <row r="558" ht="30.0" hidden="1" customHeight="1">
      <c r="A558" s="68">
        <v>566.0</v>
      </c>
      <c r="B558" s="68"/>
      <c r="C558" s="68"/>
      <c r="D558" s="69" t="str">
        <f>CONCATENATE(PROPER('DASMA INFO'!$G558),", ",PROPER('DASMA INFO'!$E558)," ",PROPER('DASMA INFO'!$F558),"."," (",UPPER('DASMA INFO'!$H558),")")</f>
        <v>Manalo, Barceliza . ()</v>
      </c>
      <c r="E558" s="70" t="s">
        <v>1693</v>
      </c>
      <c r="F558" s="70"/>
      <c r="G558" s="70" t="s">
        <v>1544</v>
      </c>
      <c r="H558" s="69"/>
      <c r="I558" s="92">
        <v>0.05</v>
      </c>
      <c r="J558" s="93">
        <v>1000.0</v>
      </c>
      <c r="K558" s="73"/>
      <c r="L558" s="73"/>
      <c r="M558" s="73"/>
      <c r="N558" s="74"/>
    </row>
    <row r="559" ht="30.0" hidden="1" customHeight="1">
      <c r="A559" s="68">
        <v>567.0</v>
      </c>
      <c r="B559" s="68"/>
      <c r="C559" s="68"/>
      <c r="D559" s="69" t="str">
        <f>CONCATENATE(PROPER('DASMA INFO'!$G559),", ",PROPER('DASMA INFO'!$E559)," ",PROPER('DASMA INFO'!$F559),"."," (",UPPER('DASMA INFO'!$H559),")")</f>
        <v>Enciso, Jocelyn . ()</v>
      </c>
      <c r="E559" s="70" t="s">
        <v>290</v>
      </c>
      <c r="F559" s="70"/>
      <c r="G559" s="70" t="s">
        <v>1694</v>
      </c>
      <c r="H559" s="69"/>
      <c r="I559" s="92">
        <v>0.05</v>
      </c>
      <c r="J559" s="93">
        <v>1000.0</v>
      </c>
      <c r="K559" s="73"/>
      <c r="L559" s="73"/>
      <c r="M559" s="73"/>
      <c r="N559" s="74"/>
    </row>
    <row r="560" ht="30.0" hidden="1" customHeight="1">
      <c r="A560" s="68">
        <v>568.0</v>
      </c>
      <c r="B560" s="68"/>
      <c r="C560" s="68"/>
      <c r="D560" s="69" t="str">
        <f>CONCATENATE(PROPER('DASMA INFO'!$G560),", ",PROPER('DASMA INFO'!$E560)," ",PROPER('DASMA INFO'!$F560),"."," (",UPPER('DASMA INFO'!$H560),")")</f>
        <v>Bolalin, Mardave . ()</v>
      </c>
      <c r="E560" s="70" t="s">
        <v>1695</v>
      </c>
      <c r="F560" s="70"/>
      <c r="G560" s="70" t="s">
        <v>1696</v>
      </c>
      <c r="H560" s="69"/>
      <c r="I560" s="92">
        <v>0.05</v>
      </c>
      <c r="J560" s="93">
        <v>1000.0</v>
      </c>
      <c r="K560" s="73"/>
      <c r="L560" s="73"/>
      <c r="M560" s="73"/>
      <c r="N560" s="74"/>
    </row>
    <row r="561" ht="30.0" hidden="1" customHeight="1">
      <c r="A561" s="68">
        <v>569.0</v>
      </c>
      <c r="B561" s="68"/>
      <c r="C561" s="68"/>
      <c r="D561" s="69" t="str">
        <f>CONCATENATE(PROPER('DASMA INFO'!$G561),", ",PROPER('DASMA INFO'!$E561)," ",PROPER('DASMA INFO'!$F561),"."," (",UPPER('DASMA INFO'!$H561),")")</f>
        <v>Espiritu, Maria Nove . ()</v>
      </c>
      <c r="E561" s="70" t="s">
        <v>1697</v>
      </c>
      <c r="F561" s="70"/>
      <c r="G561" s="70" t="s">
        <v>1698</v>
      </c>
      <c r="H561" s="69"/>
      <c r="I561" s="92">
        <v>0.05</v>
      </c>
      <c r="J561" s="93">
        <v>1000.0</v>
      </c>
      <c r="K561" s="73"/>
      <c r="L561" s="73"/>
      <c r="M561" s="73"/>
      <c r="N561" s="74"/>
    </row>
    <row r="562" ht="30.0" hidden="1" customHeight="1">
      <c r="A562" s="68">
        <v>570.0</v>
      </c>
      <c r="B562" s="68"/>
      <c r="C562" s="68"/>
      <c r="D562" s="69" t="str">
        <f>CONCATENATE(PROPER('DASMA INFO'!$G562),", ",PROPER('DASMA INFO'!$E562)," ",PROPER('DASMA INFO'!$F562),"."," (",UPPER('DASMA INFO'!$H562),")")</f>
        <v>Ifurung, Flordeliza . ()</v>
      </c>
      <c r="E562" s="70" t="s">
        <v>111</v>
      </c>
      <c r="F562" s="70"/>
      <c r="G562" s="70" t="s">
        <v>1699</v>
      </c>
      <c r="H562" s="69"/>
      <c r="I562" s="92">
        <v>0.05</v>
      </c>
      <c r="J562" s="93">
        <v>1000.0</v>
      </c>
      <c r="K562" s="73"/>
      <c r="L562" s="73"/>
      <c r="M562" s="73"/>
      <c r="N562" s="74"/>
    </row>
    <row r="563" ht="30.0" hidden="1" customHeight="1">
      <c r="A563" s="68">
        <v>571.0</v>
      </c>
      <c r="B563" s="68"/>
      <c r="C563" s="68"/>
      <c r="D563" s="69" t="str">
        <f>CONCATENATE(PROPER('DASMA INFO'!$G563),", ",PROPER('DASMA INFO'!$E563)," ",PROPER('DASMA INFO'!$F563),"."," (",UPPER('DASMA INFO'!$H563),")")</f>
        <v>Frias, Carlos Anthony E. ()</v>
      </c>
      <c r="E563" s="70" t="s">
        <v>1700</v>
      </c>
      <c r="F563" s="70" t="s">
        <v>299</v>
      </c>
      <c r="G563" s="70" t="s">
        <v>1701</v>
      </c>
      <c r="H563" s="70"/>
      <c r="I563" s="92">
        <v>0.05</v>
      </c>
      <c r="J563" s="93">
        <v>1000.0</v>
      </c>
      <c r="K563" s="73" t="s">
        <v>1017</v>
      </c>
      <c r="L563" s="73"/>
      <c r="M563" s="73"/>
      <c r="N563" s="74"/>
    </row>
    <row r="564" ht="30.0" hidden="1" customHeight="1">
      <c r="A564" s="68">
        <v>572.0</v>
      </c>
      <c r="B564" s="68"/>
      <c r="C564" s="68"/>
      <c r="D564" s="69" t="str">
        <f>CONCATENATE(PROPER('DASMA INFO'!$G564),", ",PROPER('DASMA INFO'!$E564)," ",PROPER('DASMA INFO'!$F564),"."," (",UPPER('DASMA INFO'!$H564),")")</f>
        <v>Frias, Carlos P. ()</v>
      </c>
      <c r="E564" s="70" t="s">
        <v>1404</v>
      </c>
      <c r="F564" s="70" t="s">
        <v>513</v>
      </c>
      <c r="G564" s="70" t="s">
        <v>1701</v>
      </c>
      <c r="H564" s="69"/>
      <c r="I564" s="92">
        <v>0.05</v>
      </c>
      <c r="J564" s="93">
        <v>1000.0</v>
      </c>
      <c r="K564" s="73" t="s">
        <v>1017</v>
      </c>
      <c r="L564" s="73"/>
      <c r="M564" s="73"/>
      <c r="N564" s="74"/>
    </row>
    <row r="565" ht="30.0" hidden="1" customHeight="1">
      <c r="A565" s="68">
        <v>573.0</v>
      </c>
      <c r="B565" s="68"/>
      <c r="C565" s="68"/>
      <c r="D565" s="69" t="str">
        <f>CONCATENATE(PROPER('DASMA INFO'!$G565),", ",PROPER('DASMA INFO'!$E565)," ",PROPER('DASMA INFO'!$F565),"."," (",UPPER('DASMA INFO'!$H565),")")</f>
        <v>Golfo, Reynaldo . ()</v>
      </c>
      <c r="E565" s="70" t="s">
        <v>1028</v>
      </c>
      <c r="F565" s="70"/>
      <c r="G565" s="70" t="s">
        <v>1702</v>
      </c>
      <c r="H565" s="69"/>
      <c r="I565" s="92">
        <v>0.05</v>
      </c>
      <c r="J565" s="93">
        <v>1000.0</v>
      </c>
      <c r="K565" s="73"/>
      <c r="L565" s="73"/>
      <c r="M565" s="73"/>
      <c r="N565" s="74"/>
    </row>
    <row r="566" ht="30.0" hidden="1" customHeight="1">
      <c r="A566" s="68">
        <v>574.0</v>
      </c>
      <c r="B566" s="68"/>
      <c r="C566" s="68"/>
      <c r="D566" s="69" t="str">
        <f>CONCATENATE(PROPER('DASMA INFO'!$G566),", ",PROPER('DASMA INFO'!$E566)," ",PROPER('DASMA INFO'!$F566),"."," (",UPPER('DASMA INFO'!$H566),")")</f>
        <v>Lim, Jotam A. ()</v>
      </c>
      <c r="E566" s="70" t="s">
        <v>1703</v>
      </c>
      <c r="F566" s="70" t="s">
        <v>427</v>
      </c>
      <c r="G566" s="70" t="s">
        <v>611</v>
      </c>
      <c r="H566" s="69"/>
      <c r="I566" s="92">
        <v>0.05</v>
      </c>
      <c r="J566" s="93">
        <v>1000.0</v>
      </c>
      <c r="K566" s="73" t="s">
        <v>968</v>
      </c>
      <c r="L566" s="73"/>
      <c r="M566" s="73"/>
      <c r="N566" s="74"/>
    </row>
    <row r="567" ht="30.0" hidden="1" customHeight="1">
      <c r="A567" s="68">
        <v>575.0</v>
      </c>
      <c r="B567" s="68"/>
      <c r="C567" s="68"/>
      <c r="D567" s="69" t="str">
        <f>CONCATENATE(PROPER('DASMA INFO'!$G567),", ",PROPER('DASMA INFO'!$E567)," ",PROPER('DASMA INFO'!$F567),"."," (",UPPER('DASMA INFO'!$H567),")")</f>
        <v>Aguilar, Celeste . ()</v>
      </c>
      <c r="E567" s="70" t="s">
        <v>1704</v>
      </c>
      <c r="F567" s="70"/>
      <c r="G567" s="70" t="s">
        <v>287</v>
      </c>
      <c r="H567" s="69"/>
      <c r="I567" s="92">
        <v>0.05</v>
      </c>
      <c r="J567" s="93">
        <v>1000.0</v>
      </c>
      <c r="K567" s="73"/>
      <c r="L567" s="73"/>
      <c r="M567" s="73"/>
      <c r="N567" s="74"/>
    </row>
    <row r="568" ht="30.0" hidden="1" customHeight="1">
      <c r="A568" s="68">
        <v>576.0</v>
      </c>
      <c r="B568" s="68"/>
      <c r="C568" s="68"/>
      <c r="D568" s="69" t="str">
        <f>CONCATENATE(PROPER('DASMA INFO'!$G568),", ",PROPER('DASMA INFO'!$E568)," ",PROPER('DASMA INFO'!$F568),"."," (",UPPER('DASMA INFO'!$H568),")")</f>
        <v>,  . ()</v>
      </c>
      <c r="E568" s="70"/>
      <c r="F568" s="70"/>
      <c r="G568" s="70"/>
      <c r="H568" s="69"/>
      <c r="I568" s="92">
        <v>0.05</v>
      </c>
      <c r="J568" s="93">
        <v>1000.0</v>
      </c>
      <c r="K568" s="73"/>
      <c r="L568" s="73"/>
      <c r="M568" s="73"/>
      <c r="N568" s="74"/>
    </row>
    <row r="569" ht="30.0" hidden="1" customHeight="1">
      <c r="A569" s="68">
        <v>577.0</v>
      </c>
      <c r="B569" s="68"/>
      <c r="C569" s="68"/>
      <c r="D569" s="69" t="str">
        <f>CONCATENATE(PROPER('DASMA INFO'!$G569),", ",PROPER('DASMA INFO'!$E569)," ",PROPER('DASMA INFO'!$F569),"."," (",UPPER('DASMA INFO'!$H569),")")</f>
        <v>Torralba, Junn . ()</v>
      </c>
      <c r="E569" s="70" t="s">
        <v>1705</v>
      </c>
      <c r="F569" s="70"/>
      <c r="G569" s="70" t="s">
        <v>1706</v>
      </c>
      <c r="H569" s="69"/>
      <c r="I569" s="92">
        <v>0.05</v>
      </c>
      <c r="J569" s="93">
        <v>1000.0</v>
      </c>
      <c r="K569" s="73"/>
      <c r="L569" s="73"/>
      <c r="M569" s="73"/>
      <c r="N569" s="74"/>
    </row>
    <row r="570" ht="30.0" hidden="1" customHeight="1">
      <c r="A570" s="68">
        <v>578.0</v>
      </c>
      <c r="B570" s="68"/>
      <c r="C570" s="68"/>
      <c r="D570" s="69" t="str">
        <f>CONCATENATE(PROPER('DASMA INFO'!$G570),", ",PROPER('DASMA INFO'!$E570)," ",PROPER('DASMA INFO'!$F570),"."," (",UPPER('DASMA INFO'!$H570),")")</f>
        <v>Amparo, Maria Majel . ()</v>
      </c>
      <c r="E570" s="70" t="s">
        <v>1707</v>
      </c>
      <c r="F570" s="70"/>
      <c r="G570" s="70" t="s">
        <v>1708</v>
      </c>
      <c r="H570" s="69"/>
      <c r="I570" s="92">
        <v>0.05</v>
      </c>
      <c r="J570" s="93">
        <v>1000.0</v>
      </c>
      <c r="K570" s="73"/>
      <c r="L570" s="73"/>
      <c r="M570" s="73"/>
      <c r="N570" s="74"/>
    </row>
    <row r="571" ht="30.0" hidden="1" customHeight="1">
      <c r="A571" s="68">
        <v>579.0</v>
      </c>
      <c r="B571" s="68"/>
      <c r="C571" s="68"/>
      <c r="D571" s="69" t="str">
        <f>CONCATENATE(PROPER('DASMA INFO'!$G571),", ",PROPER('DASMA INFO'!$E571)," ",PROPER('DASMA INFO'!$F571),"."," (",UPPER('DASMA INFO'!$H571),")")</f>
        <v>Magyaya, Jovan M. ()</v>
      </c>
      <c r="E571" s="70" t="s">
        <v>1709</v>
      </c>
      <c r="F571" s="70" t="s">
        <v>587</v>
      </c>
      <c r="G571" s="70" t="s">
        <v>1710</v>
      </c>
      <c r="H571" s="69"/>
      <c r="I571" s="92">
        <v>0.05</v>
      </c>
      <c r="J571" s="93">
        <v>1000.0</v>
      </c>
      <c r="K571" s="73" t="s">
        <v>1017</v>
      </c>
      <c r="L571" s="73"/>
      <c r="M571" s="73"/>
      <c r="N571" s="74"/>
    </row>
    <row r="572" ht="30.0" hidden="1" customHeight="1">
      <c r="A572" s="68">
        <v>580.0</v>
      </c>
      <c r="B572" s="68"/>
      <c r="C572" s="68"/>
      <c r="D572" s="69" t="str">
        <f>CONCATENATE(PROPER('DASMA INFO'!$G572),", ",PROPER('DASMA INFO'!$E572)," ",PROPER('DASMA INFO'!$F572),"."," (",UPPER('DASMA INFO'!$H572),")")</f>
        <v>Del Rosario, Noel . ()</v>
      </c>
      <c r="E572" s="70" t="s">
        <v>784</v>
      </c>
      <c r="F572" s="70"/>
      <c r="G572" s="70" t="s">
        <v>1711</v>
      </c>
      <c r="H572" s="69"/>
      <c r="I572" s="92">
        <v>0.05</v>
      </c>
      <c r="J572" s="93">
        <v>1000.0</v>
      </c>
      <c r="K572" s="73"/>
      <c r="L572" s="73"/>
      <c r="M572" s="73"/>
      <c r="N572" s="74"/>
    </row>
    <row r="573" ht="30.0" hidden="1" customHeight="1">
      <c r="A573" s="68">
        <v>581.0</v>
      </c>
      <c r="B573" s="68"/>
      <c r="C573" s="68"/>
      <c r="D573" s="69" t="str">
        <f>CONCATENATE(PROPER('DASMA INFO'!$G573),", ",PROPER('DASMA INFO'!$E573)," ",PROPER('DASMA INFO'!$F573),"."," (",UPPER('DASMA INFO'!$H573),")")</f>
        <v>Arroyo, Marie Jean . ()</v>
      </c>
      <c r="E573" s="70" t="s">
        <v>1712</v>
      </c>
      <c r="F573" s="70"/>
      <c r="G573" s="70" t="s">
        <v>1713</v>
      </c>
      <c r="H573" s="69"/>
      <c r="I573" s="92">
        <v>0.05</v>
      </c>
      <c r="J573" s="93">
        <v>1000.0</v>
      </c>
      <c r="K573" s="73"/>
      <c r="L573" s="73"/>
      <c r="M573" s="73"/>
      <c r="N573" s="74"/>
    </row>
    <row r="574" ht="30.0" hidden="1" customHeight="1">
      <c r="A574" s="68">
        <v>582.0</v>
      </c>
      <c r="B574" s="68"/>
      <c r="C574" s="68"/>
      <c r="D574" s="69" t="str">
        <f>CONCATENATE(PROPER('DASMA INFO'!$G574),", ",PROPER('DASMA INFO'!$E574)," ",PROPER('DASMA INFO'!$F574),"."," (",UPPER('DASMA INFO'!$H574),")")</f>
        <v>Telmo, Carmelita I. ()</v>
      </c>
      <c r="E574" s="70" t="s">
        <v>1714</v>
      </c>
      <c r="F574" s="70" t="s">
        <v>767</v>
      </c>
      <c r="G574" s="70" t="s">
        <v>1715</v>
      </c>
      <c r="H574" s="69"/>
      <c r="I574" s="92">
        <v>0.05</v>
      </c>
      <c r="J574" s="93">
        <v>1000.0</v>
      </c>
      <c r="K574" s="73" t="s">
        <v>963</v>
      </c>
      <c r="L574" s="73"/>
      <c r="M574" s="73"/>
      <c r="N574" s="74"/>
    </row>
    <row r="575" ht="30.0" hidden="1" customHeight="1">
      <c r="A575" s="68">
        <v>583.0</v>
      </c>
      <c r="B575" s="68"/>
      <c r="C575" s="68"/>
      <c r="D575" s="69" t="str">
        <f>CONCATENATE(PROPER('DASMA INFO'!$G575),", ",PROPER('DASMA INFO'!$E575)," ",PROPER('DASMA INFO'!$F575),"."," (",UPPER('DASMA INFO'!$H575),")")</f>
        <v>Estorque, Joey . ()</v>
      </c>
      <c r="E575" s="70" t="s">
        <v>1716</v>
      </c>
      <c r="F575" s="70"/>
      <c r="G575" s="70" t="s">
        <v>1717</v>
      </c>
      <c r="H575" s="69"/>
      <c r="I575" s="92">
        <v>0.05</v>
      </c>
      <c r="J575" s="93">
        <v>1000.0</v>
      </c>
      <c r="K575" s="73"/>
      <c r="L575" s="73"/>
      <c r="M575" s="73"/>
      <c r="N575" s="74"/>
    </row>
    <row r="576" ht="30.0" hidden="1" customHeight="1">
      <c r="A576" s="68">
        <v>584.0</v>
      </c>
      <c r="B576" s="68"/>
      <c r="C576" s="68"/>
      <c r="D576" s="69" t="str">
        <f>CONCATENATE(PROPER('DASMA INFO'!$G576),", ",PROPER('DASMA INFO'!$E576)," ",PROPER('DASMA INFO'!$F576),"."," (",UPPER('DASMA INFO'!$H576),")")</f>
        <v>Geremillo, Malou . ()</v>
      </c>
      <c r="E576" s="70" t="s">
        <v>1106</v>
      </c>
      <c r="F576" s="70"/>
      <c r="G576" s="70" t="s">
        <v>1718</v>
      </c>
      <c r="H576" s="69"/>
      <c r="I576" s="92">
        <v>0.05</v>
      </c>
      <c r="J576" s="93">
        <v>1000.0</v>
      </c>
      <c r="K576" s="73"/>
      <c r="L576" s="73"/>
      <c r="M576" s="73"/>
      <c r="N576" s="74"/>
    </row>
    <row r="577" ht="30.0" hidden="1" customHeight="1">
      <c r="A577" s="68">
        <v>585.0</v>
      </c>
      <c r="B577" s="68"/>
      <c r="C577" s="68"/>
      <c r="D577" s="69" t="str">
        <f>CONCATENATE(PROPER('DASMA INFO'!$G577),", ",PROPER('DASMA INFO'!$E577)," ",PROPER('DASMA INFO'!$F577),"."," (",UPPER('DASMA INFO'!$H577),")")</f>
        <v>Ybañez, Fr Rito . ()</v>
      </c>
      <c r="E577" s="70" t="s">
        <v>1719</v>
      </c>
      <c r="F577" s="70"/>
      <c r="G577" s="70" t="s">
        <v>1720</v>
      </c>
      <c r="H577" s="69"/>
      <c r="I577" s="92">
        <v>0.05</v>
      </c>
      <c r="J577" s="93">
        <v>1000.0</v>
      </c>
      <c r="K577" s="73"/>
      <c r="L577" s="73"/>
      <c r="M577" s="73"/>
      <c r="N577" s="74"/>
    </row>
    <row r="578" ht="30.0" hidden="1" customHeight="1">
      <c r="A578" s="68">
        <v>586.0</v>
      </c>
      <c r="B578" s="68"/>
      <c r="C578" s="68"/>
      <c r="D578" s="69" t="str">
        <f>CONCATENATE(PROPER('DASMA INFO'!$G578),", ",PROPER('DASMA INFO'!$E578)," ",PROPER('DASMA INFO'!$F578),"."," (",UPPER('DASMA INFO'!$H578),")")</f>
        <v>Yasis, Leslie Ann G. ()</v>
      </c>
      <c r="E578" s="70" t="s">
        <v>1721</v>
      </c>
      <c r="F578" s="70" t="s">
        <v>1032</v>
      </c>
      <c r="G578" s="70" t="s">
        <v>1722</v>
      </c>
      <c r="H578" s="70"/>
      <c r="I578" s="92">
        <v>0.05</v>
      </c>
      <c r="J578" s="93">
        <v>1000.0</v>
      </c>
      <c r="K578" s="73" t="s">
        <v>963</v>
      </c>
      <c r="L578" s="73"/>
      <c r="M578" s="73"/>
      <c r="N578" s="74"/>
    </row>
    <row r="579" ht="30.0" hidden="1" customHeight="1">
      <c r="A579" s="68">
        <v>587.0</v>
      </c>
      <c r="B579" s="68"/>
      <c r="C579" s="68"/>
      <c r="D579" s="69" t="str">
        <f>CONCATENATE(PROPER('DASMA INFO'!$G579),", ",PROPER('DASMA INFO'!$E579)," ",PROPER('DASMA INFO'!$F579),"."," (",UPPER('DASMA INFO'!$H579),")")</f>
        <v>Basco, Wilma . ()</v>
      </c>
      <c r="E579" s="70" t="s">
        <v>471</v>
      </c>
      <c r="F579" s="70"/>
      <c r="G579" s="70" t="s">
        <v>1723</v>
      </c>
      <c r="H579" s="70"/>
      <c r="I579" s="92">
        <v>0.05</v>
      </c>
      <c r="J579" s="93">
        <v>1000.0</v>
      </c>
      <c r="K579" s="73"/>
      <c r="L579" s="73"/>
      <c r="M579" s="73"/>
      <c r="N579" s="74"/>
    </row>
    <row r="580" ht="30.0" hidden="1" customHeight="1">
      <c r="A580" s="68">
        <v>588.0</v>
      </c>
      <c r="B580" s="68"/>
      <c r="C580" s="68"/>
      <c r="D580" s="69" t="str">
        <f>CONCATENATE(PROPER('DASMA INFO'!$G580),", ",PROPER('DASMA INFO'!$E580)," ",PROPER('DASMA INFO'!$F580),"."," (",UPPER('DASMA INFO'!$H580),")")</f>
        <v>Azucena, Jonathan . ()</v>
      </c>
      <c r="E580" s="70" t="s">
        <v>311</v>
      </c>
      <c r="F580" s="70"/>
      <c r="G580" s="70" t="s">
        <v>602</v>
      </c>
      <c r="H580" s="70"/>
      <c r="I580" s="92">
        <v>0.05</v>
      </c>
      <c r="J580" s="93">
        <v>1000.0</v>
      </c>
      <c r="K580" s="73"/>
      <c r="L580" s="73"/>
      <c r="M580" s="73"/>
      <c r="N580" s="74"/>
    </row>
    <row r="581" ht="30.0" hidden="1" customHeight="1">
      <c r="A581" s="68">
        <v>589.0</v>
      </c>
      <c r="B581" s="68"/>
      <c r="C581" s="68"/>
      <c r="D581" s="69" t="str">
        <f>CONCATENATE(PROPER('DASMA INFO'!$G581),", ",PROPER('DASMA INFO'!$E581)," ",PROPER('DASMA INFO'!$F581),"."," (",UPPER('DASMA INFO'!$H581),")")</f>
        <v>Dupa, Grace . ()</v>
      </c>
      <c r="E581" s="70" t="s">
        <v>1724</v>
      </c>
      <c r="F581" s="70"/>
      <c r="G581" s="70" t="s">
        <v>1725</v>
      </c>
      <c r="H581" s="70"/>
      <c r="I581" s="92">
        <v>0.05</v>
      </c>
      <c r="J581" s="93">
        <v>1000.0</v>
      </c>
      <c r="K581" s="73"/>
      <c r="L581" s="73"/>
      <c r="M581" s="73"/>
      <c r="N581" s="74"/>
    </row>
    <row r="582" ht="30.0" hidden="1" customHeight="1">
      <c r="A582" s="68">
        <v>590.0</v>
      </c>
      <c r="B582" s="68"/>
      <c r="C582" s="68"/>
      <c r="D582" s="69" t="str">
        <f>CONCATENATE(PROPER('DASMA INFO'!$G582),", ",PROPER('DASMA INFO'!$E582)," ",PROPER('DASMA INFO'!$F582),"."," (",UPPER('DASMA INFO'!$H582),")")</f>
        <v>Hidalgo, Jacklyn D. ()</v>
      </c>
      <c r="E582" s="70" t="s">
        <v>1726</v>
      </c>
      <c r="F582" s="70" t="s">
        <v>1078</v>
      </c>
      <c r="G582" s="70" t="s">
        <v>978</v>
      </c>
      <c r="H582" s="69"/>
      <c r="I582" s="92">
        <v>0.05</v>
      </c>
      <c r="J582" s="93">
        <v>1000.0</v>
      </c>
      <c r="K582" s="73"/>
      <c r="L582" s="73"/>
      <c r="M582" s="73"/>
      <c r="N582" s="74"/>
    </row>
    <row r="583" ht="30.0" hidden="1" customHeight="1">
      <c r="A583" s="68">
        <v>591.0</v>
      </c>
      <c r="B583" s="68"/>
      <c r="C583" s="68"/>
      <c r="D583" s="69" t="str">
        <f>CONCATENATE(PROPER('DASMA INFO'!$G583),", ",PROPER('DASMA INFO'!$E583)," ",PROPER('DASMA INFO'!$F583),"."," (",UPPER('DASMA INFO'!$H583),")")</f>
        <v>Sagpao, Oliva . ()</v>
      </c>
      <c r="E583" s="70" t="s">
        <v>1727</v>
      </c>
      <c r="F583" s="70"/>
      <c r="G583" s="70" t="s">
        <v>1728</v>
      </c>
      <c r="H583" s="69"/>
      <c r="I583" s="92">
        <v>0.05</v>
      </c>
      <c r="J583" s="93">
        <v>1000.0</v>
      </c>
      <c r="K583" s="73"/>
      <c r="L583" s="73"/>
      <c r="M583" s="73"/>
      <c r="N583" s="74"/>
    </row>
    <row r="584" ht="30.0" hidden="1" customHeight="1">
      <c r="A584" s="68">
        <v>592.0</v>
      </c>
      <c r="B584" s="68"/>
      <c r="C584" s="68"/>
      <c r="D584" s="69" t="str">
        <f>CONCATENATE(PROPER('DASMA INFO'!$G584),", ",PROPER('DASMA INFO'!$E584)," ",PROPER('DASMA INFO'!$F584),"."," (",UPPER('DASMA INFO'!$H584),")")</f>
        <v>Ducusin, Joanna Liza . ()</v>
      </c>
      <c r="E584" s="70" t="s">
        <v>1729</v>
      </c>
      <c r="F584" s="70"/>
      <c r="G584" s="70" t="s">
        <v>1730</v>
      </c>
      <c r="H584" s="69"/>
      <c r="I584" s="92">
        <v>0.05</v>
      </c>
      <c r="J584" s="93">
        <v>1000.0</v>
      </c>
      <c r="K584" s="73"/>
      <c r="L584" s="73"/>
      <c r="M584" s="73"/>
      <c r="N584" s="74"/>
    </row>
    <row r="585" ht="30.0" hidden="1" customHeight="1">
      <c r="A585" s="68">
        <v>593.0</v>
      </c>
      <c r="B585" s="68"/>
      <c r="C585" s="68"/>
      <c r="D585" s="69" t="str">
        <f>CONCATENATE(PROPER('DASMA INFO'!$G585),", ",PROPER('DASMA INFO'!$E585)," ",PROPER('DASMA INFO'!$F585),"."," (",UPPER('DASMA INFO'!$H585),")")</f>
        <v>Bernabe, Nimfa . ()</v>
      </c>
      <c r="E585" s="70" t="s">
        <v>1731</v>
      </c>
      <c r="F585" s="70"/>
      <c r="G585" s="70" t="s">
        <v>69</v>
      </c>
      <c r="H585" s="69"/>
      <c r="I585" s="92">
        <v>0.05</v>
      </c>
      <c r="J585" s="93">
        <v>1000.0</v>
      </c>
      <c r="K585" s="73"/>
      <c r="L585" s="73"/>
      <c r="M585" s="73"/>
      <c r="N585" s="74"/>
    </row>
    <row r="586" ht="30.0" hidden="1" customHeight="1">
      <c r="A586" s="68">
        <v>594.0</v>
      </c>
      <c r="B586" s="68"/>
      <c r="C586" s="68"/>
      <c r="D586" s="69" t="str">
        <f>CONCATENATE(PROPER('DASMA INFO'!$G586),", ",PROPER('DASMA INFO'!$E586)," ",PROPER('DASMA INFO'!$F586),"."," (",UPPER('DASMA INFO'!$H586),")")</f>
        <v>Kim, Leila M. ()</v>
      </c>
      <c r="E586" s="70" t="s">
        <v>1732</v>
      </c>
      <c r="F586" s="70" t="s">
        <v>587</v>
      </c>
      <c r="G586" s="70" t="s">
        <v>1392</v>
      </c>
      <c r="H586" s="69"/>
      <c r="I586" s="92">
        <v>0.05</v>
      </c>
      <c r="J586" s="93">
        <v>1000.0</v>
      </c>
      <c r="K586" s="73" t="s">
        <v>1733</v>
      </c>
      <c r="L586" s="73"/>
      <c r="M586" s="73"/>
      <c r="N586" s="74"/>
    </row>
    <row r="587" ht="30.0" hidden="1" customHeight="1">
      <c r="A587" s="68">
        <v>595.0</v>
      </c>
      <c r="B587" s="68"/>
      <c r="C587" s="68"/>
      <c r="D587" s="69" t="str">
        <f>CONCATENATE(PROPER('DASMA INFO'!$G587),", ",PROPER('DASMA INFO'!$E587)," ",PROPER('DASMA INFO'!$F587),"."," (",UPPER('DASMA INFO'!$H587),")")</f>
        <v>Bausim, Jessica . ()</v>
      </c>
      <c r="E587" s="70" t="s">
        <v>1734</v>
      </c>
      <c r="F587" s="70"/>
      <c r="G587" s="70" t="s">
        <v>1735</v>
      </c>
      <c r="H587" s="69"/>
      <c r="I587" s="92">
        <v>0.05</v>
      </c>
      <c r="J587" s="93">
        <v>1000.0</v>
      </c>
      <c r="K587" s="73"/>
      <c r="L587" s="73"/>
      <c r="M587" s="73"/>
      <c r="N587" s="74"/>
    </row>
    <row r="588" ht="30.0" hidden="1" customHeight="1">
      <c r="A588" s="68">
        <v>596.0</v>
      </c>
      <c r="B588" s="68"/>
      <c r="C588" s="68"/>
      <c r="D588" s="69" t="str">
        <f>CONCATENATE(PROPER('DASMA INFO'!$G588),", ",PROPER('DASMA INFO'!$E588)," ",PROPER('DASMA INFO'!$F588),"."," (",UPPER('DASMA INFO'!$H588),")")</f>
        <v>Amian, Manuel C. ()</v>
      </c>
      <c r="E588" s="70" t="s">
        <v>507</v>
      </c>
      <c r="F588" s="70" t="s">
        <v>318</v>
      </c>
      <c r="G588" s="70" t="s">
        <v>1736</v>
      </c>
      <c r="H588" s="69"/>
      <c r="I588" s="92">
        <v>0.05</v>
      </c>
      <c r="J588" s="93">
        <v>1000.0</v>
      </c>
      <c r="K588" s="73"/>
      <c r="L588" s="73"/>
      <c r="M588" s="73"/>
      <c r="N588" s="74"/>
    </row>
    <row r="589" ht="30.0" hidden="1" customHeight="1">
      <c r="A589" s="68">
        <v>597.0</v>
      </c>
      <c r="B589" s="68"/>
      <c r="C589" s="68"/>
      <c r="D589" s="69" t="str">
        <f>CONCATENATE(PROPER('DASMA INFO'!$G589),", ",PROPER('DASMA INFO'!$E589)," ",PROPER('DASMA INFO'!$F589),"."," (",UPPER('DASMA INFO'!$H589),")")</f>
        <v>Kim, Joan C. ()</v>
      </c>
      <c r="E589" s="70" t="s">
        <v>130</v>
      </c>
      <c r="F589" s="70" t="s">
        <v>318</v>
      </c>
      <c r="G589" s="70" t="s">
        <v>1392</v>
      </c>
      <c r="H589" s="69"/>
      <c r="I589" s="92">
        <v>0.05</v>
      </c>
      <c r="J589" s="93">
        <v>1000.0</v>
      </c>
      <c r="K589" s="73"/>
      <c r="L589" s="73"/>
      <c r="M589" s="73"/>
      <c r="N589" s="74"/>
    </row>
    <row r="590" ht="30.0" customHeight="1">
      <c r="A590" s="68">
        <v>598.0</v>
      </c>
      <c r="B590" s="68"/>
      <c r="C590" s="68"/>
      <c r="D590" s="69" t="str">
        <f>CONCATENATE(PROPER('DASMA INFO'!$G590),", ",PROPER('DASMA INFO'!$E590)," ",PROPER('DASMA INFO'!$F590),"."," (",UPPER('DASMA INFO'!$H590),")")</f>
        <v>Saez, Diomedes F. ()</v>
      </c>
      <c r="E590" s="70" t="s">
        <v>1737</v>
      </c>
      <c r="F590" s="70" t="s">
        <v>1738</v>
      </c>
      <c r="G590" s="70" t="s">
        <v>1739</v>
      </c>
      <c r="H590" s="69"/>
      <c r="I590" s="92">
        <v>0.05</v>
      </c>
      <c r="J590" s="93">
        <v>1000.0</v>
      </c>
      <c r="K590" s="73" t="s">
        <v>968</v>
      </c>
      <c r="L590" s="73"/>
      <c r="M590" s="73"/>
      <c r="N590" s="74"/>
    </row>
    <row r="591" ht="30.0" hidden="1" customHeight="1">
      <c r="A591" s="68">
        <v>599.0</v>
      </c>
      <c r="B591" s="68"/>
      <c r="C591" s="68"/>
      <c r="D591" s="69" t="str">
        <f>CONCATENATE(PROPER('DASMA INFO'!$G591),", ",PROPER('DASMA INFO'!$E591)," ",PROPER('DASMA INFO'!$F591),"."," (",UPPER('DASMA INFO'!$H591),")")</f>
        <v>Manas, Charles . ()</v>
      </c>
      <c r="E591" s="70" t="s">
        <v>1740</v>
      </c>
      <c r="F591" s="70"/>
      <c r="G591" s="70" t="s">
        <v>1741</v>
      </c>
      <c r="H591" s="69"/>
      <c r="I591" s="92">
        <v>0.05</v>
      </c>
      <c r="J591" s="93">
        <v>1000.0</v>
      </c>
      <c r="K591" s="73"/>
      <c r="L591" s="73"/>
      <c r="M591" s="73"/>
      <c r="N591" s="74"/>
    </row>
    <row r="592" ht="30.0" hidden="1" customHeight="1">
      <c r="A592" s="68">
        <v>600.0</v>
      </c>
      <c r="B592" s="68"/>
      <c r="C592" s="68"/>
      <c r="D592" s="69" t="str">
        <f>CONCATENATE(PROPER('DASMA INFO'!$G592),", ",PROPER('DASMA INFO'!$E592)," ",PROPER('DASMA INFO'!$F592),"."," (",UPPER('DASMA INFO'!$H592),")")</f>
        <v>Reformado, Julia . ()</v>
      </c>
      <c r="E592" s="70" t="s">
        <v>1742</v>
      </c>
      <c r="F592" s="70"/>
      <c r="G592" s="70" t="s">
        <v>1743</v>
      </c>
      <c r="H592" s="69"/>
      <c r="I592" s="92">
        <v>0.05</v>
      </c>
      <c r="J592" s="93">
        <v>1000.0</v>
      </c>
      <c r="K592" s="73"/>
      <c r="L592" s="73"/>
      <c r="M592" s="73"/>
      <c r="N592" s="74"/>
    </row>
    <row r="593" ht="30.0" hidden="1" customHeight="1">
      <c r="A593" s="68">
        <v>601.0</v>
      </c>
      <c r="B593" s="68"/>
      <c r="C593" s="68"/>
      <c r="D593" s="69" t="str">
        <f>CONCATENATE(PROPER('DASMA INFO'!$G593),", ",PROPER('DASMA INFO'!$E593)," ",PROPER('DASMA INFO'!$F593),"."," (",UPPER('DASMA INFO'!$H593),")")</f>
        <v>Santosildes, Ma Magdalena . ()</v>
      </c>
      <c r="E593" s="70" t="s">
        <v>1744</v>
      </c>
      <c r="F593" s="70"/>
      <c r="G593" s="70" t="s">
        <v>1745</v>
      </c>
      <c r="H593" s="69"/>
      <c r="I593" s="92">
        <v>0.05</v>
      </c>
      <c r="J593" s="93">
        <v>1000.0</v>
      </c>
      <c r="K593" s="73"/>
      <c r="L593" s="73"/>
      <c r="M593" s="73"/>
      <c r="N593" s="74"/>
    </row>
    <row r="594" ht="30.0" hidden="1" customHeight="1">
      <c r="A594" s="68">
        <v>602.0</v>
      </c>
      <c r="B594" s="68"/>
      <c r="C594" s="68"/>
      <c r="D594" s="69" t="str">
        <f>CONCATENATE(PROPER('DASMA INFO'!$G594),", ",PROPER('DASMA INFO'!$E594)," ",PROPER('DASMA INFO'!$F594),"."," (",UPPER('DASMA INFO'!$H594),")")</f>
        <v>Dela Cruz, Renato B. ()</v>
      </c>
      <c r="E594" s="70" t="s">
        <v>201</v>
      </c>
      <c r="F594" s="70" t="s">
        <v>627</v>
      </c>
      <c r="G594" s="70" t="s">
        <v>636</v>
      </c>
      <c r="H594" s="70"/>
      <c r="I594" s="92">
        <v>0.05</v>
      </c>
      <c r="J594" s="93">
        <v>1000.0</v>
      </c>
      <c r="K594" s="73"/>
      <c r="L594" s="73"/>
      <c r="M594" s="73"/>
      <c r="N594" s="74"/>
    </row>
    <row r="595" ht="30.0" hidden="1" customHeight="1">
      <c r="A595" s="68">
        <v>603.0</v>
      </c>
      <c r="B595" s="68"/>
      <c r="C595" s="68"/>
      <c r="D595" s="69" t="str">
        <f>CONCATENATE(PROPER('DASMA INFO'!$G595),", ",PROPER('DASMA INFO'!$E595)," ",PROPER('DASMA INFO'!$F595),"."," (",UPPER('DASMA INFO'!$H595),")")</f>
        <v>Molarto, Loida A. ()</v>
      </c>
      <c r="E595" s="70" t="s">
        <v>1630</v>
      </c>
      <c r="F595" s="70" t="s">
        <v>427</v>
      </c>
      <c r="G595" s="70" t="s">
        <v>1746</v>
      </c>
      <c r="H595" s="69"/>
      <c r="I595" s="92">
        <v>0.05</v>
      </c>
      <c r="J595" s="93">
        <v>1000.0</v>
      </c>
      <c r="K595" s="73" t="s">
        <v>1747</v>
      </c>
      <c r="L595" s="73"/>
      <c r="M595" s="73"/>
      <c r="N595" s="74"/>
    </row>
    <row r="596" ht="30.0" hidden="1" customHeight="1">
      <c r="A596" s="68">
        <v>604.0</v>
      </c>
      <c r="B596" s="68"/>
      <c r="C596" s="68"/>
      <c r="D596" s="69" t="str">
        <f>CONCATENATE(PROPER('DASMA INFO'!$G596),", ",PROPER('DASMA INFO'!$E596)," ",PROPER('DASMA INFO'!$F596),"."," (",UPPER('DASMA INFO'!$H596),")")</f>
        <v>Ignacio, Thelma I. ()</v>
      </c>
      <c r="E596" s="70" t="s">
        <v>542</v>
      </c>
      <c r="F596" s="70" t="s">
        <v>767</v>
      </c>
      <c r="G596" s="70" t="s">
        <v>333</v>
      </c>
      <c r="H596" s="69"/>
      <c r="I596" s="92">
        <v>0.05</v>
      </c>
      <c r="J596" s="93">
        <v>1000.0</v>
      </c>
      <c r="K596" s="73" t="s">
        <v>1748</v>
      </c>
      <c r="L596" s="73"/>
      <c r="M596" s="73"/>
      <c r="N596" s="74"/>
    </row>
    <row r="597" ht="30.0" hidden="1" customHeight="1">
      <c r="A597" s="68">
        <v>605.0</v>
      </c>
      <c r="B597" s="68"/>
      <c r="C597" s="68"/>
      <c r="D597" s="69" t="str">
        <f>CONCATENATE(PROPER('DASMA INFO'!$G597),", ",PROPER('DASMA INFO'!$E597)," ",PROPER('DASMA INFO'!$F597),"."," (",UPPER('DASMA INFO'!$H597),")")</f>
        <v>Rabanal, Jose S. ()</v>
      </c>
      <c r="E597" s="70" t="s">
        <v>303</v>
      </c>
      <c r="F597" s="70" t="s">
        <v>342</v>
      </c>
      <c r="G597" s="70" t="s">
        <v>1749</v>
      </c>
      <c r="H597" s="69"/>
      <c r="I597" s="92">
        <v>0.05</v>
      </c>
      <c r="J597" s="93">
        <v>1000.0</v>
      </c>
      <c r="K597" s="73"/>
      <c r="L597" s="73"/>
      <c r="M597" s="73"/>
      <c r="N597" s="74"/>
    </row>
    <row r="598" ht="30.0" hidden="1" customHeight="1">
      <c r="A598" s="68">
        <v>606.0</v>
      </c>
      <c r="B598" s="68"/>
      <c r="C598" s="68"/>
      <c r="D598" s="69" t="str">
        <f>CONCATENATE(PROPER('DASMA INFO'!$G598),", ",PROPER('DASMA INFO'!$E598)," ",PROPER('DASMA INFO'!$F598),"."," (",UPPER('DASMA INFO'!$H598),")")</f>
        <v>Domingo, John . ()</v>
      </c>
      <c r="E598" s="70" t="s">
        <v>1303</v>
      </c>
      <c r="F598" s="70"/>
      <c r="G598" s="70" t="s">
        <v>1331</v>
      </c>
      <c r="H598" s="69"/>
      <c r="I598" s="92">
        <v>0.05</v>
      </c>
      <c r="J598" s="93">
        <v>1000.0</v>
      </c>
      <c r="K598" s="73"/>
      <c r="L598" s="73"/>
      <c r="M598" s="73"/>
      <c r="N598" s="74"/>
    </row>
    <row r="599" ht="30.0" hidden="1" customHeight="1">
      <c r="A599" s="68">
        <v>607.0</v>
      </c>
      <c r="B599" s="68"/>
      <c r="C599" s="68"/>
      <c r="D599" s="69" t="str">
        <f>CONCATENATE(PROPER('DASMA INFO'!$G599),", ",PROPER('DASMA INFO'!$E599)," ",PROPER('DASMA INFO'!$F599),"."," (",UPPER('DASMA INFO'!$H599),")")</f>
        <v>Guillerma, Tero . ()</v>
      </c>
      <c r="E599" s="70" t="s">
        <v>1690</v>
      </c>
      <c r="F599" s="70"/>
      <c r="G599" s="70" t="s">
        <v>1750</v>
      </c>
      <c r="H599" s="69"/>
      <c r="I599" s="92">
        <v>0.05</v>
      </c>
      <c r="J599" s="93">
        <v>1000.0</v>
      </c>
      <c r="K599" s="73"/>
      <c r="L599" s="73"/>
      <c r="M599" s="73"/>
      <c r="N599" s="74"/>
    </row>
    <row r="600" ht="30.0" hidden="1" customHeight="1">
      <c r="A600" s="68">
        <v>608.0</v>
      </c>
      <c r="B600" s="68"/>
      <c r="C600" s="68"/>
      <c r="D600" s="69" t="str">
        <f>CONCATENATE(PROPER('DASMA INFO'!$G600),", ",PROPER('DASMA INFO'!$E600)," ",PROPER('DASMA INFO'!$F600),"."," (",UPPER('DASMA INFO'!$H600),")")</f>
        <v>De Monteverde , Berlyn . ()</v>
      </c>
      <c r="E600" s="70" t="s">
        <v>1751</v>
      </c>
      <c r="F600" s="70"/>
      <c r="G600" s="70" t="s">
        <v>1752</v>
      </c>
      <c r="H600" s="69"/>
      <c r="I600" s="92">
        <v>0.05</v>
      </c>
      <c r="J600" s="93">
        <v>1000.0</v>
      </c>
      <c r="K600" s="73"/>
      <c r="L600" s="73"/>
      <c r="M600" s="73"/>
      <c r="N600" s="74"/>
    </row>
    <row r="601" ht="30.0" hidden="1" customHeight="1">
      <c r="A601" s="68">
        <v>609.0</v>
      </c>
      <c r="B601" s="68"/>
      <c r="C601" s="68"/>
      <c r="D601" s="69" t="str">
        <f>CONCATENATE(PROPER('DASMA INFO'!$G601),", ",PROPER('DASMA INFO'!$E601)," ",PROPER('DASMA INFO'!$F601),"."," (",UPPER('DASMA INFO'!$H601),")")</f>
        <v>Bagood, Gerson . ()</v>
      </c>
      <c r="E601" s="70" t="s">
        <v>1753</v>
      </c>
      <c r="F601" s="70"/>
      <c r="G601" s="70" t="s">
        <v>1754</v>
      </c>
      <c r="H601" s="69"/>
      <c r="I601" s="92">
        <v>0.05</v>
      </c>
      <c r="J601" s="93">
        <v>1000.0</v>
      </c>
      <c r="K601" s="73"/>
      <c r="L601" s="73"/>
      <c r="M601" s="73"/>
      <c r="N601" s="74"/>
    </row>
    <row r="602" ht="30.0" hidden="1" customHeight="1">
      <c r="A602" s="68">
        <v>610.0</v>
      </c>
      <c r="B602" s="68"/>
      <c r="C602" s="68"/>
      <c r="D602" s="69" t="str">
        <f>CONCATENATE(PROPER('DASMA INFO'!$G602),", ",PROPER('DASMA INFO'!$E602)," ",PROPER('DASMA INFO'!$F602),"."," (",UPPER('DASMA INFO'!$H602),")")</f>
        <v>Pascua, Richard . ()</v>
      </c>
      <c r="E602" s="70" t="s">
        <v>1039</v>
      </c>
      <c r="F602" s="70"/>
      <c r="G602" s="70" t="s">
        <v>1755</v>
      </c>
      <c r="H602" s="69"/>
      <c r="I602" s="92">
        <v>0.05</v>
      </c>
      <c r="J602" s="93">
        <v>1000.0</v>
      </c>
      <c r="K602" s="73"/>
      <c r="L602" s="73"/>
      <c r="M602" s="73"/>
      <c r="N602" s="74"/>
    </row>
    <row r="603" ht="30.0" hidden="1" customHeight="1">
      <c r="A603" s="68">
        <v>611.0</v>
      </c>
      <c r="B603" s="68"/>
      <c r="C603" s="68"/>
      <c r="D603" s="69" t="str">
        <f>CONCATENATE(PROPER('DASMA INFO'!$G603),", ",PROPER('DASMA INFO'!$E603)," ",PROPER('DASMA INFO'!$F603),"."," (",UPPER('DASMA INFO'!$H603),")")</f>
        <v>Dela Cruz, Venuz . ()</v>
      </c>
      <c r="E603" s="70" t="s">
        <v>1756</v>
      </c>
      <c r="F603" s="70"/>
      <c r="G603" s="70" t="s">
        <v>636</v>
      </c>
      <c r="H603" s="69"/>
      <c r="I603" s="92">
        <v>0.05</v>
      </c>
      <c r="J603" s="93">
        <v>1000.0</v>
      </c>
      <c r="K603" s="73"/>
      <c r="L603" s="73"/>
      <c r="M603" s="73"/>
      <c r="N603" s="74"/>
    </row>
    <row r="604" ht="30.0" hidden="1" customHeight="1">
      <c r="A604" s="68">
        <v>612.0</v>
      </c>
      <c r="B604" s="68"/>
      <c r="C604" s="68"/>
      <c r="D604" s="69" t="str">
        <f>CONCATENATE(PROPER('DASMA INFO'!$G604),", ",PROPER('DASMA INFO'!$E604)," ",PROPER('DASMA INFO'!$F604),"."," (",UPPER('DASMA INFO'!$H604),")")</f>
        <v>Lampa, Vincent . ()</v>
      </c>
      <c r="E604" s="70" t="s">
        <v>1757</v>
      </c>
      <c r="F604" s="70"/>
      <c r="G604" s="70" t="s">
        <v>1758</v>
      </c>
      <c r="H604" s="69"/>
      <c r="I604" s="92">
        <v>0.05</v>
      </c>
      <c r="J604" s="93">
        <v>1000.0</v>
      </c>
      <c r="K604" s="73"/>
      <c r="L604" s="73"/>
      <c r="M604" s="73"/>
      <c r="N604" s="74"/>
    </row>
    <row r="605" ht="30.0" hidden="1" customHeight="1">
      <c r="A605" s="68">
        <v>613.0</v>
      </c>
      <c r="B605" s="68"/>
      <c r="C605" s="68"/>
      <c r="D605" s="69" t="str">
        <f>CONCATENATE(PROPER('DASMA INFO'!$G605),", ",PROPER('DASMA INFO'!$E605)," ",PROPER('DASMA INFO'!$F605),"."," (",UPPER('DASMA INFO'!$H605),")")</f>
        <v>Caymo, Efren . ()</v>
      </c>
      <c r="E605" s="70" t="s">
        <v>1013</v>
      </c>
      <c r="F605" s="70"/>
      <c r="G605" s="70" t="s">
        <v>1759</v>
      </c>
      <c r="H605" s="69"/>
      <c r="I605" s="92">
        <v>0.05</v>
      </c>
      <c r="J605" s="93">
        <v>1000.0</v>
      </c>
      <c r="K605" s="73"/>
      <c r="L605" s="73"/>
      <c r="M605" s="73"/>
      <c r="N605" s="74"/>
    </row>
    <row r="606" ht="30.0" hidden="1" customHeight="1">
      <c r="A606" s="68">
        <v>614.0</v>
      </c>
      <c r="B606" s="68"/>
      <c r="C606" s="68"/>
      <c r="D606" s="69" t="str">
        <f>CONCATENATE(PROPER('DASMA INFO'!$G606),", ",PROPER('DASMA INFO'!$E606)," ",PROPER('DASMA INFO'!$F606),"."," (",UPPER('DASMA INFO'!$H606),")")</f>
        <v>Carino, Bryan S. ()</v>
      </c>
      <c r="E606" s="70" t="s">
        <v>215</v>
      </c>
      <c r="F606" s="70" t="s">
        <v>342</v>
      </c>
      <c r="G606" s="70" t="s">
        <v>216</v>
      </c>
      <c r="H606" s="69"/>
      <c r="I606" s="92">
        <v>0.05</v>
      </c>
      <c r="J606" s="93">
        <v>1000.0</v>
      </c>
      <c r="K606" s="73" t="s">
        <v>1131</v>
      </c>
      <c r="L606" s="73"/>
      <c r="M606" s="73"/>
      <c r="N606" s="74"/>
    </row>
    <row r="607" ht="30.0" hidden="1" customHeight="1">
      <c r="A607" s="68">
        <v>615.0</v>
      </c>
      <c r="B607" s="68"/>
      <c r="C607" s="68"/>
      <c r="D607" s="69" t="str">
        <f>CONCATENATE(PROPER('DASMA INFO'!$G607),", ",PROPER('DASMA INFO'!$E607)," ",PROPER('DASMA INFO'!$F607),"."," (",UPPER('DASMA INFO'!$H607),")")</f>
        <v>Bangcola, Maria Erma B. ()</v>
      </c>
      <c r="E607" s="70" t="s">
        <v>1760</v>
      </c>
      <c r="F607" s="70" t="s">
        <v>627</v>
      </c>
      <c r="G607" s="70" t="s">
        <v>323</v>
      </c>
      <c r="H607" s="70"/>
      <c r="I607" s="92">
        <v>0.05</v>
      </c>
      <c r="J607" s="93">
        <v>1000.0</v>
      </c>
      <c r="K607" s="73" t="s">
        <v>968</v>
      </c>
      <c r="L607" s="73"/>
      <c r="M607" s="73"/>
      <c r="N607" s="74"/>
    </row>
    <row r="608" ht="30.0" hidden="1" customHeight="1">
      <c r="A608" s="68">
        <v>616.0</v>
      </c>
      <c r="B608" s="68"/>
      <c r="C608" s="68"/>
      <c r="D608" s="69" t="str">
        <f>CONCATENATE(PROPER('DASMA INFO'!$G608),", ",PROPER('DASMA INFO'!$E608)," ",PROPER('DASMA INFO'!$F608),"."," (",UPPER('DASMA INFO'!$H608),")")</f>
        <v>Andeo, Risdy . ()</v>
      </c>
      <c r="E608" s="70" t="s">
        <v>1761</v>
      </c>
      <c r="F608" s="70"/>
      <c r="G608" s="70" t="s">
        <v>1762</v>
      </c>
      <c r="H608" s="70"/>
      <c r="I608" s="92">
        <v>0.05</v>
      </c>
      <c r="J608" s="93">
        <v>1000.0</v>
      </c>
      <c r="K608" s="73"/>
      <c r="L608" s="73"/>
      <c r="M608" s="73"/>
      <c r="N608" s="74"/>
    </row>
    <row r="609" ht="30.0" hidden="1" customHeight="1">
      <c r="A609" s="68">
        <v>617.0</v>
      </c>
      <c r="B609" s="68"/>
      <c r="C609" s="68"/>
      <c r="D609" s="69" t="str">
        <f>CONCATENATE(PROPER('DASMA INFO'!$G609),", ",PROPER('DASMA INFO'!$E609)," ",PROPER('DASMA INFO'!$F609),"."," (",UPPER('DASMA INFO'!$H609),")")</f>
        <v>Natividad, Westhius . ()</v>
      </c>
      <c r="E609" s="70" t="s">
        <v>1763</v>
      </c>
      <c r="F609" s="70"/>
      <c r="G609" s="70" t="s">
        <v>1764</v>
      </c>
      <c r="H609" s="70"/>
      <c r="I609" s="92">
        <v>0.05</v>
      </c>
      <c r="J609" s="93">
        <v>1000.0</v>
      </c>
      <c r="K609" s="73"/>
      <c r="L609" s="73"/>
      <c r="M609" s="73"/>
      <c r="N609" s="74"/>
    </row>
    <row r="610" ht="30.0" hidden="1" customHeight="1">
      <c r="A610" s="68">
        <v>618.0</v>
      </c>
      <c r="B610" s="68"/>
      <c r="C610" s="68"/>
      <c r="D610" s="69" t="str">
        <f>CONCATENATE(PROPER('DASMA INFO'!$G610),", ",PROPER('DASMA INFO'!$E610)," ",PROPER('DASMA INFO'!$F610),"."," (",UPPER('DASMA INFO'!$H610),")")</f>
        <v>Melegrito, Myrna . ()</v>
      </c>
      <c r="E610" s="70" t="s">
        <v>586</v>
      </c>
      <c r="F610" s="70"/>
      <c r="G610" s="70" t="s">
        <v>1765</v>
      </c>
      <c r="H610" s="70"/>
      <c r="I610" s="92">
        <v>0.05</v>
      </c>
      <c r="J610" s="93">
        <v>1000.0</v>
      </c>
      <c r="K610" s="73"/>
      <c r="L610" s="73"/>
      <c r="M610" s="73"/>
      <c r="N610" s="74"/>
    </row>
    <row r="611" ht="30.0" hidden="1" customHeight="1">
      <c r="A611" s="68">
        <v>619.0</v>
      </c>
      <c r="B611" s="68"/>
      <c r="C611" s="68"/>
      <c r="D611" s="69" t="str">
        <f>CONCATENATE(PROPER('DASMA INFO'!$G611),", ",PROPER('DASMA INFO'!$E611)," ",PROPER('DASMA INFO'!$F611),"."," (",UPPER('DASMA INFO'!$H611),")")</f>
        <v>Noya, Jose . ()</v>
      </c>
      <c r="E611" s="70" t="s">
        <v>303</v>
      </c>
      <c r="F611" s="70"/>
      <c r="G611" s="69" t="s">
        <v>1766</v>
      </c>
      <c r="H611" s="69"/>
      <c r="I611" s="92">
        <v>0.05</v>
      </c>
      <c r="J611" s="93">
        <v>1000.0</v>
      </c>
      <c r="K611" s="73"/>
      <c r="L611" s="73"/>
      <c r="M611" s="73"/>
      <c r="N611" s="74"/>
    </row>
    <row r="612" ht="30.0" hidden="1" customHeight="1">
      <c r="A612" s="68">
        <v>620.0</v>
      </c>
      <c r="B612" s="68"/>
      <c r="C612" s="68"/>
      <c r="D612" s="69" t="str">
        <f>CONCATENATE(PROPER('DASMA INFO'!$G612),", ",PROPER('DASMA INFO'!$E612)," ",PROPER('DASMA INFO'!$F612),"."," (",UPPER('DASMA INFO'!$H612),")")</f>
        <v>Dayao, Irene . ()</v>
      </c>
      <c r="E612" s="70" t="s">
        <v>46</v>
      </c>
      <c r="F612" s="70"/>
      <c r="G612" s="69" t="s">
        <v>1767</v>
      </c>
      <c r="H612" s="69"/>
      <c r="I612" s="92">
        <v>0.05</v>
      </c>
      <c r="J612" s="93">
        <v>1000.0</v>
      </c>
      <c r="K612" s="73"/>
      <c r="L612" s="73"/>
      <c r="M612" s="73"/>
      <c r="N612" s="74"/>
    </row>
    <row r="613" ht="30.0" hidden="1" customHeight="1">
      <c r="A613" s="68">
        <v>621.0</v>
      </c>
      <c r="B613" s="68"/>
      <c r="C613" s="68"/>
      <c r="D613" s="69" t="str">
        <f>CONCATENATE(PROPER('DASMA INFO'!$G613),", ",PROPER('DASMA INFO'!$E613)," ",PROPER('DASMA INFO'!$F613),"."," (",UPPER('DASMA INFO'!$H613),")")</f>
        <v>Lim, Kenneth . ()</v>
      </c>
      <c r="E613" s="70" t="s">
        <v>419</v>
      </c>
      <c r="F613" s="70"/>
      <c r="G613" s="69" t="s">
        <v>611</v>
      </c>
      <c r="H613" s="69"/>
      <c r="I613" s="92">
        <v>0.05</v>
      </c>
      <c r="J613" s="93">
        <v>1000.0</v>
      </c>
      <c r="K613" s="73"/>
      <c r="L613" s="73"/>
      <c r="M613" s="73"/>
      <c r="N613" s="74"/>
    </row>
    <row r="614" ht="30.0" hidden="1" customHeight="1">
      <c r="A614" s="68">
        <v>622.0</v>
      </c>
      <c r="B614" s="68"/>
      <c r="C614" s="68"/>
      <c r="D614" s="69" t="str">
        <f>CONCATENATE(PROPER('DASMA INFO'!$G614),", ",PROPER('DASMA INFO'!$E614)," ",PROPER('DASMA INFO'!$F614),"."," (",UPPER('DASMA INFO'!$H614),")")</f>
        <v>Calaguing, Jerald . ()</v>
      </c>
      <c r="E614" s="70" t="s">
        <v>1768</v>
      </c>
      <c r="F614" s="70"/>
      <c r="G614" s="69" t="s">
        <v>1769</v>
      </c>
      <c r="H614" s="69"/>
      <c r="I614" s="92">
        <v>0.05</v>
      </c>
      <c r="J614" s="93">
        <v>1000.0</v>
      </c>
      <c r="K614" s="73"/>
      <c r="L614" s="73"/>
      <c r="M614" s="73"/>
      <c r="N614" s="74"/>
    </row>
    <row r="615" ht="30.0" hidden="1" customHeight="1">
      <c r="A615" s="68">
        <v>623.0</v>
      </c>
      <c r="B615" s="68"/>
      <c r="C615" s="68"/>
      <c r="D615" s="69" t="str">
        <f>CONCATENATE(PROPER('DASMA INFO'!$G615),", ",PROPER('DASMA INFO'!$E615)," ",PROPER('DASMA INFO'!$F615),"."," (",UPPER('DASMA INFO'!$H615),")")</f>
        <v>Ilagan, Eugenia . ()</v>
      </c>
      <c r="E615" s="70" t="s">
        <v>1770</v>
      </c>
      <c r="F615" s="70"/>
      <c r="G615" s="69" t="s">
        <v>738</v>
      </c>
      <c r="H615" s="69"/>
      <c r="I615" s="92">
        <v>0.05</v>
      </c>
      <c r="J615" s="93">
        <v>1000.0</v>
      </c>
      <c r="K615" s="73"/>
      <c r="L615" s="73"/>
      <c r="M615" s="73"/>
      <c r="N615" s="74"/>
    </row>
    <row r="616" ht="30.0" hidden="1" customHeight="1">
      <c r="A616" s="68">
        <v>624.0</v>
      </c>
      <c r="B616" s="68"/>
      <c r="C616" s="68"/>
      <c r="D616" s="69" t="str">
        <f>CONCATENATE(PROPER('DASMA INFO'!$G616),", ",PROPER('DASMA INFO'!$E616)," ",PROPER('DASMA INFO'!$F616),"."," (",UPPER('DASMA INFO'!$H616),")")</f>
        <v>Magleo, Remedios P. ()</v>
      </c>
      <c r="E616" s="70" t="s">
        <v>1771</v>
      </c>
      <c r="F616" s="70" t="s">
        <v>513</v>
      </c>
      <c r="G616" s="70" t="s">
        <v>1772</v>
      </c>
      <c r="H616" s="69"/>
      <c r="I616" s="92">
        <v>0.05</v>
      </c>
      <c r="J616" s="93">
        <v>1000.0</v>
      </c>
      <c r="K616" s="73" t="s">
        <v>968</v>
      </c>
      <c r="L616" s="73"/>
      <c r="M616" s="73"/>
      <c r="N616" s="74"/>
    </row>
    <row r="617" ht="30.0" hidden="1" customHeight="1">
      <c r="A617" s="68">
        <v>625.0</v>
      </c>
      <c r="B617" s="68"/>
      <c r="C617" s="68"/>
      <c r="D617" s="69" t="str">
        <f>CONCATENATE(PROPER('DASMA INFO'!$G617),", ",PROPER('DASMA INFO'!$E617)," ",PROPER('DASMA INFO'!$F617),"."," (",UPPER('DASMA INFO'!$H617),")")</f>
        <v>Altejos, Frederic . ()</v>
      </c>
      <c r="E617" s="70" t="s">
        <v>1773</v>
      </c>
      <c r="F617" s="70"/>
      <c r="G617" s="70" t="s">
        <v>1774</v>
      </c>
      <c r="H617" s="69"/>
      <c r="I617" s="92">
        <v>0.05</v>
      </c>
      <c r="J617" s="93">
        <v>1000.0</v>
      </c>
      <c r="K617" s="73"/>
      <c r="L617" s="73"/>
      <c r="M617" s="73"/>
      <c r="N617" s="74"/>
    </row>
    <row r="618" ht="30.0" hidden="1" customHeight="1">
      <c r="A618" s="68">
        <v>626.0</v>
      </c>
      <c r="B618" s="68"/>
      <c r="C618" s="68"/>
      <c r="D618" s="69" t="str">
        <f>CONCATENATE(PROPER('DASMA INFO'!$G618),", ",PROPER('DASMA INFO'!$E618)," ",PROPER('DASMA INFO'!$F618),"."," (",UPPER('DASMA INFO'!$H618),")")</f>
        <v>Bernabe, Nimfa . ()</v>
      </c>
      <c r="E618" s="70" t="s">
        <v>1731</v>
      </c>
      <c r="F618" s="70"/>
      <c r="G618" s="70" t="s">
        <v>69</v>
      </c>
      <c r="H618" s="69"/>
      <c r="I618" s="92">
        <v>0.05</v>
      </c>
      <c r="J618" s="93">
        <v>1000.0</v>
      </c>
      <c r="K618" s="73"/>
      <c r="L618" s="73"/>
      <c r="M618" s="73"/>
      <c r="N618" s="74"/>
    </row>
    <row r="619" ht="30.0" hidden="1" customHeight="1">
      <c r="A619" s="68">
        <v>627.0</v>
      </c>
      <c r="B619" s="68"/>
      <c r="C619" s="68"/>
      <c r="D619" s="69" t="str">
        <f>CONCATENATE(PROPER('DASMA INFO'!$G619),", ",PROPER('DASMA INFO'!$E619)," ",PROPER('DASMA INFO'!$F619),"."," (",UPPER('DASMA INFO'!$H619),")")</f>
        <v>Revalde, Elena C. ()</v>
      </c>
      <c r="E619" s="70" t="s">
        <v>478</v>
      </c>
      <c r="F619" s="70" t="s">
        <v>318</v>
      </c>
      <c r="G619" s="70" t="s">
        <v>479</v>
      </c>
      <c r="H619" s="69"/>
      <c r="I619" s="92">
        <v>0.05</v>
      </c>
      <c r="J619" s="93">
        <v>1000.0</v>
      </c>
      <c r="K619" s="73" t="s">
        <v>1775</v>
      </c>
      <c r="L619" s="73"/>
      <c r="M619" s="73"/>
      <c r="N619" s="74"/>
    </row>
    <row r="620" ht="30.0" hidden="1" customHeight="1">
      <c r="A620" s="68">
        <v>628.0</v>
      </c>
      <c r="B620" s="68"/>
      <c r="C620" s="68"/>
      <c r="D620" s="69" t="str">
        <f>CONCATENATE(PROPER('DASMA INFO'!$G620),", ",PROPER('DASMA INFO'!$E620)," ",PROPER('DASMA INFO'!$F620),"."," (",UPPER('DASMA INFO'!$H620),")")</f>
        <v>Lingling, Jessle . ()</v>
      </c>
      <c r="E620" s="70" t="s">
        <v>1776</v>
      </c>
      <c r="F620" s="70"/>
      <c r="G620" s="70" t="s">
        <v>1777</v>
      </c>
      <c r="H620" s="69"/>
      <c r="I620" s="92">
        <v>0.05</v>
      </c>
      <c r="J620" s="93">
        <v>1000.0</v>
      </c>
      <c r="K620" s="73"/>
      <c r="L620" s="73"/>
      <c r="M620" s="73"/>
      <c r="N620" s="74"/>
    </row>
    <row r="621" ht="30.0" hidden="1" customHeight="1">
      <c r="A621" s="68">
        <v>629.0</v>
      </c>
      <c r="B621" s="68"/>
      <c r="C621" s="68"/>
      <c r="D621" s="69" t="str">
        <f>CONCATENATE(PROPER('DASMA INFO'!$G621),", ",PROPER('DASMA INFO'!$E621)," ",PROPER('DASMA INFO'!$F621),"."," (",UPPER('DASMA INFO'!$H621),")")</f>
        <v>Doctora, Erlie . ()</v>
      </c>
      <c r="E621" s="70" t="s">
        <v>763</v>
      </c>
      <c r="F621" s="70"/>
      <c r="G621" s="70" t="s">
        <v>1778</v>
      </c>
      <c r="H621" s="69"/>
      <c r="I621" s="92">
        <v>0.05</v>
      </c>
      <c r="J621" s="93">
        <v>1000.0</v>
      </c>
      <c r="K621" s="73"/>
      <c r="L621" s="73"/>
      <c r="M621" s="73"/>
      <c r="N621" s="74"/>
    </row>
    <row r="622" ht="30.0" hidden="1" customHeight="1">
      <c r="A622" s="68">
        <v>630.0</v>
      </c>
      <c r="B622" s="68"/>
      <c r="C622" s="68"/>
      <c r="D622" s="69" t="str">
        <f>CONCATENATE(PROPER('DASMA INFO'!$G622),", ",PROPER('DASMA INFO'!$E622)," ",PROPER('DASMA INFO'!$F622),"."," (",UPPER('DASMA INFO'!$H622),")")</f>
        <v>Antigua, Achilus . ()</v>
      </c>
      <c r="E622" s="70" t="s">
        <v>1779</v>
      </c>
      <c r="F622" s="70"/>
      <c r="G622" s="70" t="s">
        <v>1780</v>
      </c>
      <c r="H622" s="69"/>
      <c r="I622" s="92">
        <v>0.05</v>
      </c>
      <c r="J622" s="93">
        <v>1000.0</v>
      </c>
      <c r="K622" s="73"/>
      <c r="L622" s="73"/>
      <c r="M622" s="73"/>
      <c r="N622" s="74"/>
    </row>
    <row r="623" ht="30.0" hidden="1" customHeight="1">
      <c r="A623" s="68">
        <v>631.0</v>
      </c>
      <c r="B623" s="68"/>
      <c r="C623" s="68"/>
      <c r="D623" s="69" t="str">
        <f>CONCATENATE(PROPER('DASMA INFO'!$G623),", ",PROPER('DASMA INFO'!$E623)," ",PROPER('DASMA INFO'!$F623),"."," (",UPPER('DASMA INFO'!$H623),")")</f>
        <v>Resurrecion, Glendolf . ()</v>
      </c>
      <c r="E623" s="70" t="s">
        <v>1781</v>
      </c>
      <c r="F623" s="70"/>
      <c r="G623" s="70" t="s">
        <v>1782</v>
      </c>
      <c r="H623" s="69"/>
      <c r="I623" s="92">
        <v>0.05</v>
      </c>
      <c r="J623" s="93">
        <v>1000.0</v>
      </c>
      <c r="K623" s="73"/>
      <c r="L623" s="73"/>
      <c r="M623" s="73"/>
      <c r="N623" s="74"/>
    </row>
    <row r="624" ht="30.0" hidden="1" customHeight="1">
      <c r="A624" s="68">
        <v>632.0</v>
      </c>
      <c r="B624" s="68"/>
      <c r="C624" s="68"/>
      <c r="D624" s="69" t="str">
        <f>CONCATENATE(PROPER('DASMA INFO'!$G624),", ",PROPER('DASMA INFO'!$E624)," ",PROPER('DASMA INFO'!$F624),"."," (",UPPER('DASMA INFO'!$H624),")")</f>
        <v>Perez, Mark . ()</v>
      </c>
      <c r="E624" s="70" t="s">
        <v>99</v>
      </c>
      <c r="F624" s="70"/>
      <c r="G624" s="70" t="s">
        <v>236</v>
      </c>
      <c r="H624" s="69"/>
      <c r="I624" s="92">
        <v>0.05</v>
      </c>
      <c r="J624" s="93">
        <v>1000.0</v>
      </c>
      <c r="K624" s="73"/>
      <c r="L624" s="73"/>
      <c r="M624" s="73"/>
      <c r="N624" s="74"/>
    </row>
    <row r="625" ht="30.0" hidden="1" customHeight="1">
      <c r="A625" s="68">
        <v>633.0</v>
      </c>
      <c r="B625" s="68"/>
      <c r="C625" s="68"/>
      <c r="D625" s="69" t="str">
        <f>CONCATENATE(PROPER('DASMA INFO'!$G625),", ",PROPER('DASMA INFO'!$E625)," ",PROPER('DASMA INFO'!$F625),"."," (",UPPER('DASMA INFO'!$H625),")")</f>
        <v>Salazar, Lito . ()</v>
      </c>
      <c r="E625" s="70" t="s">
        <v>758</v>
      </c>
      <c r="F625" s="70"/>
      <c r="G625" s="70" t="s">
        <v>1783</v>
      </c>
      <c r="H625" s="69"/>
      <c r="I625" s="92">
        <v>0.05</v>
      </c>
      <c r="J625" s="93">
        <v>1000.0</v>
      </c>
      <c r="K625" s="73"/>
      <c r="L625" s="73"/>
      <c r="M625" s="73"/>
      <c r="N625" s="74"/>
    </row>
    <row r="626" ht="30.0" hidden="1" customHeight="1">
      <c r="A626" s="68">
        <v>634.0</v>
      </c>
      <c r="B626" s="68"/>
      <c r="C626" s="68"/>
      <c r="D626" s="69" t="str">
        <f>CONCATENATE(PROPER('DASMA INFO'!$G626),", ",PROPER('DASMA INFO'!$E626)," ",PROPER('DASMA INFO'!$F626),"."," (",UPPER('DASMA INFO'!$H626),")")</f>
        <v>Toledo, Eduard . ()</v>
      </c>
      <c r="E626" s="70" t="s">
        <v>1784</v>
      </c>
      <c r="F626" s="70"/>
      <c r="G626" s="70" t="s">
        <v>1300</v>
      </c>
      <c r="H626" s="69"/>
      <c r="I626" s="92">
        <v>0.05</v>
      </c>
      <c r="J626" s="93">
        <v>1000.0</v>
      </c>
      <c r="K626" s="73"/>
      <c r="L626" s="73"/>
      <c r="M626" s="73"/>
      <c r="N626" s="74"/>
    </row>
    <row r="627" ht="30.0" hidden="1" customHeight="1">
      <c r="A627" s="68">
        <v>635.0</v>
      </c>
      <c r="B627" s="68"/>
      <c r="C627" s="68"/>
      <c r="D627" s="69" t="str">
        <f>CONCATENATE(PROPER('DASMA INFO'!$G627),", ",PROPER('DASMA INFO'!$E627)," ",PROPER('DASMA INFO'!$F627),"."," (",UPPER('DASMA INFO'!$H627),")")</f>
        <v>Caringal, Aprille . ()</v>
      </c>
      <c r="E627" s="70" t="s">
        <v>1785</v>
      </c>
      <c r="F627" s="70"/>
      <c r="G627" s="70" t="s">
        <v>1786</v>
      </c>
      <c r="H627" s="69"/>
      <c r="I627" s="92">
        <v>0.05</v>
      </c>
      <c r="J627" s="93">
        <v>1000.0</v>
      </c>
      <c r="K627" s="73"/>
      <c r="L627" s="73"/>
      <c r="M627" s="73"/>
      <c r="N627" s="74"/>
    </row>
    <row r="628" ht="30.0" hidden="1" customHeight="1">
      <c r="A628" s="68">
        <v>636.0</v>
      </c>
      <c r="B628" s="68"/>
      <c r="C628" s="68"/>
      <c r="D628" s="69" t="str">
        <f>CONCATENATE(PROPER('DASMA INFO'!$G628),", ",PROPER('DASMA INFO'!$E628)," ",PROPER('DASMA INFO'!$F628),"."," (",UPPER('DASMA INFO'!$H628),")")</f>
        <v>Ipponyari, Fukuro . ()</v>
      </c>
      <c r="E628" s="70" t="s">
        <v>1787</v>
      </c>
      <c r="F628" s="70"/>
      <c r="G628" s="70" t="s">
        <v>1788</v>
      </c>
      <c r="H628" s="69"/>
      <c r="I628" s="92">
        <v>0.05</v>
      </c>
      <c r="J628" s="93">
        <v>1000.0</v>
      </c>
      <c r="K628" s="73"/>
      <c r="L628" s="73"/>
      <c r="M628" s="73"/>
      <c r="N628" s="74"/>
    </row>
    <row r="629" ht="30.0" hidden="1" customHeight="1">
      <c r="A629" s="68">
        <v>637.0</v>
      </c>
      <c r="B629" s="68"/>
      <c r="C629" s="68"/>
      <c r="D629" s="69" t="str">
        <f>CONCATENATE(PROPER('DASMA INFO'!$G629),", ",PROPER('DASMA INFO'!$E629)," ",PROPER('DASMA INFO'!$F629),"."," (",UPPER('DASMA INFO'!$H629),")")</f>
        <v>Gala, Stephen . ()</v>
      </c>
      <c r="E629" s="70" t="s">
        <v>1789</v>
      </c>
      <c r="F629" s="70"/>
      <c r="G629" s="69" t="s">
        <v>1790</v>
      </c>
      <c r="H629" s="69"/>
      <c r="I629" s="92">
        <v>0.05</v>
      </c>
      <c r="J629" s="93">
        <v>1000.0</v>
      </c>
      <c r="K629" s="73"/>
      <c r="L629" s="73"/>
      <c r="M629" s="73"/>
      <c r="N629" s="74"/>
    </row>
    <row r="630" ht="30.0" hidden="1" customHeight="1">
      <c r="A630" s="68">
        <v>638.0</v>
      </c>
      <c r="B630" s="68"/>
      <c r="C630" s="68"/>
      <c r="D630" s="69" t="str">
        <f>CONCATENATE(PROPER('DASMA INFO'!$G630),", ",PROPER('DASMA INFO'!$E630)," ",PROPER('DASMA INFO'!$F630),"."," (",UPPER('DASMA INFO'!$H630),")")</f>
        <v>Chopchopen, Kathleen . ()</v>
      </c>
      <c r="E630" s="70" t="s">
        <v>1791</v>
      </c>
      <c r="F630" s="70"/>
      <c r="G630" s="69" t="s">
        <v>1792</v>
      </c>
      <c r="H630" s="69"/>
      <c r="I630" s="92">
        <v>0.05</v>
      </c>
      <c r="J630" s="93">
        <v>1000.0</v>
      </c>
      <c r="K630" s="73"/>
      <c r="L630" s="73"/>
      <c r="M630" s="73"/>
      <c r="N630" s="74"/>
    </row>
    <row r="631" ht="30.0" hidden="1" customHeight="1">
      <c r="A631" s="68">
        <v>639.0</v>
      </c>
      <c r="B631" s="68"/>
      <c r="C631" s="68"/>
      <c r="D631" s="69" t="str">
        <f>CONCATENATE(PROPER('DASMA INFO'!$G631),", ",PROPER('DASMA INFO'!$E631)," ",PROPER('DASMA INFO'!$F631),"."," (",UPPER('DASMA INFO'!$H631),")")</f>
        <v>Matsumura, Ester . ()</v>
      </c>
      <c r="E631" s="70" t="s">
        <v>966</v>
      </c>
      <c r="F631" s="70"/>
      <c r="G631" s="69" t="s">
        <v>1793</v>
      </c>
      <c r="H631" s="69"/>
      <c r="I631" s="92">
        <v>0.05</v>
      </c>
      <c r="J631" s="93">
        <v>1000.0</v>
      </c>
      <c r="K631" s="73"/>
      <c r="L631" s="73"/>
      <c r="M631" s="73"/>
      <c r="N631" s="74"/>
    </row>
    <row r="632" ht="30.0" hidden="1" customHeight="1">
      <c r="A632" s="68">
        <v>640.0</v>
      </c>
      <c r="B632" s="68"/>
      <c r="C632" s="68"/>
      <c r="D632" s="69" t="str">
        <f>CONCATENATE(PROPER('DASMA INFO'!$G632),", ",PROPER('DASMA INFO'!$E632)," ",PROPER('DASMA INFO'!$F632),"."," (",UPPER('DASMA INFO'!$H632),")")</f>
        <v>Santos, Marc Dominic . ()</v>
      </c>
      <c r="E632" s="70" t="s">
        <v>1794</v>
      </c>
      <c r="F632" s="70"/>
      <c r="G632" s="69" t="s">
        <v>204</v>
      </c>
      <c r="H632" s="69"/>
      <c r="I632" s="92">
        <v>0.05</v>
      </c>
      <c r="J632" s="93">
        <v>1000.0</v>
      </c>
      <c r="K632" s="73"/>
      <c r="L632" s="73"/>
      <c r="M632" s="73"/>
      <c r="N632" s="74"/>
    </row>
    <row r="633" ht="30.0" hidden="1" customHeight="1">
      <c r="A633" s="68">
        <v>641.0</v>
      </c>
      <c r="B633" s="68"/>
      <c r="C633" s="68"/>
      <c r="D633" s="69" t="str">
        <f>CONCATENATE(PROPER('DASMA INFO'!$G633),", ",PROPER('DASMA INFO'!$E633)," ",PROPER('DASMA INFO'!$F633),"."," (",UPPER('DASMA INFO'!$H633),")")</f>
        <v>De Chavez, Rosemila . ()</v>
      </c>
      <c r="E633" s="70" t="s">
        <v>1795</v>
      </c>
      <c r="F633" s="70"/>
      <c r="G633" s="69" t="s">
        <v>1796</v>
      </c>
      <c r="H633" s="69"/>
      <c r="I633" s="92">
        <v>0.05</v>
      </c>
      <c r="J633" s="93">
        <v>1000.0</v>
      </c>
      <c r="K633" s="73"/>
      <c r="L633" s="73"/>
      <c r="M633" s="73"/>
      <c r="N633" s="74"/>
    </row>
    <row r="634" ht="30.0" hidden="1" customHeight="1">
      <c r="A634" s="68">
        <v>642.0</v>
      </c>
      <c r="B634" s="68"/>
      <c r="C634" s="68"/>
      <c r="D634" s="69" t="str">
        <f>CONCATENATE(PROPER('DASMA INFO'!$G634),", ",PROPER('DASMA INFO'!$E634)," ",PROPER('DASMA INFO'!$F634),"."," (",UPPER('DASMA INFO'!$H634),")")</f>
        <v>Galaraga, Amelia . ()</v>
      </c>
      <c r="E634" s="70" t="s">
        <v>247</v>
      </c>
      <c r="F634" s="70"/>
      <c r="G634" s="69" t="s">
        <v>1797</v>
      </c>
      <c r="H634" s="69"/>
      <c r="I634" s="92">
        <v>0.05</v>
      </c>
      <c r="J634" s="93">
        <v>1000.0</v>
      </c>
      <c r="K634" s="73"/>
      <c r="L634" s="73"/>
      <c r="M634" s="73"/>
      <c r="N634" s="74"/>
    </row>
    <row r="635" ht="30.0" hidden="1" customHeight="1">
      <c r="A635" s="68">
        <v>643.0</v>
      </c>
      <c r="B635" s="68"/>
      <c r="C635" s="68"/>
      <c r="D635" s="69" t="str">
        <f>CONCATENATE(PROPER('DASMA INFO'!$G635),", ",PROPER('DASMA INFO'!$E635)," ",PROPER('DASMA INFO'!$F635),"."," (",UPPER('DASMA INFO'!$H635),")")</f>
        <v>Jin Sook Chang, Jeanne Lee . ()</v>
      </c>
      <c r="E635" s="70" t="s">
        <v>1798</v>
      </c>
      <c r="F635" s="70"/>
      <c r="G635" s="70" t="s">
        <v>1799</v>
      </c>
      <c r="H635" s="70"/>
      <c r="I635" s="92">
        <v>0.05</v>
      </c>
      <c r="J635" s="93">
        <v>1000.0</v>
      </c>
      <c r="K635" s="73" t="s">
        <v>1017</v>
      </c>
      <c r="L635" s="73"/>
      <c r="M635" s="73"/>
      <c r="N635" s="74"/>
    </row>
    <row r="636" ht="30.0" hidden="1" customHeight="1">
      <c r="A636" s="68">
        <v>644.0</v>
      </c>
      <c r="B636" s="68"/>
      <c r="C636" s="68"/>
      <c r="D636" s="69" t="str">
        <f>CONCATENATE(PROPER('DASMA INFO'!$G636),", ",PROPER('DASMA INFO'!$E636)," ",PROPER('DASMA INFO'!$F636),"."," (",UPPER('DASMA INFO'!$H636),")")</f>
        <v>Asilo, Ramil Gil E. ()</v>
      </c>
      <c r="E636" s="70" t="s">
        <v>1800</v>
      </c>
      <c r="F636" s="70" t="s">
        <v>299</v>
      </c>
      <c r="G636" s="70" t="s">
        <v>1801</v>
      </c>
      <c r="H636" s="70"/>
      <c r="I636" s="92">
        <v>0.05</v>
      </c>
      <c r="J636" s="93">
        <v>1000.0</v>
      </c>
      <c r="K636" s="73" t="s">
        <v>953</v>
      </c>
      <c r="L636" s="73"/>
      <c r="M636" s="73"/>
      <c r="N636" s="74"/>
    </row>
    <row r="637" ht="30.0" hidden="1" customHeight="1">
      <c r="A637" s="68">
        <v>645.0</v>
      </c>
      <c r="B637" s="68"/>
      <c r="C637" s="68"/>
      <c r="D637" s="69" t="str">
        <f>CONCATENATE(PROPER('DASMA INFO'!$G637),", ",PROPER('DASMA INFO'!$E637)," ",PROPER('DASMA INFO'!$F637),"."," (",UPPER('DASMA INFO'!$H637),")")</f>
        <v>Aquino, Helen . ()</v>
      </c>
      <c r="E637" s="70" t="s">
        <v>617</v>
      </c>
      <c r="F637" s="70"/>
      <c r="G637" s="70" t="s">
        <v>331</v>
      </c>
      <c r="H637" s="70"/>
      <c r="I637" s="92">
        <v>0.05</v>
      </c>
      <c r="J637" s="93">
        <v>1000.0</v>
      </c>
      <c r="K637" s="73"/>
      <c r="L637" s="73"/>
      <c r="M637" s="73"/>
      <c r="N637" s="74"/>
    </row>
    <row r="638" ht="30.0" hidden="1" customHeight="1">
      <c r="A638" s="68">
        <v>646.0</v>
      </c>
      <c r="B638" s="68"/>
      <c r="C638" s="68"/>
      <c r="D638" s="69" t="str">
        <f>CONCATENATE(PROPER('DASMA INFO'!$G638),", ",PROPER('DASMA INFO'!$E638)," ",PROPER('DASMA INFO'!$F638),"."," (",UPPER('DASMA INFO'!$H638),")")</f>
        <v>Henrich, Nora . ()</v>
      </c>
      <c r="E638" s="70" t="s">
        <v>1802</v>
      </c>
      <c r="F638" s="70"/>
      <c r="G638" s="70" t="s">
        <v>1803</v>
      </c>
      <c r="H638" s="70"/>
      <c r="I638" s="92">
        <v>0.05</v>
      </c>
      <c r="J638" s="93">
        <v>1000.0</v>
      </c>
      <c r="K638" s="73"/>
      <c r="L638" s="73"/>
      <c r="M638" s="73"/>
      <c r="N638" s="74"/>
    </row>
    <row r="639" ht="30.0" hidden="1" customHeight="1">
      <c r="A639" s="68">
        <v>647.0</v>
      </c>
      <c r="B639" s="68"/>
      <c r="C639" s="68"/>
      <c r="D639" s="69" t="str">
        <f>CONCATENATE(PROPER('DASMA INFO'!$G639),", ",PROPER('DASMA INFO'!$E639)," ",PROPER('DASMA INFO'!$F639),"."," (",UPPER('DASMA INFO'!$H639),")")</f>
        <v>Vega, Robert . ()</v>
      </c>
      <c r="E639" s="70" t="s">
        <v>320</v>
      </c>
      <c r="F639" s="70"/>
      <c r="G639" s="70" t="s">
        <v>1569</v>
      </c>
      <c r="H639" s="70"/>
      <c r="I639" s="92">
        <v>0.05</v>
      </c>
      <c r="J639" s="93">
        <v>1000.0</v>
      </c>
      <c r="K639" s="73"/>
      <c r="L639" s="73"/>
      <c r="M639" s="73"/>
      <c r="N639" s="74"/>
    </row>
    <row r="640" ht="30.0" hidden="1" customHeight="1">
      <c r="A640" s="68">
        <v>648.0</v>
      </c>
      <c r="B640" s="68"/>
      <c r="C640" s="68"/>
      <c r="D640" s="69" t="str">
        <f>CONCATENATE(PROPER('DASMA INFO'!$G640),", ",PROPER('DASMA INFO'!$E640)," ",PROPER('DASMA INFO'!$F640),"."," (",UPPER('DASMA INFO'!$H640),")")</f>
        <v>Chanchico, Victor . ()</v>
      </c>
      <c r="E640" s="70" t="s">
        <v>1804</v>
      </c>
      <c r="F640" s="70"/>
      <c r="G640" s="70" t="s">
        <v>1805</v>
      </c>
      <c r="H640" s="70"/>
      <c r="I640" s="92">
        <v>0.05</v>
      </c>
      <c r="J640" s="93">
        <v>1000.0</v>
      </c>
      <c r="K640" s="73"/>
      <c r="L640" s="73"/>
      <c r="M640" s="73"/>
      <c r="N640" s="74"/>
    </row>
    <row r="641" ht="30.0" hidden="1" customHeight="1">
      <c r="A641" s="68">
        <v>649.0</v>
      </c>
      <c r="B641" s="68"/>
      <c r="C641" s="68"/>
      <c r="D641" s="69" t="str">
        <f>CONCATENATE(PROPER('DASMA INFO'!$G641),", ",PROPER('DASMA INFO'!$E641)," ",PROPER('DASMA INFO'!$F641),"."," (",UPPER('DASMA INFO'!$H641),")")</f>
        <v>Soco, Karim/James/Analiza . ()</v>
      </c>
      <c r="E641" s="70" t="s">
        <v>1806</v>
      </c>
      <c r="F641" s="70"/>
      <c r="G641" s="70" t="s">
        <v>1807</v>
      </c>
      <c r="H641" s="69"/>
      <c r="I641" s="92">
        <v>0.05</v>
      </c>
      <c r="J641" s="93">
        <v>1000.0</v>
      </c>
      <c r="K641" s="73" t="s">
        <v>1808</v>
      </c>
      <c r="L641" s="73"/>
      <c r="M641" s="73"/>
      <c r="N641" s="74"/>
    </row>
    <row r="642" ht="30.0" hidden="1" customHeight="1">
      <c r="A642" s="68">
        <v>650.0</v>
      </c>
      <c r="B642" s="68"/>
      <c r="C642" s="68"/>
      <c r="D642" s="69" t="str">
        <f>CONCATENATE(PROPER('DASMA INFO'!$G642),", ",PROPER('DASMA INFO'!$E642)," ",PROPER('DASMA INFO'!$F642),"."," (",UPPER('DASMA INFO'!$H642),")")</f>
        <v>Bostrillo, Marylin . ()</v>
      </c>
      <c r="E642" s="70" t="s">
        <v>1809</v>
      </c>
      <c r="F642" s="70"/>
      <c r="G642" s="70" t="s">
        <v>1810</v>
      </c>
      <c r="H642" s="69"/>
      <c r="I642" s="92">
        <v>0.05</v>
      </c>
      <c r="J642" s="93">
        <v>1000.0</v>
      </c>
      <c r="K642" s="73"/>
      <c r="L642" s="73"/>
      <c r="M642" s="73"/>
      <c r="N642" s="74"/>
    </row>
    <row r="643" ht="30.0" hidden="1" customHeight="1">
      <c r="A643" s="68">
        <v>651.0</v>
      </c>
      <c r="B643" s="68"/>
      <c r="C643" s="68"/>
      <c r="D643" s="69" t="str">
        <f>CONCATENATE(PROPER('DASMA INFO'!$G643),", ",PROPER('DASMA INFO'!$E643)," ",PROPER('DASMA INFO'!$F643),"."," (",UPPER('DASMA INFO'!$H643),")")</f>
        <v>Cruz, Rolly B. ()</v>
      </c>
      <c r="E643" s="70" t="s">
        <v>547</v>
      </c>
      <c r="F643" s="70" t="s">
        <v>627</v>
      </c>
      <c r="G643" s="70" t="s">
        <v>676</v>
      </c>
      <c r="H643" s="69"/>
      <c r="I643" s="92">
        <v>0.05</v>
      </c>
      <c r="J643" s="93">
        <v>1000.0</v>
      </c>
      <c r="K643" s="73"/>
      <c r="L643" s="73"/>
      <c r="M643" s="73"/>
      <c r="N643" s="74"/>
    </row>
    <row r="644" ht="30.0" hidden="1" customHeight="1">
      <c r="A644" s="68">
        <v>652.0</v>
      </c>
      <c r="B644" s="68"/>
      <c r="C644" s="68"/>
      <c r="D644" s="69" t="str">
        <f>CONCATENATE(PROPER('DASMA INFO'!$G644),", ",PROPER('DASMA INFO'!$E644)," ",PROPER('DASMA INFO'!$F644),"."," (",UPPER('DASMA INFO'!$H644),")")</f>
        <v>Saba, Joey . ()</v>
      </c>
      <c r="E644" s="70" t="s">
        <v>1716</v>
      </c>
      <c r="F644" s="70"/>
      <c r="G644" s="70" t="s">
        <v>1451</v>
      </c>
      <c r="H644" s="69"/>
      <c r="I644" s="92">
        <v>0.05</v>
      </c>
      <c r="J644" s="93">
        <v>1000.0</v>
      </c>
      <c r="K644" s="73"/>
      <c r="L644" s="73"/>
      <c r="M644" s="73"/>
      <c r="N644" s="74"/>
    </row>
    <row r="645" ht="30.0" hidden="1" customHeight="1">
      <c r="A645" s="68">
        <v>653.0</v>
      </c>
      <c r="B645" s="68"/>
      <c r="C645" s="68"/>
      <c r="D645" s="69" t="str">
        <f>CONCATENATE(PROPER('DASMA INFO'!$G645),", ",PROPER('DASMA INFO'!$E645)," ",PROPER('DASMA INFO'!$F645),"."," (",UPPER('DASMA INFO'!$H645),")")</f>
        <v>Balde, Vivian . ()</v>
      </c>
      <c r="E645" s="70" t="s">
        <v>1811</v>
      </c>
      <c r="F645" s="70"/>
      <c r="G645" s="70" t="s">
        <v>1812</v>
      </c>
      <c r="H645" s="69"/>
      <c r="I645" s="92">
        <v>0.05</v>
      </c>
      <c r="J645" s="93">
        <v>1000.0</v>
      </c>
      <c r="K645" s="73"/>
      <c r="L645" s="73"/>
      <c r="M645" s="73"/>
      <c r="N645" s="74"/>
    </row>
    <row r="646" ht="30.0" hidden="1" customHeight="1">
      <c r="A646" s="68">
        <v>654.0</v>
      </c>
      <c r="B646" s="68"/>
      <c r="C646" s="68"/>
      <c r="D646" s="69" t="str">
        <f>CONCATENATE(PROPER('DASMA INFO'!$G646),", ",PROPER('DASMA INFO'!$E646)," ",PROPER('DASMA INFO'!$F646),"."," (",UPPER('DASMA INFO'!$H646),")")</f>
        <v>Isidro, Tony  . ()</v>
      </c>
      <c r="E646" s="70" t="s">
        <v>1813</v>
      </c>
      <c r="F646" s="70"/>
      <c r="G646" s="70" t="s">
        <v>722</v>
      </c>
      <c r="H646" s="69"/>
      <c r="I646" s="92">
        <v>0.05</v>
      </c>
      <c r="J646" s="93">
        <v>1000.0</v>
      </c>
      <c r="K646" s="73"/>
      <c r="L646" s="73"/>
      <c r="M646" s="73"/>
      <c r="N646" s="74"/>
    </row>
    <row r="647" ht="30.0" hidden="1" customHeight="1">
      <c r="A647" s="68">
        <v>655.0</v>
      </c>
      <c r="B647" s="68"/>
      <c r="C647" s="68"/>
      <c r="D647" s="69" t="str">
        <f>CONCATENATE(PROPER('DASMA INFO'!$G647),", ",PROPER('DASMA INFO'!$E647)," ",PROPER('DASMA INFO'!$F647),"."," (",UPPER('DASMA INFO'!$H647),")")</f>
        <v>Nombrado, Jumantoc Maria Irene . ()</v>
      </c>
      <c r="E647" s="70" t="s">
        <v>1814</v>
      </c>
      <c r="F647" s="70"/>
      <c r="G647" s="70" t="s">
        <v>1815</v>
      </c>
      <c r="H647" s="70"/>
      <c r="I647" s="92">
        <v>0.05</v>
      </c>
      <c r="J647" s="93">
        <v>1000.0</v>
      </c>
      <c r="K647" s="73" t="s">
        <v>1816</v>
      </c>
      <c r="L647" s="73"/>
      <c r="M647" s="73"/>
      <c r="N647" s="74"/>
    </row>
    <row r="648" ht="30.0" hidden="1" customHeight="1">
      <c r="A648" s="68">
        <v>656.0</v>
      </c>
      <c r="B648" s="68"/>
      <c r="C648" s="68"/>
      <c r="D648" s="69" t="str">
        <f>CONCATENATE(PROPER('DASMA INFO'!$G648),", ",PROPER('DASMA INFO'!$E648)," ",PROPER('DASMA INFO'!$F648),"."," (",UPPER('DASMA INFO'!$H648),")")</f>
        <v>Bontilao, Ma. Fe . ()</v>
      </c>
      <c r="E648" s="70" t="s">
        <v>1817</v>
      </c>
      <c r="F648" s="70"/>
      <c r="G648" s="70" t="s">
        <v>1818</v>
      </c>
      <c r="H648" s="70"/>
      <c r="I648" s="92">
        <v>0.05</v>
      </c>
      <c r="J648" s="93">
        <v>1000.0</v>
      </c>
      <c r="K648" s="73"/>
      <c r="L648" s="73"/>
      <c r="M648" s="73"/>
      <c r="N648" s="74"/>
    </row>
    <row r="649" ht="30.0" hidden="1" customHeight="1">
      <c r="A649" s="68">
        <v>657.0</v>
      </c>
      <c r="B649" s="68"/>
      <c r="C649" s="68"/>
      <c r="D649" s="69" t="str">
        <f>CONCATENATE(PROPER('DASMA INFO'!$G649),", ",PROPER('DASMA INFO'!$E649)," ",PROPER('DASMA INFO'!$F649),"."," (",UPPER('DASMA INFO'!$H649),")")</f>
        <v>Natividad, Araceli D. ()</v>
      </c>
      <c r="E649" s="70" t="s">
        <v>1819</v>
      </c>
      <c r="F649" s="70" t="s">
        <v>1078</v>
      </c>
      <c r="G649" s="70" t="s">
        <v>1764</v>
      </c>
      <c r="H649" s="69"/>
      <c r="I649" s="92">
        <v>0.05</v>
      </c>
      <c r="J649" s="93">
        <v>1000.0</v>
      </c>
      <c r="K649" s="73" t="s">
        <v>1820</v>
      </c>
      <c r="L649" s="73"/>
      <c r="M649" s="73"/>
      <c r="N649" s="74"/>
    </row>
    <row r="650" ht="30.0" hidden="1" customHeight="1">
      <c r="A650" s="68">
        <v>658.0</v>
      </c>
      <c r="B650" s="68"/>
      <c r="C650" s="68"/>
      <c r="D650" s="69" t="str">
        <f>CONCATENATE(PROPER('DASMA INFO'!$G650),", ",PROPER('DASMA INFO'!$E650)," ",PROPER('DASMA INFO'!$F650),"."," (",UPPER('DASMA INFO'!$H650),")")</f>
        <v>Cariazo, Rona . ()</v>
      </c>
      <c r="E650" s="70" t="s">
        <v>1821</v>
      </c>
      <c r="F650" s="70"/>
      <c r="G650" s="70" t="s">
        <v>1822</v>
      </c>
      <c r="H650" s="69"/>
      <c r="I650" s="92">
        <v>0.05</v>
      </c>
      <c r="J650" s="93">
        <v>1000.0</v>
      </c>
      <c r="K650" s="73"/>
      <c r="L650" s="73"/>
      <c r="M650" s="73"/>
      <c r="N650" s="74"/>
    </row>
    <row r="651" ht="30.0" hidden="1" customHeight="1">
      <c r="A651" s="68">
        <v>659.0</v>
      </c>
      <c r="B651" s="68"/>
      <c r="C651" s="68"/>
      <c r="D651" s="69" t="str">
        <f>CONCATENATE(PROPER('DASMA INFO'!$G651),", ",PROPER('DASMA INFO'!$E651)," ",PROPER('DASMA INFO'!$F651),"."," (",UPPER('DASMA INFO'!$H651),")")</f>
        <v>De Salit, Ronn Bryan . ()</v>
      </c>
      <c r="E651" s="70" t="s">
        <v>1823</v>
      </c>
      <c r="F651" s="70"/>
      <c r="G651" s="70" t="s">
        <v>1824</v>
      </c>
      <c r="H651" s="69"/>
      <c r="I651" s="92">
        <v>0.05</v>
      </c>
      <c r="J651" s="93">
        <v>1000.0</v>
      </c>
      <c r="K651" s="73"/>
      <c r="L651" s="73"/>
      <c r="M651" s="73"/>
      <c r="N651" s="74"/>
    </row>
    <row r="652" ht="30.0" hidden="1" customHeight="1">
      <c r="A652" s="68">
        <v>660.0</v>
      </c>
      <c r="B652" s="68"/>
      <c r="C652" s="68"/>
      <c r="D652" s="69" t="str">
        <f>CONCATENATE(PROPER('DASMA INFO'!$G652),", ",PROPER('DASMA INFO'!$E652)," ",PROPER('DASMA INFO'!$F652),"."," (",UPPER('DASMA INFO'!$H652),")")</f>
        <v>Sismundo, Rochelle . ()</v>
      </c>
      <c r="E652" s="70" t="s">
        <v>1825</v>
      </c>
      <c r="F652" s="70"/>
      <c r="G652" s="70" t="s">
        <v>1826</v>
      </c>
      <c r="H652" s="69"/>
      <c r="I652" s="92">
        <v>0.05</v>
      </c>
      <c r="J652" s="93">
        <v>1000.0</v>
      </c>
      <c r="K652" s="73"/>
      <c r="L652" s="73"/>
      <c r="M652" s="73"/>
      <c r="N652" s="74"/>
    </row>
    <row r="653" ht="30.0" hidden="1" customHeight="1">
      <c r="A653" s="68">
        <v>661.0</v>
      </c>
      <c r="B653" s="68"/>
      <c r="C653" s="68"/>
      <c r="D653" s="69" t="str">
        <f>CONCATENATE(PROPER('DASMA INFO'!$G653),", ",PROPER('DASMA INFO'!$E653)," ",PROPER('DASMA INFO'!$F653),"."," (",UPPER('DASMA INFO'!$H653),")")</f>
        <v>Porto, Violeta B. ()</v>
      </c>
      <c r="E653" s="70" t="s">
        <v>1827</v>
      </c>
      <c r="F653" s="70" t="s">
        <v>627</v>
      </c>
      <c r="G653" s="70" t="s">
        <v>1666</v>
      </c>
      <c r="H653" s="69"/>
      <c r="I653" s="92">
        <v>0.05</v>
      </c>
      <c r="J653" s="93">
        <v>1000.0</v>
      </c>
      <c r="K653" s="73"/>
      <c r="L653" s="73"/>
      <c r="M653" s="73"/>
      <c r="N653" s="74"/>
    </row>
    <row r="654" ht="30.0" hidden="1" customHeight="1">
      <c r="A654" s="68">
        <v>662.0</v>
      </c>
      <c r="B654" s="68"/>
      <c r="C654" s="68"/>
      <c r="D654" s="69" t="str">
        <f>CONCATENATE(PROPER('DASMA INFO'!$G654),", ",PROPER('DASMA INFO'!$E654)," ",PROPER('DASMA INFO'!$F654),"."," (",UPPER('DASMA INFO'!$H654),")")</f>
        <v>Paz, Oliva . ()</v>
      </c>
      <c r="E654" s="70" t="s">
        <v>1727</v>
      </c>
      <c r="F654" s="70"/>
      <c r="G654" s="70" t="s">
        <v>1828</v>
      </c>
      <c r="H654" s="69"/>
      <c r="I654" s="92">
        <v>0.05</v>
      </c>
      <c r="J654" s="93">
        <v>1000.0</v>
      </c>
      <c r="K654" s="73"/>
      <c r="L654" s="73"/>
      <c r="M654" s="73"/>
      <c r="N654" s="74"/>
    </row>
    <row r="655" ht="30.0" hidden="1" customHeight="1">
      <c r="A655" s="68">
        <v>663.0</v>
      </c>
      <c r="B655" s="68"/>
      <c r="C655" s="68"/>
      <c r="D655" s="69" t="str">
        <f>CONCATENATE(PROPER('DASMA INFO'!$G655),", ",PROPER('DASMA INFO'!$E655)," ",PROPER('DASMA INFO'!$F655),"."," (",UPPER('DASMA INFO'!$H655),")")</f>
        <v>Ammuguan, Jennifer . ()</v>
      </c>
      <c r="E655" s="70" t="s">
        <v>964</v>
      </c>
      <c r="F655" s="70"/>
      <c r="G655" s="70" t="s">
        <v>1829</v>
      </c>
      <c r="H655" s="69"/>
      <c r="I655" s="92">
        <v>0.05</v>
      </c>
      <c r="J655" s="93">
        <v>1000.0</v>
      </c>
      <c r="K655" s="73"/>
      <c r="L655" s="73"/>
      <c r="M655" s="73"/>
      <c r="N655" s="74"/>
    </row>
    <row r="656" ht="30.0" hidden="1" customHeight="1">
      <c r="A656" s="68">
        <v>664.0</v>
      </c>
      <c r="B656" s="68"/>
      <c r="C656" s="68"/>
      <c r="D656" s="69" t="str">
        <f>CONCATENATE(PROPER('DASMA INFO'!$G656),", ",PROPER('DASMA INFO'!$E656)," ",PROPER('DASMA INFO'!$F656),"."," (",UPPER('DASMA INFO'!$H656),")")</f>
        <v>Caraballos, Marites . ()</v>
      </c>
      <c r="E656" s="70" t="s">
        <v>892</v>
      </c>
      <c r="F656" s="70"/>
      <c r="G656" s="70" t="s">
        <v>1830</v>
      </c>
      <c r="H656" s="69"/>
      <c r="I656" s="92">
        <v>0.05</v>
      </c>
      <c r="J656" s="93">
        <v>1000.0</v>
      </c>
      <c r="K656" s="73"/>
      <c r="L656" s="73"/>
      <c r="M656" s="73"/>
      <c r="N656" s="74"/>
    </row>
    <row r="657" ht="30.0" hidden="1" customHeight="1">
      <c r="A657" s="68">
        <v>665.0</v>
      </c>
      <c r="B657" s="68"/>
      <c r="C657" s="68"/>
      <c r="D657" s="69" t="str">
        <f>CONCATENATE(PROPER('DASMA INFO'!$G657),", ",PROPER('DASMA INFO'!$E657)," ",PROPER('DASMA INFO'!$F657),"."," (",UPPER('DASMA INFO'!$H657),")")</f>
        <v>Diaz, Christian Bernard C. ()</v>
      </c>
      <c r="E657" s="70" t="s">
        <v>1831</v>
      </c>
      <c r="F657" s="70" t="s">
        <v>318</v>
      </c>
      <c r="G657" s="70" t="s">
        <v>653</v>
      </c>
      <c r="H657" s="70"/>
      <c r="I657" s="92">
        <v>0.05</v>
      </c>
      <c r="J657" s="93">
        <v>1000.0</v>
      </c>
      <c r="K657" s="73"/>
      <c r="L657" s="73"/>
      <c r="M657" s="73"/>
      <c r="N657" s="74"/>
    </row>
    <row r="658" ht="30.0" hidden="1" customHeight="1">
      <c r="A658" s="68">
        <v>666.0</v>
      </c>
      <c r="B658" s="68"/>
      <c r="C658" s="68"/>
      <c r="D658" s="69" t="str">
        <f>CONCATENATE(PROPER('DASMA INFO'!$G658),", ",PROPER('DASMA INFO'!$E658)," ",PROPER('DASMA INFO'!$F658),"."," (",UPPER('DASMA INFO'!$H658),")")</f>
        <v>Nuelan, Nancy . ()</v>
      </c>
      <c r="E658" s="70" t="s">
        <v>849</v>
      </c>
      <c r="F658" s="70"/>
      <c r="G658" s="70" t="s">
        <v>1832</v>
      </c>
      <c r="H658" s="70"/>
      <c r="I658" s="92">
        <v>0.05</v>
      </c>
      <c r="J658" s="93">
        <v>1000.0</v>
      </c>
      <c r="K658" s="73"/>
      <c r="L658" s="73"/>
      <c r="M658" s="73"/>
      <c r="N658" s="74"/>
    </row>
    <row r="659" ht="30.0" hidden="1" customHeight="1">
      <c r="A659" s="68">
        <v>667.0</v>
      </c>
      <c r="B659" s="68"/>
      <c r="C659" s="68"/>
      <c r="D659" s="69" t="str">
        <f>CONCATENATE(PROPER('DASMA INFO'!$G659),", ",PROPER('DASMA INFO'!$E659)," ",PROPER('DASMA INFO'!$F659),"."," (",UPPER('DASMA INFO'!$H659),")")</f>
        <v>Suansing, Elizabeth . ()</v>
      </c>
      <c r="E659" s="70" t="s">
        <v>458</v>
      </c>
      <c r="F659" s="70"/>
      <c r="G659" s="70" t="s">
        <v>1833</v>
      </c>
      <c r="H659" s="70"/>
      <c r="I659" s="92">
        <v>0.05</v>
      </c>
      <c r="J659" s="93">
        <v>1000.0</v>
      </c>
      <c r="K659" s="73"/>
      <c r="L659" s="73"/>
      <c r="M659" s="73"/>
      <c r="N659" s="74"/>
    </row>
    <row r="660" ht="30.0" hidden="1" customHeight="1">
      <c r="A660" s="68">
        <v>668.0</v>
      </c>
      <c r="B660" s="68"/>
      <c r="C660" s="68"/>
      <c r="D660" s="69" t="str">
        <f>CONCATENATE(PROPER('DASMA INFO'!$G660),", ",PROPER('DASMA INFO'!$E660)," ",PROPER('DASMA INFO'!$F660),"."," (",UPPER('DASMA INFO'!$H660),")")</f>
        <v>Manzano, Melandro D. ()</v>
      </c>
      <c r="E660" s="70" t="s">
        <v>1834</v>
      </c>
      <c r="F660" s="70" t="s">
        <v>1078</v>
      </c>
      <c r="G660" s="70" t="s">
        <v>1835</v>
      </c>
      <c r="H660" s="69"/>
      <c r="I660" s="92">
        <v>0.05</v>
      </c>
      <c r="J660" s="93">
        <v>1000.0</v>
      </c>
      <c r="K660" s="73" t="s">
        <v>1836</v>
      </c>
      <c r="L660" s="73"/>
      <c r="M660" s="73"/>
      <c r="N660" s="74"/>
    </row>
    <row r="661" ht="30.0" hidden="1" customHeight="1">
      <c r="A661" s="68">
        <v>669.0</v>
      </c>
      <c r="B661" s="68"/>
      <c r="C661" s="68"/>
      <c r="D661" s="69" t="str">
        <f>CONCATENATE(PROPER('DASMA INFO'!$G661),", ",PROPER('DASMA INFO'!$E661)," ",PROPER('DASMA INFO'!$F661),"."," (",UPPER('DASMA INFO'!$H661),")")</f>
        <v>Cosio, Eduardo L. ()</v>
      </c>
      <c r="E661" s="70" t="s">
        <v>1007</v>
      </c>
      <c r="F661" s="70" t="s">
        <v>648</v>
      </c>
      <c r="G661" s="70" t="s">
        <v>1837</v>
      </c>
      <c r="H661" s="69"/>
      <c r="I661" s="92">
        <v>0.05</v>
      </c>
      <c r="J661" s="93">
        <v>1000.0</v>
      </c>
      <c r="K661" s="73"/>
      <c r="L661" s="73"/>
      <c r="M661" s="73"/>
      <c r="N661" s="74"/>
    </row>
    <row r="662" ht="30.0" hidden="1" customHeight="1">
      <c r="A662" s="68">
        <v>670.0</v>
      </c>
      <c r="B662" s="68"/>
      <c r="C662" s="68"/>
      <c r="D662" s="69" t="str">
        <f>CONCATENATE(PROPER('DASMA INFO'!$G662),", ",PROPER('DASMA INFO'!$E662)," ",PROPER('DASMA INFO'!$F662),"."," (",UPPER('DASMA INFO'!$H662),")")</f>
        <v>Evelyn, Gene Sampson . ()</v>
      </c>
      <c r="E662" s="70" t="s">
        <v>1838</v>
      </c>
      <c r="F662" s="70"/>
      <c r="G662" s="70" t="s">
        <v>229</v>
      </c>
      <c r="H662" s="69"/>
      <c r="I662" s="92">
        <v>0.05</v>
      </c>
      <c r="J662" s="93">
        <v>1000.0</v>
      </c>
      <c r="K662" s="73"/>
      <c r="L662" s="73"/>
      <c r="M662" s="73"/>
      <c r="N662" s="74"/>
    </row>
    <row r="663" ht="30.0" hidden="1" customHeight="1">
      <c r="A663" s="68">
        <v>671.0</v>
      </c>
      <c r="B663" s="68"/>
      <c r="C663" s="68"/>
      <c r="D663" s="69" t="str">
        <f>CONCATENATE(PROPER('DASMA INFO'!$G663),", ",PROPER('DASMA INFO'!$E663)," ",PROPER('DASMA INFO'!$F663),"."," (",UPPER('DASMA INFO'!$H663),")")</f>
        <v>Pulido, Gina E. ()</v>
      </c>
      <c r="E663" s="70" t="s">
        <v>1103</v>
      </c>
      <c r="F663" s="70" t="s">
        <v>299</v>
      </c>
      <c r="G663" s="70" t="s">
        <v>368</v>
      </c>
      <c r="H663" s="69"/>
      <c r="I663" s="92">
        <v>0.05</v>
      </c>
      <c r="J663" s="93">
        <v>1000.0</v>
      </c>
      <c r="K663" s="73" t="s">
        <v>1839</v>
      </c>
      <c r="L663" s="73"/>
      <c r="M663" s="73"/>
      <c r="N663" s="74"/>
    </row>
    <row r="664" ht="30.0" hidden="1" customHeight="1">
      <c r="A664" s="68">
        <v>672.0</v>
      </c>
      <c r="B664" s="68"/>
      <c r="C664" s="68"/>
      <c r="D664" s="69" t="str">
        <f>CONCATENATE(PROPER('DASMA INFO'!$G664),", ",PROPER('DASMA INFO'!$E664)," ",PROPER('DASMA INFO'!$F664),"."," (",UPPER('DASMA INFO'!$H664),")")</f>
        <v>Pulido, Larry M. ()</v>
      </c>
      <c r="E664" s="70" t="s">
        <v>367</v>
      </c>
      <c r="F664" s="70" t="s">
        <v>587</v>
      </c>
      <c r="G664" s="70" t="s">
        <v>368</v>
      </c>
      <c r="H664" s="69"/>
      <c r="I664" s="92">
        <v>0.05</v>
      </c>
      <c r="J664" s="93">
        <v>1000.0</v>
      </c>
      <c r="K664" s="73"/>
      <c r="L664" s="73"/>
      <c r="M664" s="73"/>
      <c r="N664" s="74"/>
    </row>
    <row r="665" ht="30.0" hidden="1" customHeight="1">
      <c r="A665" s="68">
        <v>673.0</v>
      </c>
      <c r="B665" s="68"/>
      <c r="C665" s="68"/>
      <c r="D665" s="69" t="str">
        <f>CONCATENATE(PROPER('DASMA INFO'!$G665),", ",PROPER('DASMA INFO'!$E665)," ",PROPER('DASMA INFO'!$F665),"."," (",UPPER('DASMA INFO'!$H665),")")</f>
        <v>David, Lorna . ()</v>
      </c>
      <c r="E665" s="70" t="s">
        <v>276</v>
      </c>
      <c r="F665" s="70"/>
      <c r="G665" s="70" t="s">
        <v>1840</v>
      </c>
      <c r="H665" s="69"/>
      <c r="I665" s="92">
        <v>0.05</v>
      </c>
      <c r="J665" s="93">
        <v>1000.0</v>
      </c>
      <c r="K665" s="73"/>
      <c r="L665" s="73"/>
      <c r="M665" s="73"/>
      <c r="N665" s="74"/>
    </row>
    <row r="666" ht="30.0" hidden="1" customHeight="1">
      <c r="A666" s="68">
        <v>674.0</v>
      </c>
      <c r="B666" s="68"/>
      <c r="C666" s="68"/>
      <c r="D666" s="69" t="str">
        <f>CONCATENATE(PROPER('DASMA INFO'!$G666),", ",PROPER('DASMA INFO'!$E666)," ",PROPER('DASMA INFO'!$F666),"."," (",UPPER('DASMA INFO'!$H666),")")</f>
        <v>,  . ()</v>
      </c>
      <c r="E666" s="70"/>
      <c r="F666" s="70"/>
      <c r="G666" s="70"/>
      <c r="H666" s="69"/>
      <c r="I666" s="92">
        <v>0.05</v>
      </c>
      <c r="J666" s="93">
        <v>1000.0</v>
      </c>
      <c r="K666" s="73"/>
      <c r="L666" s="73"/>
      <c r="M666" s="73"/>
      <c r="N666" s="74"/>
    </row>
    <row r="667" ht="30.0" hidden="1" customHeight="1">
      <c r="A667" s="68">
        <v>675.0</v>
      </c>
      <c r="B667" s="68"/>
      <c r="C667" s="68"/>
      <c r="D667" s="69" t="str">
        <f>CONCATENATE(PROPER('DASMA INFO'!$G667),", ",PROPER('DASMA INFO'!$E667)," ",PROPER('DASMA INFO'!$F667),"."," (",UPPER('DASMA INFO'!$H667),")")</f>
        <v>Bulilan, Allan  . ()</v>
      </c>
      <c r="E667" s="70" t="s">
        <v>1841</v>
      </c>
      <c r="F667" s="70"/>
      <c r="G667" s="70" t="s">
        <v>1842</v>
      </c>
      <c r="H667" s="69"/>
      <c r="I667" s="92">
        <v>0.05</v>
      </c>
      <c r="J667" s="93">
        <v>1000.0</v>
      </c>
      <c r="K667" s="73"/>
      <c r="L667" s="73"/>
      <c r="M667" s="73"/>
      <c r="N667" s="74"/>
    </row>
    <row r="668" ht="30.0" hidden="1" customHeight="1">
      <c r="A668" s="68">
        <v>676.0</v>
      </c>
      <c r="B668" s="68"/>
      <c r="C668" s="68"/>
      <c r="D668" s="69" t="str">
        <f>CONCATENATE(PROPER('DASMA INFO'!$G668),", ",PROPER('DASMA INFO'!$E668)," ",PROPER('DASMA INFO'!$F668),"."," (",UPPER('DASMA INFO'!$H668),")")</f>
        <v>Saromo, Eugene . ()</v>
      </c>
      <c r="E668" s="70" t="s">
        <v>1843</v>
      </c>
      <c r="F668" s="70"/>
      <c r="G668" s="70" t="s">
        <v>1844</v>
      </c>
      <c r="H668" s="69"/>
      <c r="I668" s="92">
        <v>0.05</v>
      </c>
      <c r="J668" s="93">
        <v>1000.0</v>
      </c>
      <c r="K668" s="73"/>
      <c r="L668" s="73"/>
      <c r="M668" s="73"/>
      <c r="N668" s="74"/>
    </row>
    <row r="669" ht="30.0" hidden="1" customHeight="1">
      <c r="A669" s="68">
        <v>677.0</v>
      </c>
      <c r="B669" s="68"/>
      <c r="C669" s="68"/>
      <c r="D669" s="69" t="str">
        <f>CONCATENATE(PROPER('DASMA INFO'!$G669),", ",PROPER('DASMA INFO'!$E669)," ",PROPER('DASMA INFO'!$F669),"."," (",UPPER('DASMA INFO'!$H669),")")</f>
        <v>Vinoya, Rosita . ()</v>
      </c>
      <c r="E669" s="70" t="s">
        <v>1153</v>
      </c>
      <c r="F669" s="70"/>
      <c r="G669" s="70" t="s">
        <v>1845</v>
      </c>
      <c r="H669" s="69"/>
      <c r="I669" s="92">
        <v>0.05</v>
      </c>
      <c r="J669" s="93">
        <v>1000.0</v>
      </c>
      <c r="K669" s="73"/>
      <c r="L669" s="73"/>
      <c r="M669" s="73"/>
      <c r="N669" s="74"/>
    </row>
    <row r="670" ht="30.0" hidden="1" customHeight="1">
      <c r="A670" s="68">
        <v>678.0</v>
      </c>
      <c r="B670" s="68"/>
      <c r="C670" s="68"/>
      <c r="D670" s="69" t="str">
        <f>CONCATENATE(PROPER('DASMA INFO'!$G670),", ",PROPER('DASMA INFO'!$E670)," ",PROPER('DASMA INFO'!$F670),"."," (",UPPER('DASMA INFO'!$H670),")")</f>
        <v>Taneza, Jackielou . ()</v>
      </c>
      <c r="E670" s="70" t="s">
        <v>1846</v>
      </c>
      <c r="F670" s="70"/>
      <c r="G670" s="70" t="s">
        <v>1847</v>
      </c>
      <c r="H670" s="69"/>
      <c r="I670" s="92">
        <v>0.05</v>
      </c>
      <c r="J670" s="93">
        <v>1000.0</v>
      </c>
      <c r="K670" s="73"/>
      <c r="L670" s="73"/>
      <c r="M670" s="73"/>
      <c r="N670" s="74"/>
    </row>
    <row r="671" ht="30.0" hidden="1" customHeight="1">
      <c r="A671" s="68">
        <v>679.0</v>
      </c>
      <c r="B671" s="68"/>
      <c r="C671" s="68"/>
      <c r="D671" s="69" t="str">
        <f>CONCATENATE(PROPER('DASMA INFO'!$G671),", ",PROPER('DASMA INFO'!$E671)," ",PROPER('DASMA INFO'!$F671),"."," (",UPPER('DASMA INFO'!$H671),")")</f>
        <v>Kim, Jong  . ()</v>
      </c>
      <c r="E671" s="70" t="s">
        <v>1848</v>
      </c>
      <c r="F671" s="70"/>
      <c r="G671" s="70" t="s">
        <v>1392</v>
      </c>
      <c r="H671" s="69"/>
      <c r="I671" s="92">
        <v>0.05</v>
      </c>
      <c r="J671" s="93">
        <v>1000.0</v>
      </c>
      <c r="K671" s="73"/>
      <c r="L671" s="73"/>
      <c r="M671" s="73"/>
      <c r="N671" s="74"/>
    </row>
    <row r="672" ht="30.0" hidden="1" customHeight="1">
      <c r="A672" s="68">
        <v>680.0</v>
      </c>
      <c r="B672" s="68"/>
      <c r="C672" s="68"/>
      <c r="D672" s="69" t="str">
        <f>CONCATENATE(PROPER('DASMA INFO'!$G672),", ",PROPER('DASMA INFO'!$E672)," ",PROPER('DASMA INFO'!$F672),"."," (",UPPER('DASMA INFO'!$H672),")")</f>
        <v>Dalena, Charles L. ()</v>
      </c>
      <c r="E672" s="70" t="s">
        <v>1740</v>
      </c>
      <c r="F672" s="70" t="s">
        <v>648</v>
      </c>
      <c r="G672" s="70" t="s">
        <v>1849</v>
      </c>
      <c r="H672" s="69"/>
      <c r="I672" s="92">
        <v>0.05</v>
      </c>
      <c r="J672" s="93">
        <v>1000.0</v>
      </c>
      <c r="K672" s="73"/>
      <c r="L672" s="73"/>
      <c r="M672" s="73"/>
      <c r="N672" s="74"/>
    </row>
    <row r="673" ht="30.0" hidden="1" customHeight="1">
      <c r="A673" s="68">
        <v>681.0</v>
      </c>
      <c r="B673" s="68"/>
      <c r="C673" s="68"/>
      <c r="D673" s="69" t="str">
        <f>CONCATENATE(PROPER('DASMA INFO'!$G673),", ",PROPER('DASMA INFO'!$E673)," ",PROPER('DASMA INFO'!$F673),"."," (",UPPER('DASMA INFO'!$H673),")")</f>
        <v>Besana, Erlyn . ()</v>
      </c>
      <c r="E673" s="70" t="s">
        <v>1850</v>
      </c>
      <c r="F673" s="70"/>
      <c r="G673" s="70" t="s">
        <v>1851</v>
      </c>
      <c r="H673" s="69"/>
      <c r="I673" s="92">
        <v>0.05</v>
      </c>
      <c r="J673" s="93">
        <v>1000.0</v>
      </c>
      <c r="K673" s="73"/>
      <c r="L673" s="73"/>
      <c r="M673" s="73"/>
      <c r="N673" s="74"/>
    </row>
    <row r="674" ht="30.0" hidden="1" customHeight="1">
      <c r="A674" s="68">
        <v>682.0</v>
      </c>
      <c r="B674" s="68"/>
      <c r="C674" s="68"/>
      <c r="D674" s="69" t="str">
        <f>CONCATENATE(PROPER('DASMA INFO'!$G674),", ",PROPER('DASMA INFO'!$E674)," ",PROPER('DASMA INFO'!$F674),"."," (",UPPER('DASMA INFO'!$H674),")")</f>
        <v>Alcantara, Elias . ()</v>
      </c>
      <c r="E674" s="70" t="s">
        <v>1852</v>
      </c>
      <c r="F674" s="70"/>
      <c r="G674" s="70" t="s">
        <v>1853</v>
      </c>
      <c r="H674" s="69"/>
      <c r="I674" s="92">
        <v>0.05</v>
      </c>
      <c r="J674" s="93">
        <v>1000.0</v>
      </c>
      <c r="K674" s="73"/>
      <c r="L674" s="73"/>
      <c r="M674" s="73"/>
      <c r="N674" s="74"/>
    </row>
    <row r="675" ht="30.0" hidden="1" customHeight="1">
      <c r="A675" s="68">
        <v>683.0</v>
      </c>
      <c r="B675" s="68"/>
      <c r="C675" s="68"/>
      <c r="D675" s="69" t="str">
        <f>CONCATENATE(PROPER('DASMA INFO'!$G675),", ",PROPER('DASMA INFO'!$E675)," ",PROPER('DASMA INFO'!$F675),"."," (",UPPER('DASMA INFO'!$H675),")")</f>
        <v>Dacuba, Jenelyn . ()</v>
      </c>
      <c r="E675" s="70" t="s">
        <v>1854</v>
      </c>
      <c r="F675" s="70"/>
      <c r="G675" s="70" t="s">
        <v>1855</v>
      </c>
      <c r="H675" s="69"/>
      <c r="I675" s="92">
        <v>0.05</v>
      </c>
      <c r="J675" s="93">
        <v>1000.0</v>
      </c>
      <c r="K675" s="73"/>
      <c r="L675" s="73"/>
      <c r="M675" s="73"/>
      <c r="N675" s="74"/>
    </row>
    <row r="676" ht="30.0" hidden="1" customHeight="1">
      <c r="A676" s="68">
        <v>684.0</v>
      </c>
      <c r="B676" s="68"/>
      <c r="C676" s="68"/>
      <c r="D676" s="69" t="str">
        <f>CONCATENATE(PROPER('DASMA INFO'!$G676),", ",PROPER('DASMA INFO'!$E676)," ",PROPER('DASMA INFO'!$F676),"."," (",UPPER('DASMA INFO'!$H676),")")</f>
        <v>Amon, Marissa M. ()</v>
      </c>
      <c r="E676" s="70" t="s">
        <v>227</v>
      </c>
      <c r="F676" s="70" t="s">
        <v>587</v>
      </c>
      <c r="G676" s="70" t="s">
        <v>1856</v>
      </c>
      <c r="H676" s="69"/>
      <c r="I676" s="92">
        <v>0.05</v>
      </c>
      <c r="J676" s="93">
        <v>1000.0</v>
      </c>
      <c r="K676" s="73" t="s">
        <v>963</v>
      </c>
      <c r="L676" s="73"/>
      <c r="M676" s="73"/>
      <c r="N676" s="74"/>
    </row>
    <row r="677" ht="30.0" hidden="1" customHeight="1">
      <c r="A677" s="68">
        <v>685.0</v>
      </c>
      <c r="B677" s="68"/>
      <c r="C677" s="68"/>
      <c r="D677" s="69" t="str">
        <f>CONCATENATE(PROPER('DASMA INFO'!$G677),", ",PROPER('DASMA INFO'!$E677)," ",PROPER('DASMA INFO'!$F677),"."," (",UPPER('DASMA INFO'!$H677),")")</f>
        <v>Franciso, Jona . ()</v>
      </c>
      <c r="E677" s="70" t="s">
        <v>1857</v>
      </c>
      <c r="F677" s="70"/>
      <c r="G677" s="70" t="s">
        <v>1858</v>
      </c>
      <c r="H677" s="69"/>
      <c r="I677" s="92">
        <v>0.05</v>
      </c>
      <c r="J677" s="93">
        <v>1000.0</v>
      </c>
      <c r="K677" s="73"/>
      <c r="L677" s="73"/>
      <c r="M677" s="73"/>
      <c r="N677" s="74"/>
    </row>
    <row r="678" ht="30.0" hidden="1" customHeight="1">
      <c r="A678" s="68">
        <v>686.0</v>
      </c>
      <c r="B678" s="68"/>
      <c r="C678" s="68"/>
      <c r="D678" s="69" t="str">
        <f>CONCATENATE(PROPER('DASMA INFO'!$G678),", ",PROPER('DASMA INFO'!$E678)," ",PROPER('DASMA INFO'!$F678),"."," (",UPPER('DASMA INFO'!$H678),")")</f>
        <v>Royas, Zeny . ()</v>
      </c>
      <c r="E678" s="70" t="s">
        <v>1859</v>
      </c>
      <c r="F678" s="70"/>
      <c r="G678" s="70" t="s">
        <v>1860</v>
      </c>
      <c r="H678" s="69"/>
      <c r="I678" s="92">
        <v>0.05</v>
      </c>
      <c r="J678" s="93">
        <v>1000.0</v>
      </c>
      <c r="K678" s="73"/>
      <c r="L678" s="73"/>
      <c r="M678" s="73"/>
      <c r="N678" s="74"/>
    </row>
    <row r="679" ht="30.0" hidden="1" customHeight="1">
      <c r="A679" s="68">
        <v>687.0</v>
      </c>
      <c r="B679" s="68"/>
      <c r="C679" s="68"/>
      <c r="D679" s="69" t="str">
        <f>CONCATENATE(PROPER('DASMA INFO'!$G679),", ",PROPER('DASMA INFO'!$E679)," ",PROPER('DASMA INFO'!$F679),"."," (",UPPER('DASMA INFO'!$H679),")")</f>
        <v>Albas, Erlinda . ()</v>
      </c>
      <c r="E679" s="70" t="s">
        <v>1533</v>
      </c>
      <c r="F679" s="70"/>
      <c r="G679" s="70" t="s">
        <v>1861</v>
      </c>
      <c r="H679" s="69"/>
      <c r="I679" s="92">
        <v>0.05</v>
      </c>
      <c r="J679" s="93">
        <v>1000.0</v>
      </c>
      <c r="K679" s="73"/>
      <c r="L679" s="73"/>
      <c r="M679" s="73"/>
      <c r="N679" s="74"/>
    </row>
    <row r="680" ht="30.0" hidden="1" customHeight="1">
      <c r="A680" s="68">
        <v>688.0</v>
      </c>
      <c r="B680" s="68"/>
      <c r="C680" s="68"/>
      <c r="D680" s="69" t="str">
        <f>CONCATENATE(PROPER('DASMA INFO'!$G680),", ",PROPER('DASMA INFO'!$E680)," ",PROPER('DASMA INFO'!$F680),"."," (",UPPER('DASMA INFO'!$H680),")")</f>
        <v>Quisto, Elena . ()</v>
      </c>
      <c r="E680" s="70" t="s">
        <v>478</v>
      </c>
      <c r="F680" s="70"/>
      <c r="G680" s="70" t="s">
        <v>1862</v>
      </c>
      <c r="H680" s="69"/>
      <c r="I680" s="92">
        <v>0.05</v>
      </c>
      <c r="J680" s="93">
        <v>1000.0</v>
      </c>
      <c r="K680" s="73"/>
      <c r="L680" s="73"/>
      <c r="M680" s="73"/>
      <c r="N680" s="74"/>
    </row>
    <row r="681" ht="30.0" hidden="1" customHeight="1">
      <c r="A681" s="68">
        <v>689.0</v>
      </c>
      <c r="B681" s="68"/>
      <c r="C681" s="68"/>
      <c r="D681" s="69" t="str">
        <f>CONCATENATE(PROPER('DASMA INFO'!$G681),", ",PROPER('DASMA INFO'!$E681)," ",PROPER('DASMA INFO'!$F681),"."," (",UPPER('DASMA INFO'!$H681),")")</f>
        <v>Cabantac, Jean . ()</v>
      </c>
      <c r="E681" s="70" t="s">
        <v>1608</v>
      </c>
      <c r="F681" s="70"/>
      <c r="G681" s="70" t="s">
        <v>1863</v>
      </c>
      <c r="H681" s="69"/>
      <c r="I681" s="92">
        <v>0.05</v>
      </c>
      <c r="J681" s="93">
        <v>1000.0</v>
      </c>
      <c r="K681" s="73"/>
      <c r="L681" s="73"/>
      <c r="M681" s="73"/>
      <c r="N681" s="74"/>
    </row>
    <row r="682" ht="30.0" hidden="1" customHeight="1">
      <c r="A682" s="68">
        <v>690.0</v>
      </c>
      <c r="B682" s="68"/>
      <c r="C682" s="68"/>
      <c r="D682" s="69" t="str">
        <f>CONCATENATE(PROPER('DASMA INFO'!$G682),", ",PROPER('DASMA INFO'!$E682)," ",PROPER('DASMA INFO'!$F682),"."," (",UPPER('DASMA INFO'!$H682),")")</f>
        <v>Pascua, Amor . ()</v>
      </c>
      <c r="E682" s="70" t="s">
        <v>660</v>
      </c>
      <c r="F682" s="70"/>
      <c r="G682" s="70" t="s">
        <v>1755</v>
      </c>
      <c r="H682" s="69"/>
      <c r="I682" s="92">
        <v>0.05</v>
      </c>
      <c r="J682" s="93">
        <v>1000.0</v>
      </c>
      <c r="K682" s="73"/>
      <c r="L682" s="73"/>
      <c r="M682" s="73"/>
      <c r="N682" s="74"/>
    </row>
    <row r="683" ht="30.0" hidden="1" customHeight="1">
      <c r="A683" s="68">
        <v>691.0</v>
      </c>
      <c r="B683" s="68"/>
      <c r="C683" s="68"/>
      <c r="D683" s="69" t="str">
        <f>CONCATENATE(PROPER('DASMA INFO'!$G683),", ",PROPER('DASMA INFO'!$E683)," ",PROPER('DASMA INFO'!$F683),"."," (",UPPER('DASMA INFO'!$H683),")")</f>
        <v>Dela Paz, Bondito . ()</v>
      </c>
      <c r="E683" s="70" t="s">
        <v>1864</v>
      </c>
      <c r="F683" s="70"/>
      <c r="G683" s="70" t="s">
        <v>1865</v>
      </c>
      <c r="H683" s="69"/>
      <c r="I683" s="92">
        <v>0.05</v>
      </c>
      <c r="J683" s="93">
        <v>1000.0</v>
      </c>
      <c r="K683" s="73"/>
      <c r="L683" s="73"/>
      <c r="M683" s="73"/>
      <c r="N683" s="74"/>
    </row>
    <row r="684" ht="30.0" hidden="1" customHeight="1">
      <c r="A684" s="68">
        <v>692.0</v>
      </c>
      <c r="B684" s="68"/>
      <c r="C684" s="68"/>
      <c r="D684" s="69" t="str">
        <f>CONCATENATE(PROPER('DASMA INFO'!$G684),", ",PROPER('DASMA INFO'!$E684)," ",PROPER('DASMA INFO'!$F684),"."," (",UPPER('DASMA INFO'!$H684),")")</f>
        <v>Latella, Josefina T. ()</v>
      </c>
      <c r="E684" s="70" t="s">
        <v>1866</v>
      </c>
      <c r="F684" s="70" t="s">
        <v>752</v>
      </c>
      <c r="G684" s="70" t="s">
        <v>1867</v>
      </c>
      <c r="H684" s="69"/>
      <c r="I684" s="92">
        <v>0.05</v>
      </c>
      <c r="J684" s="93">
        <v>1000.0</v>
      </c>
      <c r="K684" s="73" t="s">
        <v>1017</v>
      </c>
      <c r="L684" s="73"/>
      <c r="M684" s="73"/>
      <c r="N684" s="74"/>
    </row>
    <row r="685" ht="30.0" hidden="1" customHeight="1">
      <c r="A685" s="68">
        <v>693.0</v>
      </c>
      <c r="B685" s="68"/>
      <c r="C685" s="68"/>
      <c r="D685" s="69" t="str">
        <f>CONCATENATE(PROPER('DASMA INFO'!$G685),", ",PROPER('DASMA INFO'!$E685)," ",PROPER('DASMA INFO'!$F685),"."," (",UPPER('DASMA INFO'!$H685),")")</f>
        <v>Reforzado, Donnabelle . ()</v>
      </c>
      <c r="E685" s="70" t="s">
        <v>1868</v>
      </c>
      <c r="F685" s="70"/>
      <c r="G685" s="70" t="s">
        <v>1869</v>
      </c>
      <c r="H685" s="69"/>
      <c r="I685" s="105">
        <v>0.12</v>
      </c>
      <c r="J685" s="106">
        <v>1000.0</v>
      </c>
      <c r="K685" s="73"/>
      <c r="L685" s="73"/>
      <c r="M685" s="73"/>
      <c r="N685" s="74"/>
    </row>
    <row r="686" ht="30.0" hidden="1" customHeight="1">
      <c r="A686" s="68">
        <v>694.0</v>
      </c>
      <c r="B686" s="68"/>
      <c r="C686" s="68"/>
      <c r="D686" s="69" t="str">
        <f>CONCATENATE(PROPER('DASMA INFO'!$G686),", ",PROPER('DASMA INFO'!$E686)," ",PROPER('DASMA INFO'!$F686),"."," (",UPPER('DASMA INFO'!$H686),")")</f>
        <v>Esguerra, Arlene A. ()</v>
      </c>
      <c r="E686" s="70" t="s">
        <v>1568</v>
      </c>
      <c r="F686" s="70" t="s">
        <v>427</v>
      </c>
      <c r="G686" s="70" t="s">
        <v>1870</v>
      </c>
      <c r="H686" s="69"/>
      <c r="I686" s="92">
        <v>0.05</v>
      </c>
      <c r="J686" s="93">
        <v>1000.0</v>
      </c>
      <c r="K686" s="73" t="s">
        <v>1775</v>
      </c>
      <c r="L686" s="73"/>
      <c r="M686" s="73"/>
      <c r="N686" s="74"/>
    </row>
    <row r="687" ht="30.0" hidden="1" customHeight="1">
      <c r="A687" s="68">
        <v>695.0</v>
      </c>
      <c r="B687" s="68"/>
      <c r="C687" s="68"/>
      <c r="D687" s="69" t="str">
        <f>CONCATENATE(PROPER('DASMA INFO'!$G687),", ",PROPER('DASMA INFO'!$E687)," ",PROPER('DASMA INFO'!$F687),"."," (",UPPER('DASMA INFO'!$H687),")")</f>
        <v>Arline, Luces . ()</v>
      </c>
      <c r="E687" s="70" t="s">
        <v>1871</v>
      </c>
      <c r="F687" s="70"/>
      <c r="G687" s="70" t="s">
        <v>1872</v>
      </c>
      <c r="H687" s="69"/>
      <c r="I687" s="105">
        <v>0.12</v>
      </c>
      <c r="J687" s="106">
        <v>1000.0</v>
      </c>
      <c r="K687" s="73"/>
      <c r="L687" s="73"/>
      <c r="M687" s="73"/>
      <c r="N687" s="74"/>
    </row>
    <row r="688" ht="30.0" hidden="1" customHeight="1">
      <c r="A688" s="68">
        <v>696.0</v>
      </c>
      <c r="B688" s="68"/>
      <c r="C688" s="68"/>
      <c r="D688" s="69" t="str">
        <f>CONCATENATE(PROPER('DASMA INFO'!$G688),", ",PROPER('DASMA INFO'!$E688)," ",PROPER('DASMA INFO'!$F688),"."," (",UPPER('DASMA INFO'!$H688),")")</f>
        <v>Leonar, Mabel . ()</v>
      </c>
      <c r="E688" s="70" t="s">
        <v>1873</v>
      </c>
      <c r="F688" s="70"/>
      <c r="G688" s="70" t="s">
        <v>1874</v>
      </c>
      <c r="H688" s="69"/>
      <c r="I688" s="105">
        <v>0.12</v>
      </c>
      <c r="J688" s="106">
        <v>1000.0</v>
      </c>
      <c r="K688" s="73"/>
      <c r="L688" s="73"/>
      <c r="M688" s="73"/>
      <c r="N688" s="74"/>
    </row>
    <row r="689" ht="30.0" hidden="1" customHeight="1">
      <c r="A689" s="68">
        <v>697.0</v>
      </c>
      <c r="B689" s="68"/>
      <c r="C689" s="68"/>
      <c r="D689" s="69" t="str">
        <f>CONCATENATE(PROPER('DASMA INFO'!$G689),", ",PROPER('DASMA INFO'!$E689)," ",PROPER('DASMA INFO'!$F689),"."," (",UPPER('DASMA INFO'!$H689),")")</f>
        <v>Pacheco, Elvira D. ()</v>
      </c>
      <c r="E689" s="70" t="s">
        <v>147</v>
      </c>
      <c r="F689" s="70" t="s">
        <v>1078</v>
      </c>
      <c r="G689" s="70" t="s">
        <v>1623</v>
      </c>
      <c r="H689" s="69"/>
      <c r="I689" s="92">
        <v>0.05</v>
      </c>
      <c r="J689" s="93">
        <v>1000.0</v>
      </c>
      <c r="K689" s="73" t="s">
        <v>50</v>
      </c>
      <c r="L689" s="73"/>
      <c r="M689" s="73"/>
      <c r="N689" s="74"/>
    </row>
    <row r="690" ht="30.0" hidden="1" customHeight="1">
      <c r="A690" s="68">
        <v>698.0</v>
      </c>
      <c r="B690" s="68"/>
      <c r="C690" s="68"/>
      <c r="D690" s="69" t="str">
        <f>CONCATENATE(PROPER('DASMA INFO'!$G690),", ",PROPER('DASMA INFO'!$E690)," ",PROPER('DASMA INFO'!$F690),"."," (",UPPER('DASMA INFO'!$H690),")")</f>
        <v>Cruz, King Kelvin . ()</v>
      </c>
      <c r="E690" s="70" t="s">
        <v>1875</v>
      </c>
      <c r="F690" s="70"/>
      <c r="G690" s="70" t="s">
        <v>676</v>
      </c>
      <c r="H690" s="69"/>
      <c r="I690" s="92">
        <v>0.05</v>
      </c>
      <c r="J690" s="93">
        <v>1000.0</v>
      </c>
      <c r="K690" s="73" t="s">
        <v>157</v>
      </c>
      <c r="L690" s="73"/>
      <c r="M690" s="73"/>
      <c r="N690" s="74"/>
    </row>
    <row r="691" ht="30.0" hidden="1" customHeight="1">
      <c r="A691" s="68">
        <v>699.0</v>
      </c>
      <c r="B691" s="68"/>
      <c r="C691" s="68"/>
      <c r="D691" s="69" t="str">
        <f>CONCATENATE(PROPER('DASMA INFO'!$G691),", ",PROPER('DASMA INFO'!$E691)," ",PROPER('DASMA INFO'!$F691),"."," (",UPPER('DASMA INFO'!$H691),")")</f>
        <v>Topasir, Nancy . ()</v>
      </c>
      <c r="E691" s="70" t="s">
        <v>849</v>
      </c>
      <c r="F691" s="70"/>
      <c r="G691" s="70" t="s">
        <v>1876</v>
      </c>
      <c r="H691" s="69"/>
      <c r="I691" s="105">
        <v>0.12</v>
      </c>
      <c r="J691" s="106">
        <v>1000.0</v>
      </c>
      <c r="K691" s="73"/>
      <c r="L691" s="73"/>
      <c r="M691" s="73"/>
      <c r="N691" s="74"/>
    </row>
    <row r="692" ht="30.0" hidden="1" customHeight="1">
      <c r="A692" s="68">
        <v>700.0</v>
      </c>
      <c r="B692" s="68"/>
      <c r="C692" s="68"/>
      <c r="D692" s="69" t="str">
        <f>CONCATENATE(PROPER('DASMA INFO'!$G692),", ",PROPER('DASMA INFO'!$E692)," ",PROPER('DASMA INFO'!$F692),"."," (",UPPER('DASMA INFO'!$H692),")")</f>
        <v>Bagobe, Julieta C. ()</v>
      </c>
      <c r="E692" s="70" t="s">
        <v>280</v>
      </c>
      <c r="F692" s="70" t="s">
        <v>318</v>
      </c>
      <c r="G692" s="70" t="s">
        <v>281</v>
      </c>
      <c r="H692" s="69"/>
      <c r="I692" s="92">
        <v>0.05</v>
      </c>
      <c r="J692" s="93">
        <v>1000.0</v>
      </c>
      <c r="K692" s="73" t="s">
        <v>1877</v>
      </c>
      <c r="L692" s="73"/>
      <c r="M692" s="73"/>
      <c r="N692" s="74"/>
    </row>
    <row r="693" ht="30.0" hidden="1" customHeight="1">
      <c r="A693" s="68">
        <v>701.0</v>
      </c>
      <c r="B693" s="68"/>
      <c r="C693" s="68"/>
      <c r="D693" s="69" t="str">
        <f>CONCATENATE(PROPER('DASMA INFO'!$G693),", ",PROPER('DASMA INFO'!$E693)," ",PROPER('DASMA INFO'!$F693),"."," (",UPPER('DASMA INFO'!$H693),")")</f>
        <v>Reyes, Jocelyn . ()</v>
      </c>
      <c r="E693" s="70" t="s">
        <v>290</v>
      </c>
      <c r="F693" s="70"/>
      <c r="G693" s="69" t="s">
        <v>122</v>
      </c>
      <c r="H693" s="69"/>
      <c r="I693" s="105">
        <v>0.12</v>
      </c>
      <c r="J693" s="106">
        <v>1000.0</v>
      </c>
      <c r="K693" s="73"/>
      <c r="L693" s="73"/>
      <c r="M693" s="73"/>
      <c r="N693" s="74"/>
    </row>
    <row r="694" ht="30.0" hidden="1" customHeight="1">
      <c r="A694" s="68">
        <v>702.0</v>
      </c>
      <c r="B694" s="68"/>
      <c r="C694" s="68"/>
      <c r="D694" s="69" t="str">
        <f>CONCATENATE(PROPER('DASMA INFO'!$G694),", ",PROPER('DASMA INFO'!$E694)," ",PROPER('DASMA INFO'!$F694),"."," (",UPPER('DASMA INFO'!$H694),")")</f>
        <v>Bagobe, Myrna . ()</v>
      </c>
      <c r="E694" s="70" t="s">
        <v>586</v>
      </c>
      <c r="F694" s="70"/>
      <c r="G694" s="69" t="s">
        <v>281</v>
      </c>
      <c r="H694" s="69"/>
      <c r="I694" s="105">
        <v>0.12</v>
      </c>
      <c r="J694" s="106">
        <v>1000.0</v>
      </c>
      <c r="K694" s="73"/>
      <c r="L694" s="73"/>
      <c r="M694" s="73"/>
      <c r="N694" s="74"/>
    </row>
    <row r="695" ht="30.0" hidden="1" customHeight="1">
      <c r="A695" s="68">
        <v>703.0</v>
      </c>
      <c r="B695" s="68"/>
      <c r="C695" s="68"/>
      <c r="D695" s="69" t="str">
        <f>CONCATENATE(PROPER('DASMA INFO'!$G695),", ",PROPER('DASMA INFO'!$E695)," ",PROPER('DASMA INFO'!$F695),"."," (",UPPER('DASMA INFO'!$H695),")")</f>
        <v>San Pedro, Edgardo L. ()</v>
      </c>
      <c r="E695" s="70" t="s">
        <v>869</v>
      </c>
      <c r="F695" s="70" t="s">
        <v>648</v>
      </c>
      <c r="G695" s="70" t="s">
        <v>92</v>
      </c>
      <c r="H695" s="70"/>
      <c r="I695" s="92">
        <v>0.05</v>
      </c>
      <c r="J695" s="93">
        <v>1000.0</v>
      </c>
      <c r="K695" s="73" t="s">
        <v>1878</v>
      </c>
      <c r="L695" s="73"/>
      <c r="M695" s="73"/>
      <c r="N695" s="74"/>
    </row>
    <row r="696" ht="30.0" hidden="1" customHeight="1">
      <c r="A696" s="68">
        <v>704.0</v>
      </c>
      <c r="B696" s="68"/>
      <c r="C696" s="68"/>
      <c r="D696" s="69" t="str">
        <f>CONCATENATE(PROPER('DASMA INFO'!$G696),", ",PROPER('DASMA INFO'!$E696)," ",PROPER('DASMA INFO'!$F696),"."," (",UPPER('DASMA INFO'!$H696),")")</f>
        <v>Aguirre, Jonamay . ()</v>
      </c>
      <c r="E696" s="70" t="s">
        <v>1879</v>
      </c>
      <c r="F696" s="70"/>
      <c r="G696" s="69" t="s">
        <v>1880</v>
      </c>
      <c r="H696" s="69"/>
      <c r="I696" s="105">
        <v>0.12</v>
      </c>
      <c r="J696" s="106">
        <v>1000.0</v>
      </c>
      <c r="K696" s="73"/>
      <c r="L696" s="73"/>
      <c r="M696" s="73"/>
      <c r="N696" s="74"/>
    </row>
    <row r="697" ht="30.0" hidden="1" customHeight="1">
      <c r="A697" s="68">
        <v>705.0</v>
      </c>
      <c r="B697" s="68"/>
      <c r="C697" s="68"/>
      <c r="D697" s="69" t="str">
        <f>CONCATENATE(PROPER('DASMA INFO'!$G697),", ",PROPER('DASMA INFO'!$E697)," ",PROPER('DASMA INFO'!$F697),"."," (",UPPER('DASMA INFO'!$H697),")")</f>
        <v>Ocampo, Ma. Violeta . ()</v>
      </c>
      <c r="E697" s="70" t="s">
        <v>1881</v>
      </c>
      <c r="F697" s="70"/>
      <c r="G697" s="69" t="s">
        <v>1074</v>
      </c>
      <c r="H697" s="69"/>
      <c r="I697" s="105">
        <v>0.12</v>
      </c>
      <c r="J697" s="106">
        <v>1000.0</v>
      </c>
      <c r="K697" s="73"/>
      <c r="L697" s="73"/>
      <c r="M697" s="73"/>
      <c r="N697" s="74"/>
    </row>
    <row r="698" ht="30.0" hidden="1" customHeight="1">
      <c r="A698" s="68">
        <v>706.0</v>
      </c>
      <c r="B698" s="68"/>
      <c r="C698" s="68"/>
      <c r="D698" s="69" t="str">
        <f>CONCATENATE(PROPER('DASMA INFO'!$G698),", ",PROPER('DASMA INFO'!$E698)," ",PROPER('DASMA INFO'!$F698),"."," (",UPPER('DASMA INFO'!$H698),")")</f>
        <v>Lingcoran, Mylene . ()</v>
      </c>
      <c r="E698" s="70" t="s">
        <v>1882</v>
      </c>
      <c r="F698" s="70"/>
      <c r="G698" s="69" t="s">
        <v>1883</v>
      </c>
      <c r="H698" s="69"/>
      <c r="I698" s="105">
        <v>0.12</v>
      </c>
      <c r="J698" s="106">
        <v>1000.0</v>
      </c>
      <c r="K698" s="73"/>
      <c r="L698" s="73"/>
      <c r="M698" s="73"/>
      <c r="N698" s="74"/>
    </row>
    <row r="699" ht="30.0" hidden="1" customHeight="1">
      <c r="A699" s="68">
        <v>707.0</v>
      </c>
      <c r="B699" s="68"/>
      <c r="C699" s="68"/>
      <c r="D699" s="69" t="str">
        <f>CONCATENATE(PROPER('DASMA INFO'!$G699),", ",PROPER('DASMA INFO'!$E699)," ",PROPER('DASMA INFO'!$F699),"."," (",UPPER('DASMA INFO'!$H699),")")</f>
        <v>Balboa, Norman . ()</v>
      </c>
      <c r="E699" s="70" t="s">
        <v>390</v>
      </c>
      <c r="F699" s="70"/>
      <c r="G699" s="69" t="s">
        <v>395</v>
      </c>
      <c r="H699" s="69"/>
      <c r="I699" s="105">
        <v>0.12</v>
      </c>
      <c r="J699" s="106">
        <v>1000.0</v>
      </c>
      <c r="K699" s="73"/>
      <c r="L699" s="73"/>
      <c r="M699" s="73"/>
      <c r="N699" s="74"/>
    </row>
    <row r="700" ht="30.0" hidden="1" customHeight="1">
      <c r="A700" s="68">
        <v>708.0</v>
      </c>
      <c r="B700" s="68"/>
      <c r="C700" s="68"/>
      <c r="D700" s="69" t="str">
        <f>CONCATENATE(PROPER('DASMA INFO'!$G700),", ",PROPER('DASMA INFO'!$E700)," ",PROPER('DASMA INFO'!$F700),"."," (",UPPER('DASMA INFO'!$H700),")")</f>
        <v>Gaticales, Editha . ()</v>
      </c>
      <c r="E700" s="70" t="s">
        <v>402</v>
      </c>
      <c r="F700" s="70"/>
      <c r="G700" s="69" t="s">
        <v>1884</v>
      </c>
      <c r="H700" s="69"/>
      <c r="I700" s="105">
        <v>0.12</v>
      </c>
      <c r="J700" s="106">
        <v>1000.0</v>
      </c>
      <c r="K700" s="73"/>
      <c r="L700" s="73"/>
      <c r="M700" s="73"/>
      <c r="N700" s="74"/>
    </row>
    <row r="701" ht="30.0" hidden="1" customHeight="1">
      <c r="A701" s="68">
        <v>709.0</v>
      </c>
      <c r="B701" s="68"/>
      <c r="C701" s="68"/>
      <c r="D701" s="69" t="str">
        <f>CONCATENATE(PROPER('DASMA INFO'!$G701),", ",PROPER('DASMA INFO'!$E701)," ",PROPER('DASMA INFO'!$F701),"."," (",UPPER('DASMA INFO'!$H701),")")</f>
        <v>Calpo, Ruben O. ()</v>
      </c>
      <c r="E701" s="70" t="s">
        <v>830</v>
      </c>
      <c r="F701" s="70" t="s">
        <v>634</v>
      </c>
      <c r="G701" s="70" t="s">
        <v>1885</v>
      </c>
      <c r="H701" s="69"/>
      <c r="I701" s="105">
        <v>0.12</v>
      </c>
      <c r="J701" s="106">
        <v>1000.0</v>
      </c>
      <c r="K701" s="73" t="s">
        <v>960</v>
      </c>
      <c r="L701" s="73"/>
      <c r="M701" s="73"/>
      <c r="N701" s="74"/>
    </row>
    <row r="702" ht="30.0" hidden="1" customHeight="1">
      <c r="A702" s="68">
        <v>710.0</v>
      </c>
      <c r="B702" s="68"/>
      <c r="C702" s="68"/>
      <c r="D702" s="69" t="str">
        <f>CONCATENATE(PROPER('DASMA INFO'!$G702),", ",PROPER('DASMA INFO'!$E702)," ",PROPER('DASMA INFO'!$F702),"."," (",UPPER('DASMA INFO'!$H702),")")</f>
        <v>De Lima, Fernando . ()</v>
      </c>
      <c r="E702" s="70" t="s">
        <v>414</v>
      </c>
      <c r="F702" s="70"/>
      <c r="G702" s="70" t="s">
        <v>683</v>
      </c>
      <c r="H702" s="69"/>
      <c r="I702" s="105">
        <v>0.12</v>
      </c>
      <c r="J702" s="106">
        <v>1000.0</v>
      </c>
      <c r="K702" s="73"/>
      <c r="L702" s="73"/>
      <c r="M702" s="73"/>
      <c r="N702" s="74"/>
    </row>
    <row r="703" ht="30.0" hidden="1" customHeight="1">
      <c r="A703" s="68">
        <v>711.0</v>
      </c>
      <c r="B703" s="68"/>
      <c r="C703" s="68"/>
      <c r="D703" s="69" t="str">
        <f>CONCATENATE(PROPER('DASMA INFO'!$G703),", ",PROPER('DASMA INFO'!$E703)," ",PROPER('DASMA INFO'!$F703),"."," (",UPPER('DASMA INFO'!$H703),")")</f>
        <v>Rosaria, Jeremias E. (JR)</v>
      </c>
      <c r="E703" s="70" t="s">
        <v>865</v>
      </c>
      <c r="F703" s="70" t="s">
        <v>299</v>
      </c>
      <c r="G703" s="70" t="s">
        <v>1886</v>
      </c>
      <c r="H703" s="70" t="s">
        <v>629</v>
      </c>
      <c r="I703" s="105">
        <v>0.12</v>
      </c>
      <c r="J703" s="106">
        <v>1000.0</v>
      </c>
      <c r="K703" s="73" t="s">
        <v>963</v>
      </c>
      <c r="L703" s="73"/>
      <c r="M703" s="73"/>
      <c r="N703" s="74"/>
    </row>
    <row r="704" ht="30.0" hidden="1" customHeight="1">
      <c r="A704" s="68">
        <v>712.0</v>
      </c>
      <c r="B704" s="68"/>
      <c r="C704" s="68"/>
      <c r="D704" s="69" t="str">
        <f>CONCATENATE(PROPER('DASMA INFO'!$G704),", ",PROPER('DASMA INFO'!$E704)," ",PROPER('DASMA INFO'!$F704),"."," (",UPPER('DASMA INFO'!$H704),")")</f>
        <v>Dua Dua, Marry Fel . ()</v>
      </c>
      <c r="E704" s="70" t="s">
        <v>1887</v>
      </c>
      <c r="F704" s="70"/>
      <c r="G704" s="70" t="s">
        <v>1888</v>
      </c>
      <c r="H704" s="70"/>
      <c r="I704" s="105">
        <v>0.12</v>
      </c>
      <c r="J704" s="106">
        <v>1000.0</v>
      </c>
      <c r="K704" s="73"/>
      <c r="L704" s="73"/>
      <c r="M704" s="73"/>
      <c r="N704" s="74"/>
    </row>
    <row r="705" ht="30.0" hidden="1" customHeight="1">
      <c r="A705" s="68">
        <v>713.0</v>
      </c>
      <c r="B705" s="68"/>
      <c r="C705" s="68"/>
      <c r="D705" s="69" t="str">
        <f>CONCATENATE(PROPER('DASMA INFO'!$G705),", ",PROPER('DASMA INFO'!$E705)," ",PROPER('DASMA INFO'!$F705),"."," (",UPPER('DASMA INFO'!$H705),")")</f>
        <v>De Guia, Miguel . ()</v>
      </c>
      <c r="E705" s="70" t="s">
        <v>512</v>
      </c>
      <c r="F705" s="70"/>
      <c r="G705" s="70" t="s">
        <v>1889</v>
      </c>
      <c r="H705" s="70"/>
      <c r="I705" s="105">
        <v>0.12</v>
      </c>
      <c r="J705" s="106">
        <v>1000.0</v>
      </c>
      <c r="K705" s="73"/>
      <c r="L705" s="73"/>
      <c r="M705" s="73"/>
      <c r="N705" s="74"/>
    </row>
    <row r="706" ht="30.0" hidden="1" customHeight="1">
      <c r="A706" s="68">
        <v>714.0</v>
      </c>
      <c r="B706" s="68"/>
      <c r="C706" s="68"/>
      <c r="D706" s="69" t="str">
        <f>CONCATENATE(PROPER('DASMA INFO'!$G706),", ",PROPER('DASMA INFO'!$E706)," ",PROPER('DASMA INFO'!$F706),"."," (",UPPER('DASMA INFO'!$H706),")")</f>
        <v>Ola, Aileen . ()</v>
      </c>
      <c r="E706" s="70" t="s">
        <v>298</v>
      </c>
      <c r="F706" s="70"/>
      <c r="G706" s="70" t="s">
        <v>1890</v>
      </c>
      <c r="H706" s="70"/>
      <c r="I706" s="105">
        <v>0.12</v>
      </c>
      <c r="J706" s="106">
        <v>1000.0</v>
      </c>
      <c r="K706" s="73"/>
      <c r="L706" s="73"/>
      <c r="M706" s="73"/>
      <c r="N706" s="74"/>
    </row>
    <row r="707" ht="30.0" hidden="1" customHeight="1">
      <c r="A707" s="68">
        <v>715.0</v>
      </c>
      <c r="B707" s="68"/>
      <c r="C707" s="68"/>
      <c r="D707" s="69" t="str">
        <f>CONCATENATE(PROPER('DASMA INFO'!$G707),", ",PROPER('DASMA INFO'!$E707)," ",PROPER('DASMA INFO'!$F707),"."," (",UPPER('DASMA INFO'!$H707),")")</f>
        <v>Zuñiga, Raymond . ()</v>
      </c>
      <c r="E707" s="70" t="s">
        <v>381</v>
      </c>
      <c r="F707" s="70"/>
      <c r="G707" s="70" t="s">
        <v>1891</v>
      </c>
      <c r="H707" s="70"/>
      <c r="I707" s="105">
        <v>0.12</v>
      </c>
      <c r="J707" s="106">
        <v>1000.0</v>
      </c>
      <c r="K707" s="73"/>
      <c r="L707" s="73"/>
      <c r="M707" s="73"/>
      <c r="N707" s="74"/>
    </row>
    <row r="708" ht="30.0" hidden="1" customHeight="1">
      <c r="A708" s="68">
        <v>716.0</v>
      </c>
      <c r="B708" s="68"/>
      <c r="C708" s="68"/>
      <c r="D708" s="69" t="str">
        <f>CONCATENATE(PROPER('DASMA INFO'!$G708),", ",PROPER('DASMA INFO'!$E708)," ",PROPER('DASMA INFO'!$F708),"."," (",UPPER('DASMA INFO'!$H708),")")</f>
        <v>Noga, Weren . ()</v>
      </c>
      <c r="E708" s="70" t="s">
        <v>1892</v>
      </c>
      <c r="F708" s="70"/>
      <c r="G708" s="70" t="s">
        <v>1893</v>
      </c>
      <c r="H708" s="70"/>
      <c r="I708" s="105">
        <v>0.12</v>
      </c>
      <c r="J708" s="106">
        <v>1000.0</v>
      </c>
      <c r="K708" s="73"/>
      <c r="L708" s="73"/>
      <c r="M708" s="73"/>
      <c r="N708" s="74"/>
    </row>
    <row r="709" ht="30.0" hidden="1" customHeight="1">
      <c r="A709" s="68">
        <v>717.0</v>
      </c>
      <c r="B709" s="68"/>
      <c r="C709" s="68"/>
      <c r="D709" s="69" t="str">
        <f>CONCATENATE(PROPER('DASMA INFO'!$G709),", ",PROPER('DASMA INFO'!$E709)," ",PROPER('DASMA INFO'!$F709),"."," (",UPPER('DASMA INFO'!$H709),")")</f>
        <v>Carreon, Maribeth . ()</v>
      </c>
      <c r="E709" s="70" t="s">
        <v>1326</v>
      </c>
      <c r="F709" s="70"/>
      <c r="G709" s="70" t="s">
        <v>1084</v>
      </c>
      <c r="H709" s="70"/>
      <c r="I709" s="105">
        <v>0.12</v>
      </c>
      <c r="J709" s="106">
        <v>1000.0</v>
      </c>
      <c r="K709" s="73"/>
      <c r="L709" s="73"/>
      <c r="M709" s="73"/>
      <c r="N709" s="74"/>
    </row>
    <row r="710" ht="30.0" hidden="1" customHeight="1">
      <c r="A710" s="68">
        <v>718.0</v>
      </c>
      <c r="B710" s="68"/>
      <c r="C710" s="68"/>
      <c r="D710" s="69" t="str">
        <f>CONCATENATE(PROPER('DASMA INFO'!$G710),", ",PROPER('DASMA INFO'!$E710)," ",PROPER('DASMA INFO'!$F710),"."," (",UPPER('DASMA INFO'!$H710),")")</f>
        <v>Bordeos, Gloria . ()</v>
      </c>
      <c r="E710" s="70" t="s">
        <v>1566</v>
      </c>
      <c r="F710" s="70"/>
      <c r="G710" s="70" t="s">
        <v>1894</v>
      </c>
      <c r="H710" s="70"/>
      <c r="I710" s="105">
        <v>0.12</v>
      </c>
      <c r="J710" s="106">
        <v>1000.0</v>
      </c>
      <c r="K710" s="73"/>
      <c r="L710" s="73"/>
      <c r="M710" s="73"/>
      <c r="N710" s="74"/>
    </row>
    <row r="711" ht="30.0" hidden="1" customHeight="1">
      <c r="A711" s="68">
        <v>719.0</v>
      </c>
      <c r="B711" s="68"/>
      <c r="C711" s="68"/>
      <c r="D711" s="69" t="str">
        <f>CONCATENATE(PROPER('DASMA INFO'!$G711),", ",PROPER('DASMA INFO'!$E711)," ",PROPER('DASMA INFO'!$F711),"."," (",UPPER('DASMA INFO'!$H711),")")</f>
        <v>Locveria, Rommel . ()</v>
      </c>
      <c r="E711" s="70" t="s">
        <v>977</v>
      </c>
      <c r="F711" s="70"/>
      <c r="G711" s="70" t="s">
        <v>1895</v>
      </c>
      <c r="H711" s="70"/>
      <c r="I711" s="105">
        <v>0.12</v>
      </c>
      <c r="J711" s="106">
        <v>1000.0</v>
      </c>
      <c r="K711" s="73"/>
      <c r="L711" s="73"/>
      <c r="M711" s="73"/>
      <c r="N711" s="74"/>
    </row>
    <row r="712" ht="30.0" hidden="1" customHeight="1">
      <c r="A712" s="68">
        <v>720.0</v>
      </c>
      <c r="B712" s="68"/>
      <c r="C712" s="68"/>
      <c r="D712" s="69" t="str">
        <f>CONCATENATE(PROPER('DASMA INFO'!$G712),", ",PROPER('DASMA INFO'!$E712)," ",PROPER('DASMA INFO'!$F712),"."," (",UPPER('DASMA INFO'!$H712),")")</f>
        <v>Scarp, Jun . ()</v>
      </c>
      <c r="E712" s="70" t="s">
        <v>1896</v>
      </c>
      <c r="F712" s="70"/>
      <c r="G712" s="70" t="s">
        <v>1897</v>
      </c>
      <c r="H712" s="70"/>
      <c r="I712" s="105">
        <v>0.12</v>
      </c>
      <c r="J712" s="106">
        <v>1000.0</v>
      </c>
      <c r="K712" s="73"/>
      <c r="L712" s="73"/>
      <c r="M712" s="73"/>
      <c r="N712" s="74"/>
    </row>
    <row r="713" ht="30.0" hidden="1" customHeight="1">
      <c r="A713" s="68">
        <v>721.0</v>
      </c>
      <c r="B713" s="68"/>
      <c r="C713" s="68"/>
      <c r="D713" s="69" t="str">
        <f>CONCATENATE(PROPER('DASMA INFO'!$G713),", ",PROPER('DASMA INFO'!$E713)," ",PROPER('DASMA INFO'!$F713),"."," (",UPPER('DASMA INFO'!$H713),")")</f>
        <v>Zaragoza, Antonio . ()</v>
      </c>
      <c r="E713" s="70" t="s">
        <v>76</v>
      </c>
      <c r="F713" s="70"/>
      <c r="G713" s="70" t="s">
        <v>1898</v>
      </c>
      <c r="H713" s="70"/>
      <c r="I713" s="105">
        <v>0.12</v>
      </c>
      <c r="J713" s="106">
        <v>1000.0</v>
      </c>
      <c r="K713" s="73"/>
      <c r="L713" s="73"/>
      <c r="M713" s="73"/>
      <c r="N713" s="74"/>
    </row>
    <row r="714" ht="30.0" hidden="1" customHeight="1">
      <c r="A714" s="68">
        <v>722.0</v>
      </c>
      <c r="B714" s="68"/>
      <c r="C714" s="68"/>
      <c r="D714" s="69" t="str">
        <f>CONCATENATE(PROPER('DASMA INFO'!$G714),", ",PROPER('DASMA INFO'!$E714)," ",PROPER('DASMA INFO'!$F714),"."," (",UPPER('DASMA INFO'!$H714),")")</f>
        <v>Dalena, Charles L. ()</v>
      </c>
      <c r="E714" s="70" t="s">
        <v>1740</v>
      </c>
      <c r="F714" s="70" t="s">
        <v>648</v>
      </c>
      <c r="G714" s="70" t="s">
        <v>1849</v>
      </c>
      <c r="H714" s="70"/>
      <c r="I714" s="105">
        <v>0.12</v>
      </c>
      <c r="J714" s="106">
        <v>1000.0</v>
      </c>
      <c r="K714" s="73"/>
      <c r="L714" s="73"/>
      <c r="M714" s="73"/>
      <c r="N714" s="74"/>
    </row>
    <row r="715" ht="30.0" hidden="1" customHeight="1">
      <c r="A715" s="68">
        <v>723.0</v>
      </c>
      <c r="B715" s="68"/>
      <c r="C715" s="68"/>
      <c r="D715" s="69" t="str">
        <f>CONCATENATE(PROPER('DASMA INFO'!$G715),", ",PROPER('DASMA INFO'!$E715)," ",PROPER('DASMA INFO'!$F715),"."," (",UPPER('DASMA INFO'!$H715),")")</f>
        <v>(Rhona), Miguel Caquilala . ()</v>
      </c>
      <c r="E715" s="70" t="s">
        <v>1899</v>
      </c>
      <c r="F715" s="70"/>
      <c r="G715" s="70" t="s">
        <v>1900</v>
      </c>
      <c r="H715" s="69"/>
      <c r="I715" s="105">
        <v>0.12</v>
      </c>
      <c r="J715" s="106">
        <v>1000.0</v>
      </c>
      <c r="K715" s="73"/>
      <c r="L715" s="73"/>
      <c r="M715" s="73"/>
      <c r="N715" s="74"/>
    </row>
    <row r="716" ht="30.0" hidden="1" customHeight="1">
      <c r="A716" s="68">
        <v>724.0</v>
      </c>
      <c r="B716" s="68"/>
      <c r="C716" s="68"/>
      <c r="D716" s="69" t="str">
        <f>CONCATENATE(PROPER('DASMA INFO'!$G716),", ",PROPER('DASMA INFO'!$E716)," ",PROPER('DASMA INFO'!$F716),"."," (",UPPER('DASMA INFO'!$H716),")")</f>
        <v>Topacio, Nancy . ()</v>
      </c>
      <c r="E716" s="70" t="s">
        <v>849</v>
      </c>
      <c r="F716" s="70"/>
      <c r="G716" s="70" t="s">
        <v>986</v>
      </c>
      <c r="H716" s="69"/>
      <c r="I716" s="105">
        <v>0.12</v>
      </c>
      <c r="J716" s="106">
        <v>1000.0</v>
      </c>
      <c r="K716" s="73"/>
      <c r="L716" s="73"/>
      <c r="M716" s="73"/>
      <c r="N716" s="74"/>
    </row>
    <row r="717" ht="30.0" hidden="1" customHeight="1">
      <c r="A717" s="68">
        <v>725.0</v>
      </c>
      <c r="B717" s="68"/>
      <c r="C717" s="68"/>
      <c r="D717" s="69" t="str">
        <f>CONCATENATE(PROPER('DASMA INFO'!$G717),", ",PROPER('DASMA INFO'!$E717)," ",PROPER('DASMA INFO'!$F717),"."," (",UPPER('DASMA INFO'!$H717),")")</f>
        <v>Acusar, Rosevelinda . ()</v>
      </c>
      <c r="E717" s="70" t="s">
        <v>1901</v>
      </c>
      <c r="F717" s="70"/>
      <c r="G717" s="70" t="s">
        <v>1902</v>
      </c>
      <c r="H717" s="69"/>
      <c r="I717" s="105">
        <v>0.12</v>
      </c>
      <c r="J717" s="106">
        <v>1000.0</v>
      </c>
      <c r="K717" s="73"/>
      <c r="L717" s="73"/>
      <c r="M717" s="73"/>
      <c r="N717" s="74"/>
    </row>
    <row r="718" ht="30.0" hidden="1" customHeight="1">
      <c r="A718" s="68">
        <v>726.0</v>
      </c>
      <c r="B718" s="68"/>
      <c r="C718" s="68"/>
      <c r="D718" s="69" t="str">
        <f>CONCATENATE(PROPER('DASMA INFO'!$G718),", ",PROPER('DASMA INFO'!$E718)," ",PROPER('DASMA INFO'!$F718),"."," (",UPPER('DASMA INFO'!$H718),")")</f>
        <v>Fortunado, Merlinda . ()</v>
      </c>
      <c r="E718" s="70" t="s">
        <v>1903</v>
      </c>
      <c r="F718" s="70"/>
      <c r="G718" s="70" t="s">
        <v>1904</v>
      </c>
      <c r="H718" s="69"/>
      <c r="I718" s="105">
        <v>0.12</v>
      </c>
      <c r="J718" s="106">
        <v>1000.0</v>
      </c>
      <c r="K718" s="73"/>
      <c r="L718" s="73"/>
      <c r="M718" s="73"/>
      <c r="N718" s="74"/>
    </row>
    <row r="719" ht="30.0" hidden="1" customHeight="1">
      <c r="A719" s="68">
        <v>727.0</v>
      </c>
      <c r="B719" s="68"/>
      <c r="C719" s="68"/>
      <c r="D719" s="69" t="str">
        <f>CONCATENATE(PROPER('DASMA INFO'!$G719),", ",PROPER('DASMA INFO'!$E719)," ",PROPER('DASMA INFO'!$F719),"."," (",UPPER('DASMA INFO'!$H719),")")</f>
        <v>Rosano, Liezl . ()</v>
      </c>
      <c r="E719" s="70" t="s">
        <v>733</v>
      </c>
      <c r="F719" s="70"/>
      <c r="G719" s="70" t="s">
        <v>1905</v>
      </c>
      <c r="H719" s="69"/>
      <c r="I719" s="105">
        <v>0.12</v>
      </c>
      <c r="J719" s="106">
        <v>1000.0</v>
      </c>
      <c r="K719" s="73"/>
      <c r="L719" s="73"/>
      <c r="M719" s="73"/>
      <c r="N719" s="74"/>
    </row>
    <row r="720" ht="30.0" hidden="1" customHeight="1">
      <c r="A720" s="68">
        <v>728.0</v>
      </c>
      <c r="B720" s="68"/>
      <c r="C720" s="68"/>
      <c r="D720" s="69" t="str">
        <f>CONCATENATE(PROPER('DASMA INFO'!$G720),", ",PROPER('DASMA INFO'!$E720)," ",PROPER('DASMA INFO'!$F720),"."," (",UPPER('DASMA INFO'!$H720),")")</f>
        <v>Violeta, Jerico James M. ()</v>
      </c>
      <c r="E720" s="70" t="s">
        <v>1906</v>
      </c>
      <c r="F720" s="70" t="s">
        <v>587</v>
      </c>
      <c r="G720" s="70" t="s">
        <v>1827</v>
      </c>
      <c r="H720" s="70"/>
      <c r="I720" s="92">
        <v>0.05</v>
      </c>
      <c r="J720" s="93">
        <v>1000.0</v>
      </c>
      <c r="K720" s="73" t="s">
        <v>1907</v>
      </c>
      <c r="L720" s="73"/>
      <c r="M720" s="73"/>
      <c r="N720" s="74"/>
    </row>
    <row r="721" ht="30.0" hidden="1" customHeight="1">
      <c r="A721" s="68">
        <v>729.0</v>
      </c>
      <c r="B721" s="68"/>
      <c r="C721" s="68"/>
      <c r="D721" s="69" t="str">
        <f>CONCATENATE(PROPER('DASMA INFO'!$G721),", ",PROPER('DASMA INFO'!$E721)," ",PROPER('DASMA INFO'!$F721),"."," (",UPPER('DASMA INFO'!$H721),")")</f>
        <v>Panlilion, Raymond . ()</v>
      </c>
      <c r="E721" s="70" t="s">
        <v>381</v>
      </c>
      <c r="F721" s="70"/>
      <c r="G721" s="69" t="s">
        <v>1908</v>
      </c>
      <c r="H721" s="69"/>
      <c r="I721" s="105">
        <v>0.12</v>
      </c>
      <c r="J721" s="106">
        <v>1000.0</v>
      </c>
      <c r="K721" s="73"/>
      <c r="L721" s="73"/>
      <c r="M721" s="73"/>
      <c r="N721" s="74"/>
    </row>
    <row r="722" ht="30.0" hidden="1" customHeight="1">
      <c r="A722" s="68">
        <v>730.0</v>
      </c>
      <c r="B722" s="68"/>
      <c r="C722" s="68"/>
      <c r="D722" s="69" t="str">
        <f>CONCATENATE(PROPER('DASMA INFO'!$G722),", ",PROPER('DASMA INFO'!$E722)," ",PROPER('DASMA INFO'!$F722),"."," (",UPPER('DASMA INFO'!$H722),")")</f>
        <v>Cabas, Rino . ()</v>
      </c>
      <c r="E722" s="70" t="s">
        <v>1909</v>
      </c>
      <c r="F722" s="70"/>
      <c r="G722" s="69" t="s">
        <v>1910</v>
      </c>
      <c r="H722" s="69"/>
      <c r="I722" s="105">
        <v>0.12</v>
      </c>
      <c r="J722" s="106">
        <v>1000.0</v>
      </c>
      <c r="K722" s="73"/>
      <c r="L722" s="73"/>
      <c r="M722" s="73"/>
      <c r="N722" s="74"/>
    </row>
    <row r="723" ht="30.0" hidden="1" customHeight="1">
      <c r="A723" s="68">
        <v>731.0</v>
      </c>
      <c r="B723" s="68"/>
      <c r="C723" s="68"/>
      <c r="D723" s="69" t="str">
        <f>CONCATENATE(PROPER('DASMA INFO'!$G723),", ",PROPER('DASMA INFO'!$E723)," ",PROPER('DASMA INFO'!$F723),"."," (",UPPER('DASMA INFO'!$H723),")")</f>
        <v>Moran, Rafael . ()</v>
      </c>
      <c r="E723" s="70" t="s">
        <v>516</v>
      </c>
      <c r="F723" s="70"/>
      <c r="G723" s="69" t="s">
        <v>1911</v>
      </c>
      <c r="H723" s="69"/>
      <c r="I723" s="105">
        <v>0.12</v>
      </c>
      <c r="J723" s="106">
        <v>1000.0</v>
      </c>
      <c r="K723" s="73"/>
      <c r="L723" s="73"/>
      <c r="M723" s="73"/>
      <c r="N723" s="74"/>
    </row>
    <row r="724" ht="30.0" hidden="1" customHeight="1">
      <c r="A724" s="68">
        <v>732.0</v>
      </c>
      <c r="B724" s="68"/>
      <c r="C724" s="68"/>
      <c r="D724" s="69" t="str">
        <f>CONCATENATE(PROPER('DASMA INFO'!$G724),", ",PROPER('DASMA INFO'!$E724)," ",PROPER('DASMA INFO'!$F724),"."," (",UPPER('DASMA INFO'!$H724),")")</f>
        <v>De Lara, Daisy . (GO)</v>
      </c>
      <c r="E724" s="70" t="s">
        <v>162</v>
      </c>
      <c r="F724" s="70"/>
      <c r="G724" s="70" t="s">
        <v>163</v>
      </c>
      <c r="H724" s="70" t="s">
        <v>1410</v>
      </c>
      <c r="I724" s="92">
        <v>0.05</v>
      </c>
      <c r="J724" s="93">
        <v>1000.0</v>
      </c>
      <c r="K724" s="73" t="s">
        <v>1912</v>
      </c>
      <c r="L724" s="73"/>
      <c r="M724" s="73"/>
      <c r="N724" s="74"/>
    </row>
    <row r="725" ht="30.0" hidden="1" customHeight="1">
      <c r="A725" s="68">
        <v>733.0</v>
      </c>
      <c r="B725" s="68"/>
      <c r="C725" s="68"/>
      <c r="D725" s="69" t="str">
        <f>CONCATENATE(PROPER('DASMA INFO'!$G725),", ",PROPER('DASMA INFO'!$E725)," ",PROPER('DASMA INFO'!$F725),"."," (",UPPER('DASMA INFO'!$H725),")")</f>
        <v>Subion, Jose C. ()</v>
      </c>
      <c r="E725" s="70" t="s">
        <v>303</v>
      </c>
      <c r="F725" s="70" t="s">
        <v>318</v>
      </c>
      <c r="G725" s="70" t="s">
        <v>1913</v>
      </c>
      <c r="H725" s="69"/>
      <c r="I725" s="92">
        <v>0.05</v>
      </c>
      <c r="J725" s="93">
        <v>1000.0</v>
      </c>
      <c r="K725" s="73" t="s">
        <v>50</v>
      </c>
      <c r="L725" s="73"/>
      <c r="M725" s="73"/>
      <c r="N725" s="74"/>
    </row>
    <row r="726" ht="30.0" hidden="1" customHeight="1">
      <c r="A726" s="68">
        <v>734.0</v>
      </c>
      <c r="B726" s="68"/>
      <c r="C726" s="68"/>
      <c r="D726" s="69" t="str">
        <f>CONCATENATE(PROPER('DASMA INFO'!$G726),", ",PROPER('DASMA INFO'!$E726)," ",PROPER('DASMA INFO'!$F726),"."," (",UPPER('DASMA INFO'!$H726),")")</f>
        <v>Reyes, Maximo . ()</v>
      </c>
      <c r="E726" s="70" t="s">
        <v>476</v>
      </c>
      <c r="F726" s="70"/>
      <c r="G726" s="69" t="s">
        <v>122</v>
      </c>
      <c r="H726" s="69"/>
      <c r="I726" s="105">
        <v>0.12</v>
      </c>
      <c r="J726" s="106">
        <v>1000.0</v>
      </c>
      <c r="K726" s="73" t="s">
        <v>968</v>
      </c>
      <c r="L726" s="73"/>
      <c r="M726" s="73"/>
      <c r="N726" s="74"/>
    </row>
    <row r="727" ht="30.0" hidden="1" customHeight="1">
      <c r="A727" s="68">
        <v>735.0</v>
      </c>
      <c r="B727" s="68"/>
      <c r="C727" s="68"/>
      <c r="D727" s="69" t="str">
        <f>CONCATENATE(PROPER('DASMA INFO'!$G727),", ",PROPER('DASMA INFO'!$E727)," ",PROPER('DASMA INFO'!$F727),"."," (",UPPER('DASMA INFO'!$H727),")")</f>
        <v>Padilla, Corazon . ()</v>
      </c>
      <c r="E727" s="70" t="s">
        <v>525</v>
      </c>
      <c r="F727" s="70"/>
      <c r="G727" s="69" t="s">
        <v>1914</v>
      </c>
      <c r="H727" s="69"/>
      <c r="I727" s="105">
        <v>0.12</v>
      </c>
      <c r="J727" s="106">
        <v>1000.0</v>
      </c>
      <c r="K727" s="73"/>
      <c r="L727" s="73"/>
      <c r="M727" s="73"/>
      <c r="N727" s="74"/>
    </row>
    <row r="728" ht="30.0" hidden="1" customHeight="1">
      <c r="A728" s="68">
        <v>736.0</v>
      </c>
      <c r="B728" s="68"/>
      <c r="C728" s="68"/>
      <c r="D728" s="69" t="str">
        <f>CONCATENATE(PROPER('DASMA INFO'!$G728),", ",PROPER('DASMA INFO'!$E728)," ",PROPER('DASMA INFO'!$F728),"."," (",UPPER('DASMA INFO'!$H728),")")</f>
        <v>Bataclan, Resuriano . ()</v>
      </c>
      <c r="E728" s="70" t="s">
        <v>1915</v>
      </c>
      <c r="F728" s="70"/>
      <c r="G728" s="69" t="s">
        <v>1916</v>
      </c>
      <c r="H728" s="69"/>
      <c r="I728" s="105">
        <v>0.12</v>
      </c>
      <c r="J728" s="106">
        <v>1000.0</v>
      </c>
      <c r="K728" s="73"/>
      <c r="L728" s="73"/>
      <c r="M728" s="73"/>
      <c r="N728" s="74"/>
    </row>
    <row r="729" ht="30.0" hidden="1" customHeight="1">
      <c r="A729" s="68">
        <v>737.0</v>
      </c>
      <c r="B729" s="68"/>
      <c r="C729" s="68"/>
      <c r="D729" s="69" t="str">
        <f>CONCATENATE(PROPER('DASMA INFO'!$G729),", ",PROPER('DASMA INFO'!$E729)," ",PROPER('DASMA INFO'!$F729),"."," (",UPPER('DASMA INFO'!$H729),")")</f>
        <v>Dagatan, Ephraem . ()</v>
      </c>
      <c r="E729" s="70" t="s">
        <v>1917</v>
      </c>
      <c r="F729" s="70"/>
      <c r="G729" s="69" t="s">
        <v>1918</v>
      </c>
      <c r="H729" s="69"/>
      <c r="I729" s="105">
        <v>0.12</v>
      </c>
      <c r="J729" s="106">
        <v>1000.0</v>
      </c>
      <c r="K729" s="73"/>
      <c r="L729" s="73"/>
      <c r="M729" s="73"/>
      <c r="N729" s="74"/>
    </row>
    <row r="730" ht="30.0" hidden="1" customHeight="1">
      <c r="A730" s="68">
        <v>738.0</v>
      </c>
      <c r="B730" s="68"/>
      <c r="C730" s="68"/>
      <c r="D730" s="69" t="str">
        <f>CONCATENATE(PROPER('DASMA INFO'!$G730),", ",PROPER('DASMA INFO'!$E730)," ",PROPER('DASMA INFO'!$F730),"."," (",UPPER('DASMA INFO'!$H730),")")</f>
        <v>Balognapo, Arnold . ()</v>
      </c>
      <c r="E730" s="70" t="s">
        <v>245</v>
      </c>
      <c r="F730" s="70"/>
      <c r="G730" s="69" t="s">
        <v>1919</v>
      </c>
      <c r="H730" s="69"/>
      <c r="I730" s="105">
        <v>0.12</v>
      </c>
      <c r="J730" s="106">
        <v>1000.0</v>
      </c>
      <c r="K730" s="73"/>
      <c r="L730" s="73"/>
      <c r="M730" s="73"/>
      <c r="N730" s="74"/>
    </row>
    <row r="731" ht="30.0" hidden="1" customHeight="1">
      <c r="A731" s="68">
        <v>739.0</v>
      </c>
      <c r="B731" s="68"/>
      <c r="C731" s="68"/>
      <c r="D731" s="69" t="str">
        <f>CONCATENATE(PROPER('DASMA INFO'!$G731),", ",PROPER('DASMA INFO'!$E731)," ",PROPER('DASMA INFO'!$F731),"."," (",UPPER('DASMA INFO'!$H731),")")</f>
        <v>Redosendr, Danny . ()</v>
      </c>
      <c r="E731" s="70" t="s">
        <v>1920</v>
      </c>
      <c r="F731" s="70"/>
      <c r="G731" s="69" t="s">
        <v>1921</v>
      </c>
      <c r="H731" s="69"/>
      <c r="I731" s="105">
        <v>0.12</v>
      </c>
      <c r="J731" s="106">
        <v>1000.0</v>
      </c>
      <c r="K731" s="73"/>
      <c r="L731" s="73"/>
      <c r="M731" s="73"/>
      <c r="N731" s="74"/>
    </row>
    <row r="732" ht="30.0" hidden="1" customHeight="1">
      <c r="A732" s="68">
        <v>740.0</v>
      </c>
      <c r="B732" s="68"/>
      <c r="C732" s="68"/>
      <c r="D732" s="69" t="str">
        <f>CONCATENATE(PROPER('DASMA INFO'!$G732),", ",PROPER('DASMA INFO'!$E732)," ",PROPER('DASMA INFO'!$F732),"."," (",UPPER('DASMA INFO'!$H732),")")</f>
        <v>Tabayan, Macario . ()</v>
      </c>
      <c r="E732" s="70" t="s">
        <v>1645</v>
      </c>
      <c r="F732" s="70"/>
      <c r="G732" s="69" t="s">
        <v>1922</v>
      </c>
      <c r="H732" s="69"/>
      <c r="I732" s="105">
        <v>0.12</v>
      </c>
      <c r="J732" s="106">
        <v>1000.0</v>
      </c>
      <c r="K732" s="73"/>
      <c r="L732" s="73"/>
      <c r="M732" s="73"/>
      <c r="N732" s="74"/>
    </row>
    <row r="733" ht="30.0" hidden="1" customHeight="1">
      <c r="A733" s="68">
        <v>741.0</v>
      </c>
      <c r="B733" s="68"/>
      <c r="C733" s="68"/>
      <c r="D733" s="69" t="str">
        <f>CONCATENATE(PROPER('DASMA INFO'!$G733),", ",PROPER('DASMA INFO'!$E733)," ",PROPER('DASMA INFO'!$F733),"."," (",UPPER('DASMA INFO'!$H733),")")</f>
        <v>Parducho, Celestina . ()</v>
      </c>
      <c r="E733" s="70" t="s">
        <v>1923</v>
      </c>
      <c r="F733" s="70"/>
      <c r="G733" s="69" t="s">
        <v>1924</v>
      </c>
      <c r="H733" s="69"/>
      <c r="I733" s="105">
        <v>0.12</v>
      </c>
      <c r="J733" s="106">
        <v>1000.0</v>
      </c>
      <c r="K733" s="73"/>
      <c r="L733" s="73"/>
      <c r="M733" s="73"/>
      <c r="N733" s="74"/>
    </row>
    <row r="734" ht="30.0" hidden="1" customHeight="1">
      <c r="A734" s="68">
        <v>742.0</v>
      </c>
      <c r="B734" s="68"/>
      <c r="C734" s="68"/>
      <c r="D734" s="69" t="str">
        <f>CONCATENATE(PROPER('DASMA INFO'!$G734),", ",PROPER('DASMA INFO'!$E734)," ",PROPER('DASMA INFO'!$F734),"."," (",UPPER('DASMA INFO'!$H734),")")</f>
        <v>Pamintuan, Rosalinda . ()</v>
      </c>
      <c r="E734" s="70" t="s">
        <v>940</v>
      </c>
      <c r="F734" s="70"/>
      <c r="G734" s="69" t="s">
        <v>1925</v>
      </c>
      <c r="H734" s="69"/>
      <c r="I734" s="105">
        <v>0.12</v>
      </c>
      <c r="J734" s="106">
        <v>1000.0</v>
      </c>
      <c r="K734" s="73"/>
      <c r="L734" s="73"/>
      <c r="M734" s="73"/>
      <c r="N734" s="74"/>
    </row>
    <row r="735" ht="30.0" hidden="1" customHeight="1">
      <c r="A735" s="68">
        <v>743.0</v>
      </c>
      <c r="B735" s="68"/>
      <c r="C735" s="68"/>
      <c r="D735" s="69" t="str">
        <f>CONCATENATE(PROPER('DASMA INFO'!$G735),", ",PROPER('DASMA INFO'!$E735)," ",PROPER('DASMA INFO'!$F735),"."," (",UPPER('DASMA INFO'!$H735),")")</f>
        <v>Arguilla, Michelle . ()</v>
      </c>
      <c r="E735" s="70" t="s">
        <v>1469</v>
      </c>
      <c r="F735" s="70"/>
      <c r="G735" s="69" t="s">
        <v>1926</v>
      </c>
      <c r="H735" s="69"/>
      <c r="I735" s="105">
        <v>0.12</v>
      </c>
      <c r="J735" s="106">
        <v>1000.0</v>
      </c>
      <c r="K735" s="73"/>
      <c r="L735" s="73"/>
      <c r="M735" s="73"/>
      <c r="N735" s="74"/>
    </row>
    <row r="736" ht="30.0" hidden="1" customHeight="1">
      <c r="A736" s="68">
        <v>744.0</v>
      </c>
      <c r="B736" s="68"/>
      <c r="C736" s="68"/>
      <c r="D736" s="69" t="str">
        <f>CONCATENATE(PROPER('DASMA INFO'!$G736),", ",PROPER('DASMA INFO'!$E736)," ",PROPER('DASMA INFO'!$F736),"."," (",UPPER('DASMA INFO'!$H736),")")</f>
        <v>Conde, Jennelyn . ()</v>
      </c>
      <c r="E736" s="70" t="s">
        <v>970</v>
      </c>
      <c r="F736" s="70"/>
      <c r="G736" s="69" t="s">
        <v>603</v>
      </c>
      <c r="H736" s="69"/>
      <c r="I736" s="105">
        <v>0.12</v>
      </c>
      <c r="J736" s="106">
        <v>1000.0</v>
      </c>
      <c r="K736" s="73"/>
      <c r="L736" s="73"/>
      <c r="M736" s="73"/>
      <c r="N736" s="74"/>
    </row>
    <row r="737" ht="30.0" hidden="1" customHeight="1">
      <c r="A737" s="68">
        <v>745.0</v>
      </c>
      <c r="B737" s="68"/>
      <c r="C737" s="68"/>
      <c r="D737" s="69" t="str">
        <f>CONCATENATE(PROPER('DASMA INFO'!$G737),", ",PROPER('DASMA INFO'!$E737)," ",PROPER('DASMA INFO'!$F737),"."," (",UPPER('DASMA INFO'!$H737),")")</f>
        <v>Salvan, Oliver . ()</v>
      </c>
      <c r="E737" s="70" t="s">
        <v>349</v>
      </c>
      <c r="F737" s="70"/>
      <c r="G737" s="69" t="s">
        <v>1927</v>
      </c>
      <c r="H737" s="69"/>
      <c r="I737" s="105">
        <v>0.12</v>
      </c>
      <c r="J737" s="106">
        <v>1000.0</v>
      </c>
      <c r="K737" s="73"/>
      <c r="L737" s="73"/>
      <c r="M737" s="73"/>
      <c r="N737" s="74"/>
    </row>
    <row r="738" ht="30.0" hidden="1" customHeight="1">
      <c r="A738" s="68">
        <v>746.0</v>
      </c>
      <c r="B738" s="68"/>
      <c r="C738" s="68"/>
      <c r="D738" s="69" t="str">
        <f>CONCATENATE(PROPER('DASMA INFO'!$G738),", ",PROPER('DASMA INFO'!$E738)," ",PROPER('DASMA INFO'!$F738),"."," (",UPPER('DASMA INFO'!$H738),")")</f>
        <v>Dalumpines, Joey . ()</v>
      </c>
      <c r="E738" s="70" t="s">
        <v>1716</v>
      </c>
      <c r="F738" s="70"/>
      <c r="G738" s="69" t="s">
        <v>1928</v>
      </c>
      <c r="H738" s="69"/>
      <c r="I738" s="105">
        <v>0.12</v>
      </c>
      <c r="J738" s="106">
        <v>1000.0</v>
      </c>
      <c r="K738" s="73"/>
      <c r="L738" s="73"/>
      <c r="M738" s="73"/>
      <c r="N738" s="74"/>
    </row>
    <row r="739" ht="30.0" hidden="1" customHeight="1">
      <c r="A739" s="68">
        <v>747.0</v>
      </c>
      <c r="B739" s="68"/>
      <c r="C739" s="68"/>
      <c r="D739" s="69" t="str">
        <f>CONCATENATE(PROPER('DASMA INFO'!$G739),", ",PROPER('DASMA INFO'!$E739)," ",PROPER('DASMA INFO'!$F739),"."," (",UPPER('DASMA INFO'!$H739),")")</f>
        <v>Sapatna, Lairady . ()</v>
      </c>
      <c r="E739" s="70" t="s">
        <v>1929</v>
      </c>
      <c r="F739" s="70"/>
      <c r="G739" s="69" t="s">
        <v>1930</v>
      </c>
      <c r="H739" s="69"/>
      <c r="I739" s="105">
        <v>0.12</v>
      </c>
      <c r="J739" s="106">
        <v>1000.0</v>
      </c>
      <c r="K739" s="73"/>
      <c r="L739" s="73"/>
      <c r="M739" s="73"/>
      <c r="N739" s="74"/>
    </row>
    <row r="740" ht="30.0" hidden="1" customHeight="1">
      <c r="A740" s="68">
        <v>748.0</v>
      </c>
      <c r="B740" s="68"/>
      <c r="C740" s="68"/>
      <c r="D740" s="69" t="str">
        <f>CONCATENATE(PROPER('DASMA INFO'!$G740),", ",PROPER('DASMA INFO'!$E740)," ",PROPER('DASMA INFO'!$F740),"."," (",UPPER('DASMA INFO'!$H740),")")</f>
        <v>Amorine, Marivic . ()</v>
      </c>
      <c r="E740" s="70" t="s">
        <v>84</v>
      </c>
      <c r="F740" s="70"/>
      <c r="G740" s="69" t="s">
        <v>1931</v>
      </c>
      <c r="H740" s="69"/>
      <c r="I740" s="105">
        <v>0.12</v>
      </c>
      <c r="J740" s="106">
        <v>1000.0</v>
      </c>
      <c r="K740" s="73"/>
      <c r="L740" s="73"/>
      <c r="M740" s="73"/>
      <c r="N740" s="74"/>
    </row>
    <row r="741" ht="30.0" hidden="1" customHeight="1">
      <c r="A741" s="68">
        <v>749.0</v>
      </c>
      <c r="B741" s="68"/>
      <c r="C741" s="68"/>
      <c r="D741" s="69" t="str">
        <f>CONCATENATE(PROPER('DASMA INFO'!$G741),", ",PROPER('DASMA INFO'!$E741)," ",PROPER('DASMA INFO'!$F741),"."," (",UPPER('DASMA INFO'!$H741),")")</f>
        <v>Almacen, Anna Mae M. ()</v>
      </c>
      <c r="E741" s="70" t="s">
        <v>1932</v>
      </c>
      <c r="F741" s="70" t="s">
        <v>587</v>
      </c>
      <c r="G741" s="70" t="s">
        <v>1010</v>
      </c>
      <c r="H741" s="70"/>
      <c r="I741" s="92">
        <v>0.05</v>
      </c>
      <c r="J741" s="93">
        <v>1000.0</v>
      </c>
      <c r="K741" s="73" t="s">
        <v>50</v>
      </c>
      <c r="L741" s="73"/>
      <c r="M741" s="73"/>
      <c r="N741" s="74"/>
    </row>
    <row r="742" ht="30.0" hidden="1" customHeight="1">
      <c r="A742" s="68">
        <v>750.0</v>
      </c>
      <c r="B742" s="68"/>
      <c r="C742" s="68"/>
      <c r="D742" s="69" t="str">
        <f>CONCATENATE(PROPER('DASMA INFO'!$G742),", ",PROPER('DASMA INFO'!$E742)," ",PROPER('DASMA INFO'!$F742),"."," (",UPPER('DASMA INFO'!$H742),")")</f>
        <v>Dayon, Lorna . ()</v>
      </c>
      <c r="E742" s="70" t="s">
        <v>276</v>
      </c>
      <c r="F742" s="70"/>
      <c r="G742" s="69" t="s">
        <v>1476</v>
      </c>
      <c r="H742" s="69"/>
      <c r="I742" s="105">
        <v>0.12</v>
      </c>
      <c r="J742" s="106">
        <v>1000.0</v>
      </c>
      <c r="K742" s="73"/>
      <c r="L742" s="73"/>
      <c r="M742" s="73"/>
      <c r="N742" s="74"/>
    </row>
    <row r="743" ht="30.0" hidden="1" customHeight="1">
      <c r="A743" s="68">
        <v>751.0</v>
      </c>
      <c r="B743" s="68"/>
      <c r="C743" s="68"/>
      <c r="D743" s="69" t="str">
        <f>CONCATENATE(PROPER('DASMA INFO'!$G743),", ",PROPER('DASMA INFO'!$E743)," ",PROPER('DASMA INFO'!$F743),"."," (",UPPER('DASMA INFO'!$H743),")")</f>
        <v>Pido, Jhasmin . ()</v>
      </c>
      <c r="E743" s="70" t="s">
        <v>1933</v>
      </c>
      <c r="F743" s="70"/>
      <c r="G743" s="69" t="s">
        <v>1934</v>
      </c>
      <c r="H743" s="69"/>
      <c r="I743" s="105">
        <v>0.12</v>
      </c>
      <c r="J743" s="106">
        <v>1000.0</v>
      </c>
      <c r="K743" s="73"/>
      <c r="L743" s="73"/>
      <c r="M743" s="73"/>
      <c r="N743" s="74"/>
    </row>
    <row r="744" ht="30.0" hidden="1" customHeight="1">
      <c r="A744" s="68">
        <v>752.0</v>
      </c>
      <c r="B744" s="68"/>
      <c r="C744" s="68"/>
      <c r="D744" s="69" t="str">
        <f>CONCATENATE(PROPER('DASMA INFO'!$G744),", ",PROPER('DASMA INFO'!$E744)," ",PROPER('DASMA INFO'!$F744),"."," (",UPPER('DASMA INFO'!$H744),")")</f>
        <v>Vicente, Josielyn . ()</v>
      </c>
      <c r="E744" s="70" t="s">
        <v>1935</v>
      </c>
      <c r="F744" s="70"/>
      <c r="G744" s="69" t="s">
        <v>1490</v>
      </c>
      <c r="H744" s="69"/>
      <c r="I744" s="105">
        <v>0.12</v>
      </c>
      <c r="J744" s="106">
        <v>1000.0</v>
      </c>
      <c r="K744" s="73"/>
      <c r="L744" s="73"/>
      <c r="M744" s="73"/>
      <c r="N744" s="74"/>
    </row>
    <row r="745" ht="30.0" hidden="1" customHeight="1">
      <c r="A745" s="68">
        <v>753.0</v>
      </c>
      <c r="B745" s="68"/>
      <c r="C745" s="68"/>
      <c r="D745" s="69" t="str">
        <f>CONCATENATE(PROPER('DASMA INFO'!$G745),", ",PROPER('DASMA INFO'!$E745)," ",PROPER('DASMA INFO'!$F745),"."," (",UPPER('DASMA INFO'!$H745),")")</f>
        <v>Ambata, Nita . ()</v>
      </c>
      <c r="E745" s="70" t="s">
        <v>89</v>
      </c>
      <c r="F745" s="70"/>
      <c r="G745" s="69" t="s">
        <v>90</v>
      </c>
      <c r="H745" s="69"/>
      <c r="I745" s="92">
        <v>0.05</v>
      </c>
      <c r="J745" s="93">
        <v>1000.0</v>
      </c>
      <c r="K745" s="73" t="s">
        <v>963</v>
      </c>
      <c r="L745" s="73"/>
      <c r="M745" s="73"/>
      <c r="N745" s="74"/>
    </row>
    <row r="746" ht="30.0" hidden="1" customHeight="1">
      <c r="A746" s="68">
        <v>754.0</v>
      </c>
      <c r="B746" s="68"/>
      <c r="C746" s="68"/>
      <c r="D746" s="69" t="str">
        <f>CONCATENATE(PROPER('DASMA INFO'!$G746),", ",PROPER('DASMA INFO'!$E746)," ",PROPER('DASMA INFO'!$F746),"."," (",UPPER('DASMA INFO'!$H746),")")</f>
        <v>Lim, Denesi . ()</v>
      </c>
      <c r="E746" s="70" t="s">
        <v>1936</v>
      </c>
      <c r="F746" s="70"/>
      <c r="G746" s="69" t="s">
        <v>611</v>
      </c>
      <c r="H746" s="69"/>
      <c r="I746" s="105">
        <v>0.12</v>
      </c>
      <c r="J746" s="106">
        <v>1000.0</v>
      </c>
      <c r="K746" s="73"/>
      <c r="L746" s="73"/>
      <c r="M746" s="73"/>
      <c r="N746" s="74"/>
    </row>
    <row r="747" ht="30.0" hidden="1" customHeight="1">
      <c r="A747" s="68">
        <v>755.0</v>
      </c>
      <c r="B747" s="68"/>
      <c r="C747" s="68"/>
      <c r="D747" s="69" t="str">
        <f>CONCATENATE(PROPER('DASMA INFO'!$G747),", ",PROPER('DASMA INFO'!$E747)," ",PROPER('DASMA INFO'!$F747),"."," (",UPPER('DASMA INFO'!$H747),")")</f>
        <v>Bartolo, Meravil L. ()</v>
      </c>
      <c r="E747" s="70" t="s">
        <v>1937</v>
      </c>
      <c r="F747" s="70" t="s">
        <v>648</v>
      </c>
      <c r="G747" s="70" t="s">
        <v>175</v>
      </c>
      <c r="H747" s="69"/>
      <c r="I747" s="92">
        <v>0.05</v>
      </c>
      <c r="J747" s="93">
        <v>1000.0</v>
      </c>
      <c r="K747" s="73" t="s">
        <v>1938</v>
      </c>
      <c r="L747" s="73"/>
      <c r="M747" s="73"/>
      <c r="N747" s="74"/>
    </row>
    <row r="748" ht="30.0" hidden="1" customHeight="1">
      <c r="A748" s="68">
        <v>756.0</v>
      </c>
      <c r="B748" s="68"/>
      <c r="C748" s="68"/>
      <c r="D748" s="69" t="str">
        <f>CONCATENATE(PROPER('DASMA INFO'!$G748),", ",PROPER('DASMA INFO'!$E748)," ",PROPER('DASMA INFO'!$F748),"."," (",UPPER('DASMA INFO'!$H748),")")</f>
        <v>Caranto, Peter . ()</v>
      </c>
      <c r="E748" s="70" t="s">
        <v>1487</v>
      </c>
      <c r="F748" s="70"/>
      <c r="G748" s="70" t="s">
        <v>1939</v>
      </c>
      <c r="H748" s="69"/>
      <c r="I748" s="105">
        <v>0.12</v>
      </c>
      <c r="J748" s="106">
        <v>1000.0</v>
      </c>
      <c r="K748" s="73"/>
      <c r="L748" s="73"/>
      <c r="M748" s="73"/>
      <c r="N748" s="74"/>
    </row>
    <row r="749" ht="30.0" hidden="1" customHeight="1">
      <c r="A749" s="68">
        <v>757.0</v>
      </c>
      <c r="B749" s="68"/>
      <c r="C749" s="68"/>
      <c r="D749" s="69" t="str">
        <f>CONCATENATE(PROPER('DASMA INFO'!$G749),", ",PROPER('DASMA INFO'!$E749)," ",PROPER('DASMA INFO'!$F749),"."," (",UPPER('DASMA INFO'!$H749),")")</f>
        <v>Santos, Melanie . ()</v>
      </c>
      <c r="E749" s="70" t="s">
        <v>1147</v>
      </c>
      <c r="F749" s="70"/>
      <c r="G749" s="70" t="s">
        <v>204</v>
      </c>
      <c r="H749" s="69"/>
      <c r="I749" s="105">
        <v>0.12</v>
      </c>
      <c r="J749" s="106">
        <v>1000.0</v>
      </c>
      <c r="K749" s="73"/>
      <c r="L749" s="73"/>
      <c r="M749" s="73"/>
      <c r="N749" s="74"/>
    </row>
    <row r="750" ht="30.0" hidden="1" customHeight="1">
      <c r="A750" s="68">
        <v>758.0</v>
      </c>
      <c r="B750" s="68"/>
      <c r="C750" s="68"/>
      <c r="D750" s="69" t="str">
        <f>CONCATENATE(PROPER('DASMA INFO'!$G750),", ",PROPER('DASMA INFO'!$E750)," ",PROPER('DASMA INFO'!$F750),"."," (",UPPER('DASMA INFO'!$H750),")")</f>
        <v>Acenita, Angelica . ()</v>
      </c>
      <c r="E750" s="70" t="s">
        <v>1307</v>
      </c>
      <c r="F750" s="70"/>
      <c r="G750" s="70" t="s">
        <v>1940</v>
      </c>
      <c r="H750" s="69"/>
      <c r="I750" s="105">
        <v>0.12</v>
      </c>
      <c r="J750" s="106">
        <v>1000.0</v>
      </c>
      <c r="K750" s="73"/>
      <c r="L750" s="73"/>
      <c r="M750" s="73"/>
      <c r="N750" s="74"/>
    </row>
    <row r="751" ht="30.0" hidden="1" customHeight="1">
      <c r="A751" s="68">
        <v>759.0</v>
      </c>
      <c r="B751" s="68"/>
      <c r="C751" s="68"/>
      <c r="D751" s="69" t="str">
        <f>CONCATENATE(PROPER('DASMA INFO'!$G751),", ",PROPER('DASMA INFO'!$E751)," ",PROPER('DASMA INFO'!$F751),"."," (",UPPER('DASMA INFO'!$H751),")")</f>
        <v>Cantimbuhan, Joahan . ()</v>
      </c>
      <c r="E751" s="70" t="s">
        <v>1941</v>
      </c>
      <c r="F751" s="70"/>
      <c r="G751" s="70" t="s">
        <v>1942</v>
      </c>
      <c r="H751" s="69"/>
      <c r="I751" s="105">
        <v>0.12</v>
      </c>
      <c r="J751" s="106">
        <v>1000.0</v>
      </c>
      <c r="K751" s="73"/>
      <c r="L751" s="73"/>
      <c r="M751" s="73"/>
      <c r="N751" s="74"/>
    </row>
    <row r="752" ht="30.0" hidden="1" customHeight="1">
      <c r="A752" s="68">
        <v>760.0</v>
      </c>
      <c r="B752" s="68"/>
      <c r="C752" s="68"/>
      <c r="D752" s="69" t="str">
        <f>CONCATENATE(PROPER('DASMA INFO'!$G752),", ",PROPER('DASMA INFO'!$E752)," ",PROPER('DASMA INFO'!$F752),"."," (",UPPER('DASMA INFO'!$H752),")")</f>
        <v>Chua, Loraine . ()</v>
      </c>
      <c r="E752" s="70" t="s">
        <v>1943</v>
      </c>
      <c r="F752" s="70"/>
      <c r="G752" s="70" t="s">
        <v>1944</v>
      </c>
      <c r="H752" s="69"/>
      <c r="I752" s="105">
        <v>0.12</v>
      </c>
      <c r="J752" s="106">
        <v>1000.0</v>
      </c>
      <c r="K752" s="73"/>
      <c r="L752" s="73"/>
      <c r="M752" s="73"/>
      <c r="N752" s="74"/>
    </row>
    <row r="753" ht="30.0" hidden="1" customHeight="1">
      <c r="A753" s="68">
        <v>761.0</v>
      </c>
      <c r="B753" s="68"/>
      <c r="C753" s="68"/>
      <c r="D753" s="69" t="str">
        <f>CONCATENATE(PROPER('DASMA INFO'!$G753),", ",PROPER('DASMA INFO'!$E753)," ",PROPER('DASMA INFO'!$F753),"."," (",UPPER('DASMA INFO'!$H753),")")</f>
        <v>Soylon, Evangeline . ()</v>
      </c>
      <c r="E753" s="70" t="s">
        <v>188</v>
      </c>
      <c r="F753" s="70"/>
      <c r="G753" s="69" t="s">
        <v>189</v>
      </c>
      <c r="H753" s="69"/>
      <c r="I753" s="92">
        <v>0.05</v>
      </c>
      <c r="J753" s="93">
        <v>1000.0</v>
      </c>
      <c r="K753" s="73" t="s">
        <v>50</v>
      </c>
      <c r="L753" s="73"/>
      <c r="M753" s="73"/>
      <c r="N753" s="74"/>
    </row>
    <row r="754" ht="30.0" hidden="1" customHeight="1">
      <c r="A754" s="68">
        <v>762.0</v>
      </c>
      <c r="B754" s="68"/>
      <c r="C754" s="68"/>
      <c r="D754" s="69" t="str">
        <f>CONCATENATE(PROPER('DASMA INFO'!$G754),", ",PROPER('DASMA INFO'!$E754)," ",PROPER('DASMA INFO'!$F754),"."," (",UPPER('DASMA INFO'!$H754),")")</f>
        <v>Destajo, Louis Alfren M. ()</v>
      </c>
      <c r="E754" s="70" t="s">
        <v>1945</v>
      </c>
      <c r="F754" s="70" t="s">
        <v>587</v>
      </c>
      <c r="G754" s="69" t="s">
        <v>1946</v>
      </c>
      <c r="H754" s="69"/>
      <c r="I754" s="105">
        <v>0.12</v>
      </c>
      <c r="J754" s="106">
        <v>1000.0</v>
      </c>
      <c r="K754" s="73"/>
      <c r="L754" s="73"/>
      <c r="M754" s="73"/>
      <c r="N754" s="74"/>
    </row>
    <row r="755" ht="30.0" hidden="1" customHeight="1">
      <c r="A755" s="68">
        <v>763.0</v>
      </c>
      <c r="B755" s="68"/>
      <c r="C755" s="68"/>
      <c r="D755" s="69" t="str">
        <f>CONCATENATE(PROPER('DASMA INFO'!$G755),", ",PROPER('DASMA INFO'!$E755)," ",PROPER('DASMA INFO'!$F755),"."," (",UPPER('DASMA INFO'!$H755),")")</f>
        <v>Calcog, Elegio O. ()</v>
      </c>
      <c r="E755" s="70" t="s">
        <v>1947</v>
      </c>
      <c r="F755" s="70" t="s">
        <v>634</v>
      </c>
      <c r="G755" s="69" t="s">
        <v>1948</v>
      </c>
      <c r="H755" s="69"/>
      <c r="I755" s="105">
        <v>0.12</v>
      </c>
      <c r="J755" s="106">
        <v>1000.0</v>
      </c>
      <c r="K755" s="73"/>
      <c r="L755" s="73"/>
      <c r="M755" s="73"/>
      <c r="N755" s="74"/>
    </row>
    <row r="756" ht="30.0" hidden="1" customHeight="1">
      <c r="A756" s="68">
        <v>764.0</v>
      </c>
      <c r="B756" s="68"/>
      <c r="C756" s="68"/>
      <c r="D756" s="69" t="str">
        <f>CONCATENATE(PROPER('DASMA INFO'!$G756),", ",PROPER('DASMA INFO'!$E756)," ",PROPER('DASMA INFO'!$F756),"."," (",UPPER('DASMA INFO'!$H756),")")</f>
        <v>Lacon, Cecille B. ()</v>
      </c>
      <c r="E756" s="70" t="s">
        <v>1949</v>
      </c>
      <c r="F756" s="70" t="s">
        <v>627</v>
      </c>
      <c r="G756" s="69" t="s">
        <v>1950</v>
      </c>
      <c r="H756" s="69"/>
      <c r="I756" s="105">
        <v>0.12</v>
      </c>
      <c r="J756" s="106">
        <v>1000.0</v>
      </c>
      <c r="K756" s="73"/>
      <c r="L756" s="73"/>
      <c r="M756" s="73"/>
      <c r="N756" s="74"/>
    </row>
    <row r="757" ht="30.0" hidden="1" customHeight="1">
      <c r="A757" s="68">
        <v>765.0</v>
      </c>
      <c r="B757" s="68"/>
      <c r="C757" s="68"/>
      <c r="D757" s="69" t="str">
        <f>CONCATENATE(PROPER('DASMA INFO'!$G757),", ",PROPER('DASMA INFO'!$E757)," ",PROPER('DASMA INFO'!$F757),"."," (",UPPER('DASMA INFO'!$H757),")")</f>
        <v>Gatmaitan, Allain . ()</v>
      </c>
      <c r="E757" s="70" t="s">
        <v>1951</v>
      </c>
      <c r="F757" s="70"/>
      <c r="G757" s="69" t="s">
        <v>1952</v>
      </c>
      <c r="H757" s="69"/>
      <c r="I757" s="105">
        <v>0.12</v>
      </c>
      <c r="J757" s="106">
        <v>1000.0</v>
      </c>
      <c r="K757" s="73"/>
      <c r="L757" s="73"/>
      <c r="M757" s="73"/>
      <c r="N757" s="74"/>
    </row>
    <row r="758" ht="30.0" hidden="1" customHeight="1">
      <c r="A758" s="68">
        <v>766.0</v>
      </c>
      <c r="B758" s="68"/>
      <c r="C758" s="68"/>
      <c r="D758" s="69" t="str">
        <f>CONCATENATE(PROPER('DASMA INFO'!$G758),", ",PROPER('DASMA INFO'!$E758)," ",PROPER('DASMA INFO'!$F758),"."," (",UPPER('DASMA INFO'!$H758),")")</f>
        <v>Perez, Editha P. ()</v>
      </c>
      <c r="E758" s="70" t="s">
        <v>402</v>
      </c>
      <c r="F758" s="70" t="s">
        <v>513</v>
      </c>
      <c r="G758" s="69" t="s">
        <v>236</v>
      </c>
      <c r="H758" s="69"/>
      <c r="I758" s="105">
        <v>0.12</v>
      </c>
      <c r="J758" s="106">
        <v>1000.0</v>
      </c>
      <c r="K758" s="73"/>
      <c r="L758" s="73"/>
      <c r="M758" s="73"/>
      <c r="N758" s="74"/>
    </row>
    <row r="759" ht="30.0" hidden="1" customHeight="1">
      <c r="A759" s="68">
        <v>767.0</v>
      </c>
      <c r="B759" s="68"/>
      <c r="C759" s="68"/>
      <c r="D759" s="69" t="str">
        <f>CONCATENATE(PROPER('DASMA INFO'!$G759),", ",PROPER('DASMA INFO'!$E759)," ",PROPER('DASMA INFO'!$F759),"."," (",UPPER('DASMA INFO'!$H759),")")</f>
        <v>Rivera, Fermin . ()</v>
      </c>
      <c r="E759" s="70" t="s">
        <v>1953</v>
      </c>
      <c r="F759" s="70"/>
      <c r="G759" s="69" t="s">
        <v>494</v>
      </c>
      <c r="H759" s="69"/>
      <c r="I759" s="105">
        <v>0.12</v>
      </c>
      <c r="J759" s="106">
        <v>1000.0</v>
      </c>
      <c r="K759" s="73"/>
      <c r="L759" s="73"/>
      <c r="M759" s="73"/>
      <c r="N759" s="74"/>
    </row>
    <row r="760" ht="30.0" hidden="1" customHeight="1">
      <c r="A760" s="68">
        <v>768.0</v>
      </c>
      <c r="B760" s="68"/>
      <c r="C760" s="68"/>
      <c r="D760" s="69" t="str">
        <f>CONCATENATE(PROPER('DASMA INFO'!$G760),", ",PROPER('DASMA INFO'!$E760)," ",PROPER('DASMA INFO'!$F760),"."," (",UPPER('DASMA INFO'!$H760),")")</f>
        <v>Paginigim, Rowena . ()</v>
      </c>
      <c r="E760" s="70" t="s">
        <v>284</v>
      </c>
      <c r="F760" s="70"/>
      <c r="G760" s="69" t="s">
        <v>1954</v>
      </c>
      <c r="H760" s="69"/>
      <c r="I760" s="105">
        <v>0.12</v>
      </c>
      <c r="J760" s="106">
        <v>1000.0</v>
      </c>
      <c r="K760" s="73"/>
      <c r="L760" s="73"/>
      <c r="M760" s="73"/>
      <c r="N760" s="74"/>
    </row>
    <row r="761" ht="30.0" hidden="1" customHeight="1">
      <c r="A761" s="68">
        <v>769.0</v>
      </c>
      <c r="B761" s="68"/>
      <c r="C761" s="68"/>
      <c r="D761" s="69" t="str">
        <f>CONCATENATE(PROPER('DASMA INFO'!$G761),", ",PROPER('DASMA INFO'!$E761)," ",PROPER('DASMA INFO'!$F761),"."," (",UPPER('DASMA INFO'!$H761),")")</f>
        <v>Navoa, Manny A. ()</v>
      </c>
      <c r="E761" s="70" t="s">
        <v>1955</v>
      </c>
      <c r="F761" s="70" t="s">
        <v>427</v>
      </c>
      <c r="G761" s="69" t="s">
        <v>1956</v>
      </c>
      <c r="H761" s="69"/>
      <c r="I761" s="105">
        <v>0.12</v>
      </c>
      <c r="J761" s="106">
        <v>1000.0</v>
      </c>
      <c r="K761" s="73"/>
      <c r="L761" s="73"/>
      <c r="M761" s="73"/>
      <c r="N761" s="74"/>
    </row>
    <row r="762" ht="30.0" hidden="1" customHeight="1">
      <c r="A762" s="68">
        <v>770.0</v>
      </c>
      <c r="B762" s="68"/>
      <c r="C762" s="68"/>
      <c r="D762" s="69" t="str">
        <f>CONCATENATE(PROPER('DASMA INFO'!$G762),", ",PROPER('DASMA INFO'!$E762)," ",PROPER('DASMA INFO'!$F762),"."," (",UPPER('DASMA INFO'!$H762),")")</f>
        <v>Apuyan, Delma S. ()</v>
      </c>
      <c r="E762" s="70" t="s">
        <v>1957</v>
      </c>
      <c r="F762" s="70" t="s">
        <v>342</v>
      </c>
      <c r="G762" s="69" t="s">
        <v>1008</v>
      </c>
      <c r="H762" s="69"/>
      <c r="I762" s="105">
        <v>0.12</v>
      </c>
      <c r="J762" s="106">
        <v>1000.0</v>
      </c>
      <c r="K762" s="73"/>
      <c r="L762" s="73"/>
      <c r="M762" s="73"/>
      <c r="N762" s="74"/>
    </row>
    <row r="763" ht="30.0" hidden="1" customHeight="1">
      <c r="A763" s="68">
        <v>771.0</v>
      </c>
      <c r="B763" s="68"/>
      <c r="C763" s="68"/>
      <c r="D763" s="69" t="str">
        <f>CONCATENATE(PROPER('DASMA INFO'!$G763),", ",PROPER('DASMA INFO'!$E763)," ",PROPER('DASMA INFO'!$F763),"."," (",UPPER('DASMA INFO'!$H763),")")</f>
        <v>Enriquez, Alma P. ()</v>
      </c>
      <c r="E763" s="70" t="s">
        <v>1056</v>
      </c>
      <c r="F763" s="70" t="s">
        <v>513</v>
      </c>
      <c r="G763" s="69" t="s">
        <v>1617</v>
      </c>
      <c r="H763" s="69"/>
      <c r="I763" s="105">
        <v>0.12</v>
      </c>
      <c r="J763" s="106">
        <v>1000.0</v>
      </c>
      <c r="K763" s="73"/>
      <c r="L763" s="73"/>
      <c r="M763" s="73"/>
      <c r="N763" s="74"/>
    </row>
    <row r="764" ht="30.0" hidden="1" customHeight="1">
      <c r="A764" s="68">
        <v>772.0</v>
      </c>
      <c r="B764" s="68"/>
      <c r="C764" s="68"/>
      <c r="D764" s="69" t="str">
        <f>CONCATENATE(PROPER('DASMA INFO'!$G764),", ",PROPER('DASMA INFO'!$E764)," ",PROPER('DASMA INFO'!$F764),"."," (",UPPER('DASMA INFO'!$H764),")")</f>
        <v>Martinez, Reynaldo . ()</v>
      </c>
      <c r="E764" s="70" t="s">
        <v>1028</v>
      </c>
      <c r="F764" s="70"/>
      <c r="G764" s="69" t="s">
        <v>831</v>
      </c>
      <c r="H764" s="69"/>
      <c r="I764" s="105">
        <v>0.12</v>
      </c>
      <c r="J764" s="106">
        <v>1000.0</v>
      </c>
      <c r="K764" s="73"/>
      <c r="L764" s="73"/>
      <c r="M764" s="73"/>
      <c r="N764" s="74"/>
    </row>
    <row r="765" ht="30.0" hidden="1" customHeight="1">
      <c r="A765" s="68">
        <v>773.0</v>
      </c>
      <c r="B765" s="68"/>
      <c r="C765" s="68"/>
      <c r="D765" s="69" t="str">
        <f>CONCATENATE(PROPER('DASMA INFO'!$G765),", ",PROPER('DASMA INFO'!$E765)," ",PROPER('DASMA INFO'!$F765),"."," (",UPPER('DASMA INFO'!$H765),")")</f>
        <v>Reformado, Michael . ()</v>
      </c>
      <c r="E765" s="70" t="s">
        <v>38</v>
      </c>
      <c r="F765" s="70"/>
      <c r="G765" s="69" t="s">
        <v>1743</v>
      </c>
      <c r="H765" s="69"/>
      <c r="I765" s="105">
        <v>0.12</v>
      </c>
      <c r="J765" s="106">
        <v>1000.0</v>
      </c>
      <c r="K765" s="73"/>
      <c r="L765" s="73"/>
      <c r="M765" s="73"/>
      <c r="N765" s="74"/>
    </row>
    <row r="766" ht="30.0" hidden="1" customHeight="1">
      <c r="A766" s="68">
        <v>774.0</v>
      </c>
      <c r="B766" s="68"/>
      <c r="C766" s="68"/>
      <c r="D766" s="69" t="str">
        <f>CONCATENATE(PROPER('DASMA INFO'!$G766),", ",PROPER('DASMA INFO'!$E766)," ",PROPER('DASMA INFO'!$F766),"."," (",UPPER('DASMA INFO'!$H766),")")</f>
        <v>Nacionales, Sunshine J. ()</v>
      </c>
      <c r="E766" s="70" t="s">
        <v>1958</v>
      </c>
      <c r="F766" s="70" t="s">
        <v>613</v>
      </c>
      <c r="G766" s="69" t="s">
        <v>1413</v>
      </c>
      <c r="H766" s="69"/>
      <c r="I766" s="105">
        <v>0.12</v>
      </c>
      <c r="J766" s="106">
        <v>1000.0</v>
      </c>
      <c r="K766" s="73"/>
      <c r="L766" s="73"/>
      <c r="M766" s="73"/>
      <c r="N766" s="74"/>
    </row>
    <row r="767" ht="30.0" hidden="1" customHeight="1">
      <c r="A767" s="68">
        <v>775.0</v>
      </c>
      <c r="B767" s="68"/>
      <c r="C767" s="68"/>
      <c r="D767" s="69" t="str">
        <f>CONCATENATE(PROPER('DASMA INFO'!$G767),", ",PROPER('DASMA INFO'!$E767)," ",PROPER('DASMA INFO'!$F767),"."," (",UPPER('DASMA INFO'!$H767),")")</f>
        <v>Torotoro, Jonalyn M. ()</v>
      </c>
      <c r="E767" s="70" t="s">
        <v>1959</v>
      </c>
      <c r="F767" s="70" t="s">
        <v>587</v>
      </c>
      <c r="G767" s="69" t="s">
        <v>1960</v>
      </c>
      <c r="H767" s="69"/>
      <c r="I767" s="105">
        <v>0.12</v>
      </c>
      <c r="J767" s="106">
        <v>1000.0</v>
      </c>
      <c r="K767" s="73"/>
      <c r="L767" s="73"/>
      <c r="M767" s="73"/>
      <c r="N767" s="74"/>
    </row>
    <row r="768" ht="30.0" hidden="1" customHeight="1">
      <c r="A768" s="68">
        <v>776.0</v>
      </c>
      <c r="B768" s="68"/>
      <c r="C768" s="68"/>
      <c r="D768" s="69" t="str">
        <f>CONCATENATE(PROPER('DASMA INFO'!$G768),", ",PROPER('DASMA INFO'!$E768)," ",PROPER('DASMA INFO'!$F768),"."," (",UPPER('DASMA INFO'!$H768),")")</f>
        <v>Nuega, Aida . ()</v>
      </c>
      <c r="E768" s="70" t="s">
        <v>1593</v>
      </c>
      <c r="F768" s="70"/>
      <c r="G768" s="69" t="s">
        <v>1961</v>
      </c>
      <c r="H768" s="69"/>
      <c r="I768" s="105">
        <v>0.12</v>
      </c>
      <c r="J768" s="106">
        <v>1000.0</v>
      </c>
      <c r="K768" s="73"/>
      <c r="L768" s="73"/>
      <c r="M768" s="73"/>
      <c r="N768" s="74"/>
    </row>
    <row r="769" ht="30.0" hidden="1" customHeight="1">
      <c r="A769" s="68">
        <v>777.0</v>
      </c>
      <c r="B769" s="68"/>
      <c r="C769" s="68"/>
      <c r="D769" s="69" t="str">
        <f>CONCATENATE(PROPER('DASMA INFO'!$G769),", ",PROPER('DASMA INFO'!$E769)," ",PROPER('DASMA INFO'!$F769),"."," (",UPPER('DASMA INFO'!$H769),")")</f>
        <v>Sanchie, Lubyada . ()</v>
      </c>
      <c r="E769" s="70" t="s">
        <v>1962</v>
      </c>
      <c r="F769" s="70"/>
      <c r="G769" s="69" t="s">
        <v>1963</v>
      </c>
      <c r="H769" s="69"/>
      <c r="I769" s="105">
        <v>0.12</v>
      </c>
      <c r="J769" s="106">
        <v>1000.0</v>
      </c>
      <c r="K769" s="73"/>
      <c r="L769" s="73"/>
      <c r="M769" s="73"/>
      <c r="N769" s="74"/>
    </row>
    <row r="770" ht="30.0" hidden="1" customHeight="1">
      <c r="A770" s="68">
        <v>778.0</v>
      </c>
      <c r="B770" s="68"/>
      <c r="C770" s="68"/>
      <c r="D770" s="69" t="str">
        <f>CONCATENATE(PROPER('DASMA INFO'!$G770),", ",PROPER('DASMA INFO'!$E770)," ",PROPER('DASMA INFO'!$F770),"."," (",UPPER('DASMA INFO'!$H770),")")</f>
        <v>Avendano, Crispin M. ()</v>
      </c>
      <c r="E770" s="70" t="s">
        <v>153</v>
      </c>
      <c r="F770" s="70" t="s">
        <v>587</v>
      </c>
      <c r="G770" s="69" t="s">
        <v>1964</v>
      </c>
      <c r="H770" s="69"/>
      <c r="I770" s="105">
        <v>0.12</v>
      </c>
      <c r="J770" s="106">
        <v>1000.0</v>
      </c>
      <c r="K770" s="73"/>
      <c r="L770" s="73"/>
      <c r="M770" s="73"/>
      <c r="N770" s="74"/>
    </row>
    <row r="771" ht="30.0" hidden="1" customHeight="1">
      <c r="A771" s="68">
        <v>779.0</v>
      </c>
      <c r="B771" s="68"/>
      <c r="C771" s="68"/>
      <c r="D771" s="69" t="str">
        <f>CONCATENATE(PROPER('DASMA INFO'!$G771),", ",PROPER('DASMA INFO'!$E771)," ",PROPER('DASMA INFO'!$F771),"."," (",UPPER('DASMA INFO'!$H771),")")</f>
        <v>Mapanoo, Danilo M. ()</v>
      </c>
      <c r="E771" s="70" t="s">
        <v>251</v>
      </c>
      <c r="F771" s="70" t="s">
        <v>587</v>
      </c>
      <c r="G771" s="69" t="s">
        <v>252</v>
      </c>
      <c r="H771" s="69"/>
      <c r="I771" s="105">
        <v>0.12</v>
      </c>
      <c r="J771" s="106">
        <v>1000.0</v>
      </c>
      <c r="K771" s="73"/>
      <c r="L771" s="73"/>
      <c r="M771" s="73"/>
      <c r="N771" s="74"/>
    </row>
    <row r="772" ht="30.0" hidden="1" customHeight="1">
      <c r="A772" s="68">
        <v>780.0</v>
      </c>
      <c r="B772" s="68"/>
      <c r="C772" s="68"/>
      <c r="D772" s="69" t="str">
        <f>CONCATENATE(PROPER('DASMA INFO'!$G772),", ",PROPER('DASMA INFO'!$E772)," ",PROPER('DASMA INFO'!$F772),"."," (",UPPER('DASMA INFO'!$H772),")")</f>
        <v>Raymundo, Luisa . ()</v>
      </c>
      <c r="E772" s="70" t="s">
        <v>814</v>
      </c>
      <c r="F772" s="70"/>
      <c r="G772" s="69" t="s">
        <v>1965</v>
      </c>
      <c r="H772" s="69"/>
      <c r="I772" s="105">
        <v>0.12</v>
      </c>
      <c r="J772" s="106">
        <v>1000.0</v>
      </c>
      <c r="K772" s="73"/>
      <c r="L772" s="73"/>
      <c r="M772" s="73"/>
      <c r="N772" s="74"/>
    </row>
    <row r="773" ht="30.0" hidden="1" customHeight="1">
      <c r="A773" s="68">
        <v>781.0</v>
      </c>
      <c r="B773" s="68"/>
      <c r="C773" s="68"/>
      <c r="D773" s="69" t="str">
        <f>CONCATENATE(PROPER('DASMA INFO'!$G773),", ",PROPER('DASMA INFO'!$E773)," ",PROPER('DASMA INFO'!$F773),"."," (",UPPER('DASMA INFO'!$H773),")")</f>
        <v>Raymundo, Rea . ()</v>
      </c>
      <c r="E773" s="70" t="s">
        <v>1069</v>
      </c>
      <c r="F773" s="70"/>
      <c r="G773" s="69" t="s">
        <v>1965</v>
      </c>
      <c r="H773" s="69"/>
      <c r="I773" s="105">
        <v>0.12</v>
      </c>
      <c r="J773" s="106">
        <v>1000.0</v>
      </c>
      <c r="K773" s="73"/>
      <c r="L773" s="73"/>
      <c r="M773" s="73"/>
      <c r="N773" s="74"/>
    </row>
    <row r="774" ht="30.0" hidden="1" customHeight="1">
      <c r="A774" s="68">
        <v>782.0</v>
      </c>
      <c r="B774" s="68"/>
      <c r="C774" s="68"/>
      <c r="D774" s="69" t="str">
        <f>CONCATENATE(PROPER('DASMA INFO'!$G774),", ",PROPER('DASMA INFO'!$E774)," ",PROPER('DASMA INFO'!$F774),"."," (",UPPER('DASMA INFO'!$H774),")")</f>
        <v>Ello, Francisco S. ()</v>
      </c>
      <c r="E774" s="70" t="s">
        <v>509</v>
      </c>
      <c r="F774" s="70" t="s">
        <v>342</v>
      </c>
      <c r="G774" s="69" t="s">
        <v>1966</v>
      </c>
      <c r="H774" s="69"/>
      <c r="I774" s="105">
        <v>0.12</v>
      </c>
      <c r="J774" s="106">
        <v>1000.0</v>
      </c>
      <c r="K774" s="73"/>
      <c r="L774" s="73"/>
      <c r="M774" s="73"/>
      <c r="N774" s="74"/>
    </row>
    <row r="775" ht="30.0" hidden="1" customHeight="1">
      <c r="A775" s="68">
        <v>783.0</v>
      </c>
      <c r="B775" s="68"/>
      <c r="C775" s="68"/>
      <c r="D775" s="69" t="str">
        <f>CONCATENATE(PROPER('DASMA INFO'!$G775),", ",PROPER('DASMA INFO'!$E775)," ",PROPER('DASMA INFO'!$F775),"."," (",UPPER('DASMA INFO'!$H775),")")</f>
        <v>Galaraga, Lolita P. ()</v>
      </c>
      <c r="E775" s="70" t="s">
        <v>1672</v>
      </c>
      <c r="F775" s="70" t="s">
        <v>513</v>
      </c>
      <c r="G775" s="69" t="s">
        <v>1797</v>
      </c>
      <c r="H775" s="69"/>
      <c r="I775" s="105">
        <v>0.12</v>
      </c>
      <c r="J775" s="106">
        <v>1000.0</v>
      </c>
      <c r="K775" s="73"/>
      <c r="L775" s="73"/>
      <c r="M775" s="73"/>
      <c r="N775" s="74"/>
    </row>
    <row r="776" ht="30.0" hidden="1" customHeight="1">
      <c r="A776" s="68">
        <v>784.0</v>
      </c>
      <c r="B776" s="68"/>
      <c r="C776" s="68"/>
      <c r="D776" s="69" t="str">
        <f>CONCATENATE(PROPER('DASMA INFO'!$G776),", ",PROPER('DASMA INFO'!$E776)," ",PROPER('DASMA INFO'!$F776),"."," (",UPPER('DASMA INFO'!$H776),")")</f>
        <v>Amorin, Marivic M. ()</v>
      </c>
      <c r="E776" s="70" t="s">
        <v>84</v>
      </c>
      <c r="F776" s="70" t="s">
        <v>587</v>
      </c>
      <c r="G776" s="70" t="s">
        <v>85</v>
      </c>
      <c r="H776" s="69"/>
      <c r="I776" s="92">
        <v>0.05</v>
      </c>
      <c r="J776" s="93">
        <v>1000.0</v>
      </c>
      <c r="K776" s="73" t="s">
        <v>1967</v>
      </c>
      <c r="L776" s="73"/>
      <c r="M776" s="73"/>
      <c r="N776" s="74"/>
    </row>
    <row r="777" ht="30.0" hidden="1" customHeight="1">
      <c r="A777" s="68">
        <v>785.0</v>
      </c>
      <c r="B777" s="68"/>
      <c r="C777" s="68"/>
      <c r="D777" s="69" t="str">
        <f>CONCATENATE(PROPER('DASMA INFO'!$G777),", ",PROPER('DASMA INFO'!$E777)," ",PROPER('DASMA INFO'!$F777),"."," (",UPPER('DASMA INFO'!$H777),")")</f>
        <v>Madrigal, Armi . ()</v>
      </c>
      <c r="E777" s="70" t="s">
        <v>1968</v>
      </c>
      <c r="F777" s="70"/>
      <c r="G777" s="70" t="s">
        <v>1969</v>
      </c>
      <c r="H777" s="69"/>
      <c r="I777" s="105">
        <v>0.12</v>
      </c>
      <c r="J777" s="106">
        <v>1000.0</v>
      </c>
      <c r="K777" s="73"/>
      <c r="L777" s="73"/>
      <c r="M777" s="73"/>
      <c r="N777" s="74"/>
    </row>
    <row r="778" ht="30.0" hidden="1" customHeight="1">
      <c r="A778" s="68">
        <v>786.0</v>
      </c>
      <c r="B778" s="68"/>
      <c r="C778" s="68"/>
      <c r="D778" s="69" t="str">
        <f>CONCATENATE(PROPER('DASMA INFO'!$G778),", ",PROPER('DASMA INFO'!$E778)," ",PROPER('DASMA INFO'!$F778),"."," (",UPPER('DASMA INFO'!$H778),")")</f>
        <v>Arresgado, Roselyn J. ()</v>
      </c>
      <c r="E778" s="70" t="s">
        <v>195</v>
      </c>
      <c r="F778" s="70" t="s">
        <v>613</v>
      </c>
      <c r="G778" s="70" t="s">
        <v>196</v>
      </c>
      <c r="H778" s="69"/>
      <c r="I778" s="92">
        <v>0.05</v>
      </c>
      <c r="J778" s="93">
        <v>1000.0</v>
      </c>
      <c r="K778" s="73" t="s">
        <v>1017</v>
      </c>
      <c r="L778" s="73"/>
      <c r="M778" s="73"/>
      <c r="N778" s="74"/>
    </row>
    <row r="779" ht="30.0" hidden="1" customHeight="1">
      <c r="A779" s="68">
        <v>787.0</v>
      </c>
      <c r="B779" s="68"/>
      <c r="C779" s="68"/>
      <c r="D779" s="69" t="str">
        <f>CONCATENATE(PROPER('DASMA INFO'!$G779),", ",PROPER('DASMA INFO'!$E779)," ",PROPER('DASMA INFO'!$F779),"."," (",UPPER('DASMA INFO'!$H779),")")</f>
        <v>Katigbak, Venus . ()</v>
      </c>
      <c r="E779" s="70" t="s">
        <v>203</v>
      </c>
      <c r="F779" s="70"/>
      <c r="G779" s="69" t="s">
        <v>1970</v>
      </c>
      <c r="H779" s="69"/>
      <c r="I779" s="105">
        <v>0.12</v>
      </c>
      <c r="J779" s="106">
        <v>1000.0</v>
      </c>
      <c r="K779" s="73"/>
      <c r="L779" s="73"/>
      <c r="M779" s="73"/>
      <c r="N779" s="74"/>
    </row>
    <row r="780" ht="30.0" hidden="1" customHeight="1">
      <c r="A780" s="68">
        <v>788.0</v>
      </c>
      <c r="B780" s="68"/>
      <c r="C780" s="68"/>
      <c r="D780" s="69" t="str">
        <f>CONCATENATE(PROPER('DASMA INFO'!$G780),", ",PROPER('DASMA INFO'!$E780)," ",PROPER('DASMA INFO'!$F780),"."," (",UPPER('DASMA INFO'!$H780),")")</f>
        <v>Mabeza, Lorenzana Naneth . ()</v>
      </c>
      <c r="E780" s="70" t="s">
        <v>1971</v>
      </c>
      <c r="F780" s="70"/>
      <c r="G780" s="70" t="s">
        <v>35</v>
      </c>
      <c r="H780" s="69"/>
      <c r="I780" s="92">
        <v>0.05</v>
      </c>
      <c r="J780" s="93">
        <v>1000.0</v>
      </c>
      <c r="K780" s="73" t="s">
        <v>1972</v>
      </c>
      <c r="L780" s="73"/>
      <c r="M780" s="73"/>
      <c r="N780" s="74"/>
    </row>
    <row r="781" ht="30.0" hidden="1" customHeight="1">
      <c r="A781" s="68">
        <v>789.0</v>
      </c>
      <c r="B781" s="68"/>
      <c r="C781" s="68"/>
      <c r="D781" s="69" t="str">
        <f>CONCATENATE(PROPER('DASMA INFO'!$G781),", ",PROPER('DASMA INFO'!$E781)," ",PROPER('DASMA INFO'!$F781),"."," (",UPPER('DASMA INFO'!$H781),")")</f>
        <v>Casas, Manuelito . ()</v>
      </c>
      <c r="E781" s="70" t="s">
        <v>1973</v>
      </c>
      <c r="F781" s="70"/>
      <c r="G781" s="69" t="s">
        <v>1974</v>
      </c>
      <c r="H781" s="69"/>
      <c r="I781" s="105">
        <v>0.12</v>
      </c>
      <c r="J781" s="106">
        <v>1000.0</v>
      </c>
      <c r="K781" s="73"/>
      <c r="L781" s="73"/>
      <c r="M781" s="73"/>
      <c r="N781" s="74"/>
    </row>
    <row r="782" ht="30.0" hidden="1" customHeight="1">
      <c r="A782" s="68">
        <v>790.0</v>
      </c>
      <c r="B782" s="68"/>
      <c r="C782" s="68"/>
      <c r="D782" s="69" t="str">
        <f>CONCATENATE(PROPER('DASMA INFO'!$G782),", ",PROPER('DASMA INFO'!$E782)," ",PROPER('DASMA INFO'!$F782),"."," (",UPPER('DASMA INFO'!$H782),")")</f>
        <v>Banez, Raquel B. ()</v>
      </c>
      <c r="E782" s="70" t="s">
        <v>191</v>
      </c>
      <c r="F782" s="70" t="s">
        <v>627</v>
      </c>
      <c r="G782" s="69" t="s">
        <v>1975</v>
      </c>
      <c r="H782" s="69"/>
      <c r="I782" s="105">
        <v>0.12</v>
      </c>
      <c r="J782" s="106">
        <v>1000.0</v>
      </c>
      <c r="K782" s="73"/>
      <c r="L782" s="73"/>
      <c r="M782" s="73"/>
      <c r="N782" s="74"/>
    </row>
    <row r="783" ht="30.0" hidden="1" customHeight="1">
      <c r="A783" s="68">
        <v>791.0</v>
      </c>
      <c r="B783" s="68"/>
      <c r="C783" s="68"/>
      <c r="D783" s="69" t="str">
        <f>CONCATENATE(PROPER('DASMA INFO'!$G783),", ",PROPER('DASMA INFO'!$E783)," ",PROPER('DASMA INFO'!$F783),"."," (",UPPER('DASMA INFO'!$H783),")")</f>
        <v>Castillo, Evalyn . ()</v>
      </c>
      <c r="E783" s="70" t="s">
        <v>595</v>
      </c>
      <c r="F783" s="70"/>
      <c r="G783" s="69" t="s">
        <v>1184</v>
      </c>
      <c r="H783" s="69"/>
      <c r="I783" s="105">
        <v>0.12</v>
      </c>
      <c r="J783" s="106">
        <v>1000.0</v>
      </c>
      <c r="K783" s="73"/>
      <c r="L783" s="73"/>
      <c r="M783" s="73"/>
      <c r="N783" s="74"/>
    </row>
    <row r="784" ht="30.0" hidden="1" customHeight="1">
      <c r="A784" s="68">
        <v>792.0</v>
      </c>
      <c r="B784" s="68"/>
      <c r="C784" s="68"/>
      <c r="D784" s="69" t="str">
        <f>CONCATENATE(PROPER('DASMA INFO'!$G784),", ",PROPER('DASMA INFO'!$E784)," ",PROPER('DASMA INFO'!$F784),"."," (",UPPER('DASMA INFO'!$H784),")")</f>
        <v>Liquigan, Zenaida . ()</v>
      </c>
      <c r="E784" s="70" t="s">
        <v>126</v>
      </c>
      <c r="F784" s="70"/>
      <c r="G784" s="69" t="s">
        <v>1976</v>
      </c>
      <c r="H784" s="69"/>
      <c r="I784" s="105">
        <v>0.12</v>
      </c>
      <c r="J784" s="106">
        <v>1000.0</v>
      </c>
      <c r="K784" s="73"/>
      <c r="L784" s="73"/>
      <c r="M784" s="73"/>
      <c r="N784" s="74"/>
    </row>
    <row r="785" ht="30.0" hidden="1" customHeight="1">
      <c r="A785" s="68">
        <v>793.0</v>
      </c>
      <c r="B785" s="68"/>
      <c r="C785" s="68"/>
      <c r="D785" s="69" t="str">
        <f>CONCATENATE(PROPER('DASMA INFO'!$G785),", ",PROPER('DASMA INFO'!$E785)," ",PROPER('DASMA INFO'!$F785),"."," (",UPPER('DASMA INFO'!$H785),")")</f>
        <v>Sarroca, Romeo . ()</v>
      </c>
      <c r="E785" s="70" t="s">
        <v>441</v>
      </c>
      <c r="F785" s="70"/>
      <c r="G785" s="69" t="s">
        <v>1977</v>
      </c>
      <c r="H785" s="69"/>
      <c r="I785" s="105">
        <v>0.12</v>
      </c>
      <c r="J785" s="106">
        <v>1000.0</v>
      </c>
      <c r="K785" s="73"/>
      <c r="L785" s="73"/>
      <c r="M785" s="73"/>
      <c r="N785" s="74"/>
    </row>
    <row r="786" ht="30.0" hidden="1" customHeight="1">
      <c r="A786" s="68">
        <v>794.0</v>
      </c>
      <c r="B786" s="68"/>
      <c r="C786" s="68"/>
      <c r="D786" s="69" t="str">
        <f>CONCATENATE(PROPER('DASMA INFO'!$G786),", ",PROPER('DASMA INFO'!$E786)," ",PROPER('DASMA INFO'!$F786),"."," (",UPPER('DASMA INFO'!$H786),")")</f>
        <v>Locsin, Ronaldo . ()</v>
      </c>
      <c r="E786" s="70" t="s">
        <v>1978</v>
      </c>
      <c r="F786" s="70"/>
      <c r="G786" s="69" t="s">
        <v>1979</v>
      </c>
      <c r="H786" s="69"/>
      <c r="I786" s="105">
        <v>0.12</v>
      </c>
      <c r="J786" s="106">
        <v>1000.0</v>
      </c>
      <c r="K786" s="73"/>
      <c r="L786" s="73"/>
      <c r="M786" s="73"/>
      <c r="N786" s="74"/>
    </row>
    <row r="787" ht="30.0" hidden="1" customHeight="1">
      <c r="A787" s="68">
        <v>795.0</v>
      </c>
      <c r="B787" s="68"/>
      <c r="C787" s="68"/>
      <c r="D787" s="69" t="str">
        <f>CONCATENATE(PROPER('DASMA INFO'!$G787),", ",PROPER('DASMA INFO'!$E787)," ",PROPER('DASMA INFO'!$F787),"."," (",UPPER('DASMA INFO'!$H787),")")</f>
        <v>Mandi, Victoriano . ()</v>
      </c>
      <c r="E787" s="70" t="s">
        <v>1980</v>
      </c>
      <c r="F787" s="70"/>
      <c r="G787" s="69" t="s">
        <v>1981</v>
      </c>
      <c r="H787" s="69"/>
      <c r="I787" s="105">
        <v>0.12</v>
      </c>
      <c r="J787" s="106">
        <v>1000.0</v>
      </c>
      <c r="K787" s="73"/>
      <c r="L787" s="73"/>
      <c r="M787" s="73"/>
      <c r="N787" s="74"/>
    </row>
    <row r="788" ht="30.0" hidden="1" customHeight="1">
      <c r="A788" s="68">
        <v>796.0</v>
      </c>
      <c r="B788" s="68"/>
      <c r="C788" s="68"/>
      <c r="D788" s="69" t="str">
        <f>CONCATENATE(PROPER('DASMA INFO'!$G788),", ",PROPER('DASMA INFO'!$E788)," ",PROPER('DASMA INFO'!$F788),"."," (",UPPER('DASMA INFO'!$H788),")")</f>
        <v>Espiritu, Winnie . ()</v>
      </c>
      <c r="E788" s="70" t="s">
        <v>1982</v>
      </c>
      <c r="F788" s="70"/>
      <c r="G788" s="69" t="s">
        <v>1698</v>
      </c>
      <c r="H788" s="69"/>
      <c r="I788" s="105">
        <v>0.12</v>
      </c>
      <c r="J788" s="106">
        <v>1000.0</v>
      </c>
      <c r="K788" s="73"/>
      <c r="L788" s="73"/>
      <c r="M788" s="73"/>
      <c r="N788" s="74"/>
    </row>
    <row r="789" ht="30.0" hidden="1" customHeight="1">
      <c r="A789" s="68">
        <v>797.0</v>
      </c>
      <c r="B789" s="68"/>
      <c r="C789" s="68"/>
      <c r="D789" s="69" t="str">
        <f>CONCATENATE(PROPER('DASMA INFO'!$G789),", ",PROPER('DASMA INFO'!$E789)," ",PROPER('DASMA INFO'!$F789),"."," (",UPPER('DASMA INFO'!$H789),")")</f>
        <v>Sta. Romana, Francis . ()</v>
      </c>
      <c r="E789" s="70" t="s">
        <v>1312</v>
      </c>
      <c r="F789" s="70"/>
      <c r="G789" s="69" t="s">
        <v>1983</v>
      </c>
      <c r="H789" s="69"/>
      <c r="I789" s="105">
        <v>0.12</v>
      </c>
      <c r="J789" s="106">
        <v>1000.0</v>
      </c>
      <c r="K789" s="73"/>
      <c r="L789" s="73"/>
      <c r="M789" s="73"/>
      <c r="N789" s="74"/>
    </row>
    <row r="790" ht="30.0" hidden="1" customHeight="1">
      <c r="A790" s="68">
        <v>798.0</v>
      </c>
      <c r="B790" s="68"/>
      <c r="C790" s="68"/>
      <c r="D790" s="69" t="str">
        <f>CONCATENATE(PROPER('DASMA INFO'!$G790),", ",PROPER('DASMA INFO'!$E790)," ",PROPER('DASMA INFO'!$F790),"."," (",UPPER('DASMA INFO'!$H790),")")</f>
        <v>Lopez, Ma. Theresa . ()</v>
      </c>
      <c r="E790" s="70" t="s">
        <v>715</v>
      </c>
      <c r="F790" s="70"/>
      <c r="G790" s="69" t="s">
        <v>316</v>
      </c>
      <c r="H790" s="69"/>
      <c r="I790" s="105">
        <v>0.12</v>
      </c>
      <c r="J790" s="106">
        <v>1000.0</v>
      </c>
      <c r="K790" s="73"/>
      <c r="L790" s="73"/>
      <c r="M790" s="73"/>
      <c r="N790" s="74"/>
    </row>
    <row r="791" ht="30.0" hidden="1" customHeight="1">
      <c r="A791" s="68">
        <v>799.0</v>
      </c>
      <c r="B791" s="68"/>
      <c r="C791" s="68"/>
      <c r="D791" s="69" t="str">
        <f>CONCATENATE(PROPER('DASMA INFO'!$G791),", ",PROPER('DASMA INFO'!$E791)," ",PROPER('DASMA INFO'!$F791),"."," (",UPPER('DASMA INFO'!$H791),")")</f>
        <v>,  . ()</v>
      </c>
      <c r="E791" s="70"/>
      <c r="F791" s="70"/>
      <c r="G791" s="69"/>
      <c r="H791" s="69"/>
      <c r="I791" s="105">
        <v>0.12</v>
      </c>
      <c r="J791" s="106">
        <v>1000.0</v>
      </c>
      <c r="K791" s="73"/>
      <c r="L791" s="73"/>
      <c r="M791" s="73"/>
      <c r="N791" s="74"/>
    </row>
    <row r="792" ht="30.0" hidden="1" customHeight="1">
      <c r="A792" s="68">
        <v>800.0</v>
      </c>
      <c r="B792" s="68"/>
      <c r="C792" s="68"/>
      <c r="D792" s="69" t="str">
        <f>CONCATENATE(PROPER('DASMA INFO'!$G792),", ",PROPER('DASMA INFO'!$E792)," ",PROPER('DASMA INFO'!$F792),"."," (",UPPER('DASMA INFO'!$H792),")")</f>
        <v>Valera, Corazon . ()</v>
      </c>
      <c r="E792" s="70" t="s">
        <v>525</v>
      </c>
      <c r="F792" s="70"/>
      <c r="G792" s="69" t="s">
        <v>1984</v>
      </c>
      <c r="H792" s="69"/>
      <c r="I792" s="105">
        <v>0.12</v>
      </c>
      <c r="J792" s="106">
        <v>1000.0</v>
      </c>
      <c r="K792" s="73"/>
      <c r="L792" s="73"/>
      <c r="M792" s="73"/>
      <c r="N792" s="74"/>
    </row>
    <row r="793" ht="30.0" hidden="1" customHeight="1">
      <c r="A793" s="68">
        <v>801.0</v>
      </c>
      <c r="B793" s="68"/>
      <c r="C793" s="68"/>
      <c r="D793" s="69" t="str">
        <f>CONCATENATE(PROPER('DASMA INFO'!$G793),", ",PROPER('DASMA INFO'!$E793)," ",PROPER('DASMA INFO'!$F793),"."," (",UPPER('DASMA INFO'!$H793),")")</f>
        <v>Anthony, William . ()</v>
      </c>
      <c r="E793" s="70" t="s">
        <v>610</v>
      </c>
      <c r="F793" s="70"/>
      <c r="G793" s="69" t="s">
        <v>360</v>
      </c>
      <c r="H793" s="69"/>
      <c r="I793" s="105">
        <v>0.12</v>
      </c>
      <c r="J793" s="106">
        <v>1000.0</v>
      </c>
      <c r="K793" s="73"/>
      <c r="L793" s="73"/>
      <c r="M793" s="73"/>
      <c r="N793" s="74"/>
    </row>
    <row r="794" ht="30.0" hidden="1" customHeight="1">
      <c r="A794" s="68">
        <v>802.0</v>
      </c>
      <c r="B794" s="68"/>
      <c r="C794" s="68"/>
      <c r="D794" s="69" t="str">
        <f>CONCATENATE(PROPER('DASMA INFO'!$G794),", ",PROPER('DASMA INFO'!$E794)," ",PROPER('DASMA INFO'!$F794),"."," (",UPPER('DASMA INFO'!$H794),")")</f>
        <v>Norwelyn, Maria . ()</v>
      </c>
      <c r="E794" s="70" t="s">
        <v>640</v>
      </c>
      <c r="F794" s="70"/>
      <c r="G794" s="69" t="s">
        <v>1985</v>
      </c>
      <c r="H794" s="69"/>
      <c r="I794" s="105">
        <v>0.12</v>
      </c>
      <c r="J794" s="106">
        <v>1000.0</v>
      </c>
      <c r="K794" s="73"/>
      <c r="L794" s="73"/>
      <c r="M794" s="73"/>
      <c r="N794" s="74"/>
    </row>
    <row r="795" ht="30.0" hidden="1" customHeight="1">
      <c r="A795" s="68">
        <v>803.0</v>
      </c>
      <c r="B795" s="68"/>
      <c r="C795" s="68"/>
      <c r="D795" s="69" t="str">
        <f>CONCATENATE(PROPER('DASMA INFO'!$G795),", ",PROPER('DASMA INFO'!$E795)," ",PROPER('DASMA INFO'!$F795),"."," (",UPPER('DASMA INFO'!$H795),")")</f>
        <v>Galapin, Nida . ()</v>
      </c>
      <c r="E795" s="70" t="s">
        <v>1200</v>
      </c>
      <c r="F795" s="70"/>
      <c r="G795" s="69" t="s">
        <v>1986</v>
      </c>
      <c r="H795" s="69"/>
      <c r="I795" s="105">
        <v>0.12</v>
      </c>
      <c r="J795" s="106">
        <v>1000.0</v>
      </c>
      <c r="K795" s="73"/>
      <c r="L795" s="73"/>
      <c r="M795" s="73"/>
      <c r="N795" s="74"/>
    </row>
    <row r="796" ht="30.0" hidden="1" customHeight="1">
      <c r="A796" s="68">
        <v>804.0</v>
      </c>
      <c r="B796" s="68"/>
      <c r="C796" s="68"/>
      <c r="D796" s="69" t="str">
        <f>CONCATENATE(PROPER('DASMA INFO'!$G796),", ",PROPER('DASMA INFO'!$E796)," ",PROPER('DASMA INFO'!$F796),"."," (",UPPER('DASMA INFO'!$H796),")")</f>
        <v>Buhayang, Norie . ()</v>
      </c>
      <c r="E796" s="70" t="s">
        <v>1987</v>
      </c>
      <c r="F796" s="70"/>
      <c r="G796" s="69" t="s">
        <v>1988</v>
      </c>
      <c r="H796" s="69"/>
      <c r="I796" s="105">
        <v>0.12</v>
      </c>
      <c r="J796" s="106">
        <v>1000.0</v>
      </c>
      <c r="K796" s="73"/>
      <c r="L796" s="73"/>
      <c r="M796" s="73"/>
      <c r="N796" s="74"/>
    </row>
    <row r="797" ht="30.0" hidden="1" customHeight="1">
      <c r="A797" s="68">
        <v>805.0</v>
      </c>
      <c r="B797" s="68"/>
      <c r="C797" s="68"/>
      <c r="D797" s="69" t="str">
        <f>CONCATENATE(PROPER('DASMA INFO'!$G797),", ",PROPER('DASMA INFO'!$E797)," ",PROPER('DASMA INFO'!$F797),"."," (",UPPER('DASMA INFO'!$H797),")")</f>
        <v>Calumada, Elizabeth . ()</v>
      </c>
      <c r="E797" s="70" t="s">
        <v>458</v>
      </c>
      <c r="F797" s="70"/>
      <c r="G797" s="69" t="s">
        <v>1989</v>
      </c>
      <c r="H797" s="69"/>
      <c r="I797" s="105">
        <v>0.12</v>
      </c>
      <c r="J797" s="106">
        <v>1000.0</v>
      </c>
      <c r="K797" s="73"/>
      <c r="L797" s="73"/>
      <c r="M797" s="73"/>
      <c r="N797" s="74"/>
    </row>
    <row r="798" ht="30.0" hidden="1" customHeight="1">
      <c r="A798" s="68">
        <v>806.0</v>
      </c>
      <c r="B798" s="68"/>
      <c r="C798" s="68"/>
      <c r="D798" s="69" t="str">
        <f>CONCATENATE(PROPER('DASMA INFO'!$G798),", ",PROPER('DASMA INFO'!$E798)," ",PROPER('DASMA INFO'!$F798),"."," (",UPPER('DASMA INFO'!$H798),")")</f>
        <v>Albis, Jerry . ()</v>
      </c>
      <c r="E798" s="70" t="s">
        <v>1990</v>
      </c>
      <c r="F798" s="70"/>
      <c r="G798" s="69" t="s">
        <v>1991</v>
      </c>
      <c r="H798" s="69"/>
      <c r="I798" s="105">
        <v>0.12</v>
      </c>
      <c r="J798" s="106">
        <v>1000.0</v>
      </c>
      <c r="K798" s="73"/>
      <c r="L798" s="73"/>
      <c r="M798" s="73"/>
      <c r="N798" s="74"/>
    </row>
    <row r="799" ht="30.0" hidden="1" customHeight="1">
      <c r="A799" s="68">
        <v>807.0</v>
      </c>
      <c r="B799" s="68"/>
      <c r="C799" s="68"/>
      <c r="D799" s="69" t="str">
        <f>CONCATENATE(PROPER('DASMA INFO'!$G799),", ",PROPER('DASMA INFO'!$E799)," ",PROPER('DASMA INFO'!$F799),"."," (",UPPER('DASMA INFO'!$H799),")")</f>
        <v>Almacen, Cesar . ()</v>
      </c>
      <c r="E799" s="70" t="s">
        <v>692</v>
      </c>
      <c r="F799" s="70"/>
      <c r="G799" s="69" t="s">
        <v>1010</v>
      </c>
      <c r="H799" s="69"/>
      <c r="I799" s="105">
        <v>0.12</v>
      </c>
      <c r="J799" s="106">
        <v>1000.0</v>
      </c>
      <c r="K799" s="73"/>
      <c r="L799" s="73"/>
      <c r="M799" s="73"/>
      <c r="N799" s="74"/>
    </row>
    <row r="800" ht="30.0" hidden="1" customHeight="1">
      <c r="A800" s="68">
        <v>808.0</v>
      </c>
      <c r="B800" s="68"/>
      <c r="C800" s="68"/>
      <c r="D800" s="69" t="str">
        <f>CONCATENATE(PROPER('DASMA INFO'!$G800),", ",PROPER('DASMA INFO'!$E800)," ",PROPER('DASMA INFO'!$F800),"."," (",UPPER('DASMA INFO'!$H800),")")</f>
        <v>Amamiya, Rochelle . ()</v>
      </c>
      <c r="E800" s="70" t="s">
        <v>1825</v>
      </c>
      <c r="F800" s="70"/>
      <c r="G800" s="69" t="s">
        <v>1992</v>
      </c>
      <c r="H800" s="69"/>
      <c r="I800" s="105">
        <v>0.12</v>
      </c>
      <c r="J800" s="106">
        <v>1000.0</v>
      </c>
      <c r="K800" s="73"/>
      <c r="L800" s="73"/>
      <c r="M800" s="73"/>
      <c r="N800" s="74"/>
    </row>
    <row r="801" ht="30.0" hidden="1" customHeight="1">
      <c r="A801" s="68">
        <v>809.0</v>
      </c>
      <c r="B801" s="68"/>
      <c r="C801" s="68"/>
      <c r="D801" s="69" t="str">
        <f>CONCATENATE(PROPER('DASMA INFO'!$G801),", ",PROPER('DASMA INFO'!$E801)," ",PROPER('DASMA INFO'!$F801),"."," (",UPPER('DASMA INFO'!$H801),")")</f>
        <v>Meng Xiang, Lin . ()</v>
      </c>
      <c r="E801" s="70" t="s">
        <v>1993</v>
      </c>
      <c r="F801" s="70"/>
      <c r="G801" s="69" t="s">
        <v>1994</v>
      </c>
      <c r="H801" s="69"/>
      <c r="I801" s="105">
        <v>0.12</v>
      </c>
      <c r="J801" s="106">
        <v>1000.0</v>
      </c>
      <c r="K801" s="73"/>
      <c r="L801" s="73"/>
      <c r="M801" s="73"/>
      <c r="N801" s="74"/>
    </row>
    <row r="802" ht="30.0" hidden="1" customHeight="1">
      <c r="A802" s="68">
        <v>810.0</v>
      </c>
      <c r="B802" s="68"/>
      <c r="C802" s="68"/>
      <c r="D802" s="69" t="str">
        <f>CONCATENATE(PROPER('DASMA INFO'!$G802),", ",PROPER('DASMA INFO'!$E802)," ",PROPER('DASMA INFO'!$F802),"."," (",UPPER('DASMA INFO'!$H802),")")</f>
        <v>Del Rosario, Virginia . ()</v>
      </c>
      <c r="E802" s="70" t="s">
        <v>655</v>
      </c>
      <c r="F802" s="70"/>
      <c r="G802" s="69" t="s">
        <v>1711</v>
      </c>
      <c r="H802" s="69"/>
      <c r="I802" s="105">
        <v>0.12</v>
      </c>
      <c r="J802" s="106">
        <v>1000.0</v>
      </c>
      <c r="K802" s="73"/>
      <c r="L802" s="73"/>
      <c r="M802" s="73"/>
      <c r="N802" s="74"/>
    </row>
    <row r="803" ht="30.0" hidden="1" customHeight="1">
      <c r="A803" s="68">
        <v>811.0</v>
      </c>
      <c r="B803" s="68"/>
      <c r="C803" s="68"/>
      <c r="D803" s="69" t="str">
        <f>CONCATENATE(PROPER('DASMA INFO'!$G803),", ",PROPER('DASMA INFO'!$E803)," ",PROPER('DASMA INFO'!$F803),"."," (",UPPER('DASMA INFO'!$H803),")")</f>
        <v>Dela Cruz, Jenneth . ()</v>
      </c>
      <c r="E803" s="70" t="s">
        <v>1995</v>
      </c>
      <c r="F803" s="70"/>
      <c r="G803" s="69" t="s">
        <v>636</v>
      </c>
      <c r="H803" s="69"/>
      <c r="I803" s="105">
        <v>0.12</v>
      </c>
      <c r="J803" s="106">
        <v>1000.0</v>
      </c>
      <c r="K803" s="73"/>
      <c r="L803" s="73"/>
      <c r="M803" s="73"/>
      <c r="N803" s="74"/>
    </row>
    <row r="804" ht="30.0" hidden="1" customHeight="1">
      <c r="A804" s="68">
        <v>812.0</v>
      </c>
      <c r="B804" s="68"/>
      <c r="C804" s="68"/>
      <c r="D804" s="69" t="str">
        <f>CONCATENATE(PROPER('DASMA INFO'!$G804),", ",PROPER('DASMA INFO'!$E804)," ",PROPER('DASMA INFO'!$F804),"."," (",UPPER('DASMA INFO'!$H804),")")</f>
        <v>Pamatpat, Julie . ()</v>
      </c>
      <c r="E804" s="70" t="s">
        <v>991</v>
      </c>
      <c r="F804" s="70"/>
      <c r="G804" s="69" t="s">
        <v>1996</v>
      </c>
      <c r="H804" s="69"/>
      <c r="I804" s="105">
        <v>0.12</v>
      </c>
      <c r="J804" s="106">
        <v>1000.0</v>
      </c>
      <c r="K804" s="73"/>
      <c r="L804" s="73"/>
      <c r="M804" s="73"/>
      <c r="N804" s="74"/>
    </row>
    <row r="805" ht="30.0" hidden="1" customHeight="1">
      <c r="A805" s="68">
        <v>813.0</v>
      </c>
      <c r="B805" s="68"/>
      <c r="C805" s="68"/>
      <c r="D805" s="69" t="str">
        <f>CONCATENATE(PROPER('DASMA INFO'!$G805),", ",PROPER('DASMA INFO'!$E805)," ",PROPER('DASMA INFO'!$F805),"."," (",UPPER('DASMA INFO'!$H805),")")</f>
        <v>Peñalba, Ricardo . ()</v>
      </c>
      <c r="E805" s="70" t="s">
        <v>819</v>
      </c>
      <c r="F805" s="70"/>
      <c r="G805" s="69" t="s">
        <v>1997</v>
      </c>
      <c r="H805" s="69"/>
      <c r="I805" s="105">
        <v>0.12</v>
      </c>
      <c r="J805" s="106">
        <v>1000.0</v>
      </c>
      <c r="K805" s="73"/>
      <c r="L805" s="73"/>
      <c r="M805" s="73"/>
      <c r="N805" s="74"/>
    </row>
    <row r="806" ht="30.0" hidden="1" customHeight="1">
      <c r="A806" s="68">
        <v>814.0</v>
      </c>
      <c r="B806" s="68"/>
      <c r="C806" s="68"/>
      <c r="D806" s="69" t="str">
        <f>CONCATENATE(PROPER('DASMA INFO'!$G806),", ",PROPER('DASMA INFO'!$E806)," ",PROPER('DASMA INFO'!$F806),"."," (",UPPER('DASMA INFO'!$H806),")")</f>
        <v>Carolino, Atencio Danilo . ()</v>
      </c>
      <c r="E806" s="70" t="s">
        <v>1998</v>
      </c>
      <c r="F806" s="70"/>
      <c r="G806" s="70" t="s">
        <v>1999</v>
      </c>
      <c r="H806" s="69"/>
      <c r="I806" s="105">
        <v>0.12</v>
      </c>
      <c r="J806" s="106">
        <v>1000.0</v>
      </c>
      <c r="K806" s="73" t="s">
        <v>2000</v>
      </c>
      <c r="L806" s="73"/>
      <c r="M806" s="73"/>
      <c r="N806" s="74"/>
    </row>
    <row r="807" ht="30.0" hidden="1" customHeight="1">
      <c r="A807" s="68">
        <v>815.0</v>
      </c>
      <c r="B807" s="68"/>
      <c r="C807" s="68"/>
      <c r="D807" s="69" t="str">
        <f>CONCATENATE(PROPER('DASMA INFO'!$G807),", ",PROPER('DASMA INFO'!$E807)," ",PROPER('DASMA INFO'!$F807),"."," (",UPPER('DASMA INFO'!$H807),")")</f>
        <v>Perlas, Margarita . ()</v>
      </c>
      <c r="E807" s="70" t="s">
        <v>2001</v>
      </c>
      <c r="F807" s="70"/>
      <c r="G807" s="70" t="s">
        <v>2002</v>
      </c>
      <c r="H807" s="69"/>
      <c r="I807" s="105">
        <v>0.12</v>
      </c>
      <c r="J807" s="106">
        <v>1000.0</v>
      </c>
      <c r="K807" s="73"/>
      <c r="L807" s="73"/>
      <c r="M807" s="73"/>
      <c r="N807" s="74"/>
    </row>
    <row r="808" ht="30.0" hidden="1" customHeight="1">
      <c r="A808" s="68">
        <v>816.0</v>
      </c>
      <c r="B808" s="68"/>
      <c r="C808" s="68"/>
      <c r="D808" s="69" t="str">
        <f>CONCATENATE(PROPER('DASMA INFO'!$G808),", ",PROPER('DASMA INFO'!$E808)," ",PROPER('DASMA INFO'!$F808),"."," (",UPPER('DASMA INFO'!$H808),")")</f>
        <v>Buquid, Maryjane . ()</v>
      </c>
      <c r="E808" s="70" t="s">
        <v>2003</v>
      </c>
      <c r="F808" s="70"/>
      <c r="G808" s="70" t="s">
        <v>2004</v>
      </c>
      <c r="H808" s="69"/>
      <c r="I808" s="105">
        <v>0.12</v>
      </c>
      <c r="J808" s="106">
        <v>1000.0</v>
      </c>
      <c r="K808" s="73"/>
      <c r="L808" s="73"/>
      <c r="M808" s="73"/>
      <c r="N808" s="74"/>
    </row>
    <row r="809" ht="30.0" hidden="1" customHeight="1">
      <c r="A809" s="68">
        <v>817.0</v>
      </c>
      <c r="B809" s="68"/>
      <c r="C809" s="68"/>
      <c r="D809" s="69" t="str">
        <f>CONCATENATE(PROPER('DASMA INFO'!$G809),", ",PROPER('DASMA INFO'!$E809)," ",PROPER('DASMA INFO'!$F809),"."," (",UPPER('DASMA INFO'!$H809),")")</f>
        <v>,  . ()</v>
      </c>
      <c r="E809" s="70"/>
      <c r="F809" s="70"/>
      <c r="G809" s="70"/>
      <c r="H809" s="69"/>
      <c r="I809" s="105">
        <v>0.12</v>
      </c>
      <c r="J809" s="106">
        <v>1000.0</v>
      </c>
      <c r="K809" s="73"/>
      <c r="L809" s="73"/>
      <c r="M809" s="73"/>
      <c r="N809" s="74"/>
    </row>
    <row r="810" ht="30.0" hidden="1" customHeight="1">
      <c r="A810" s="68">
        <v>818.0</v>
      </c>
      <c r="B810" s="68"/>
      <c r="C810" s="68"/>
      <c r="D810" s="69" t="str">
        <f>CONCATENATE(PROPER('DASMA INFO'!$G810),", ",PROPER('DASMA INFO'!$E810)," ",PROPER('DASMA INFO'!$F810),"."," (",UPPER('DASMA INFO'!$H810),")")</f>
        <v>Polidarin, Mila . ()</v>
      </c>
      <c r="E810" s="70" t="s">
        <v>2005</v>
      </c>
      <c r="F810" s="70"/>
      <c r="G810" s="70" t="s">
        <v>2006</v>
      </c>
      <c r="H810" s="69"/>
      <c r="I810" s="105">
        <v>0.12</v>
      </c>
      <c r="J810" s="106">
        <v>1000.0</v>
      </c>
      <c r="K810" s="73"/>
      <c r="L810" s="73"/>
      <c r="M810" s="73"/>
      <c r="N810" s="74"/>
    </row>
    <row r="811" ht="30.0" hidden="1" customHeight="1">
      <c r="A811" s="68">
        <v>819.0</v>
      </c>
      <c r="B811" s="68"/>
      <c r="C811" s="68"/>
      <c r="D811" s="69" t="str">
        <f>CONCATENATE(PROPER('DASMA INFO'!$G811),", ",PROPER('DASMA INFO'!$E811)," ",PROPER('DASMA INFO'!$F811),"."," (",UPPER('DASMA INFO'!$H811),")")</f>
        <v>Derequito, Shirley . ()</v>
      </c>
      <c r="E811" s="70" t="s">
        <v>2007</v>
      </c>
      <c r="F811" s="70"/>
      <c r="G811" s="70" t="s">
        <v>2008</v>
      </c>
      <c r="H811" s="69"/>
      <c r="I811" s="105">
        <v>0.12</v>
      </c>
      <c r="J811" s="106">
        <v>1000.0</v>
      </c>
      <c r="K811" s="73"/>
      <c r="L811" s="73"/>
      <c r="M811" s="73"/>
      <c r="N811" s="74"/>
    </row>
    <row r="812" ht="30.0" hidden="1" customHeight="1">
      <c r="A812" s="68">
        <v>820.0</v>
      </c>
      <c r="B812" s="68"/>
      <c r="C812" s="68"/>
      <c r="D812" s="69" t="str">
        <f>CONCATENATE(PROPER('DASMA INFO'!$G812),", ",PROPER('DASMA INFO'!$E812)," ",PROPER('DASMA INFO'!$F812),"."," (",UPPER('DASMA INFO'!$H812),")")</f>
        <v>Banquiao, Nenita . ()</v>
      </c>
      <c r="E812" s="70" t="s">
        <v>994</v>
      </c>
      <c r="F812" s="70"/>
      <c r="G812" s="70" t="s">
        <v>2009</v>
      </c>
      <c r="H812" s="69"/>
      <c r="I812" s="105">
        <v>0.12</v>
      </c>
      <c r="J812" s="106">
        <v>1000.0</v>
      </c>
      <c r="K812" s="73"/>
      <c r="L812" s="73"/>
      <c r="M812" s="73"/>
      <c r="N812" s="74"/>
    </row>
    <row r="813" ht="30.0" hidden="1" customHeight="1">
      <c r="A813" s="68">
        <v>821.0</v>
      </c>
      <c r="B813" s="68"/>
      <c r="C813" s="68"/>
      <c r="D813" s="69" t="str">
        <f>CONCATENATE(PROPER('DASMA INFO'!$G813),", ",PROPER('DASMA INFO'!$E813)," ",PROPER('DASMA INFO'!$F813),"."," (",UPPER('DASMA INFO'!$H813),")")</f>
        <v>Culanculan, Alan . ()</v>
      </c>
      <c r="E813" s="70" t="s">
        <v>222</v>
      </c>
      <c r="F813" s="70"/>
      <c r="G813" s="70" t="s">
        <v>2010</v>
      </c>
      <c r="H813" s="69"/>
      <c r="I813" s="105">
        <v>0.12</v>
      </c>
      <c r="J813" s="106">
        <v>1000.0</v>
      </c>
      <c r="K813" s="73"/>
      <c r="L813" s="73"/>
      <c r="M813" s="73"/>
      <c r="N813" s="74"/>
    </row>
    <row r="814" ht="30.0" hidden="1" customHeight="1">
      <c r="A814" s="68">
        <v>822.0</v>
      </c>
      <c r="B814" s="68"/>
      <c r="C814" s="68"/>
      <c r="D814" s="69" t="str">
        <f>CONCATENATE(PROPER('DASMA INFO'!$G814),", ",PROPER('DASMA INFO'!$E814)," ",PROPER('DASMA INFO'!$F814),"."," (",UPPER('DASMA INFO'!$H814),")")</f>
        <v>Supang, Anna Mae . ()</v>
      </c>
      <c r="E814" s="70" t="s">
        <v>1932</v>
      </c>
      <c r="F814" s="70"/>
      <c r="G814" s="70" t="s">
        <v>2011</v>
      </c>
      <c r="H814" s="69"/>
      <c r="I814" s="105">
        <v>0.12</v>
      </c>
      <c r="J814" s="106">
        <v>1000.0</v>
      </c>
      <c r="K814" s="73"/>
      <c r="L814" s="73"/>
      <c r="M814" s="73"/>
      <c r="N814" s="74"/>
    </row>
    <row r="815" ht="30.0" hidden="1" customHeight="1">
      <c r="A815" s="68">
        <v>823.0</v>
      </c>
      <c r="B815" s="68"/>
      <c r="C815" s="68"/>
      <c r="D815" s="69" t="str">
        <f>CONCATENATE(PROPER('DASMA INFO'!$G815),", ",PROPER('DASMA INFO'!$E815)," ",PROPER('DASMA INFO'!$F815),"."," (",UPPER('DASMA INFO'!$H815),")")</f>
        <v>Abunda, Angelica . ()</v>
      </c>
      <c r="E815" s="70" t="s">
        <v>1307</v>
      </c>
      <c r="F815" s="70"/>
      <c r="G815" s="70" t="s">
        <v>2012</v>
      </c>
      <c r="H815" s="69"/>
      <c r="I815" s="105">
        <v>0.12</v>
      </c>
      <c r="J815" s="106">
        <v>1000.0</v>
      </c>
      <c r="K815" s="73"/>
      <c r="L815" s="73"/>
      <c r="M815" s="73"/>
      <c r="N815" s="74"/>
    </row>
    <row r="816" ht="30.0" hidden="1" customHeight="1">
      <c r="A816" s="68">
        <v>824.0</v>
      </c>
      <c r="B816" s="68"/>
      <c r="C816" s="68"/>
      <c r="D816" s="69" t="str">
        <f>CONCATENATE(PROPER('DASMA INFO'!$G816),", ",PROPER('DASMA INFO'!$E816)," ",PROPER('DASMA INFO'!$F816),"."," (",UPPER('DASMA INFO'!$H816),")")</f>
        <v>Kho, Leoncio . ()</v>
      </c>
      <c r="E816" s="70" t="s">
        <v>2013</v>
      </c>
      <c r="F816" s="70"/>
      <c r="G816" s="70" t="s">
        <v>2014</v>
      </c>
      <c r="H816" s="69"/>
      <c r="I816" s="105">
        <v>0.12</v>
      </c>
      <c r="J816" s="106">
        <v>1000.0</v>
      </c>
      <c r="K816" s="73"/>
      <c r="L816" s="73"/>
      <c r="M816" s="73"/>
      <c r="N816" s="74"/>
    </row>
    <row r="817" ht="30.0" hidden="1" customHeight="1">
      <c r="A817" s="68">
        <v>825.0</v>
      </c>
      <c r="B817" s="68"/>
      <c r="C817" s="68"/>
      <c r="D817" s="69" t="str">
        <f>CONCATENATE(PROPER('DASMA INFO'!$G817),", ",PROPER('DASMA INFO'!$E817)," ",PROPER('DASMA INFO'!$F817),"."," (",UPPER('DASMA INFO'!$H817),")")</f>
        <v>Sablan, Dionisia . ()</v>
      </c>
      <c r="E817" s="70" t="s">
        <v>2015</v>
      </c>
      <c r="F817" s="70"/>
      <c r="G817" s="70" t="s">
        <v>2016</v>
      </c>
      <c r="H817" s="69"/>
      <c r="I817" s="105">
        <v>0.12</v>
      </c>
      <c r="J817" s="106">
        <v>1000.0</v>
      </c>
      <c r="K817" s="73"/>
      <c r="L817" s="73"/>
      <c r="M817" s="73"/>
      <c r="N817" s="74"/>
    </row>
    <row r="818" ht="30.0" hidden="1" customHeight="1">
      <c r="A818" s="68">
        <v>826.0</v>
      </c>
      <c r="B818" s="68"/>
      <c r="C818" s="68"/>
      <c r="D818" s="69" t="str">
        <f>CONCATENATE(PROPER('DASMA INFO'!$G818),", ",PROPER('DASMA INFO'!$E818)," ",PROPER('DASMA INFO'!$F818),"."," (",UPPER('DASMA INFO'!$H818),")")</f>
        <v>Malaong, Conrado . ()</v>
      </c>
      <c r="E818" s="70" t="s">
        <v>911</v>
      </c>
      <c r="F818" s="70"/>
      <c r="G818" s="70" t="s">
        <v>2017</v>
      </c>
      <c r="H818" s="69"/>
      <c r="I818" s="105">
        <v>0.12</v>
      </c>
      <c r="J818" s="106">
        <v>1000.0</v>
      </c>
      <c r="K818" s="73"/>
      <c r="L818" s="73"/>
      <c r="M818" s="73"/>
      <c r="N818" s="74"/>
    </row>
    <row r="819" ht="30.0" hidden="1" customHeight="1">
      <c r="A819" s="68">
        <v>827.0</v>
      </c>
      <c r="B819" s="68"/>
      <c r="C819" s="68"/>
      <c r="D819" s="69" t="str">
        <f>CONCATENATE(PROPER('DASMA INFO'!$G819),", ",PROPER('DASMA INFO'!$E819)," ",PROPER('DASMA INFO'!$F819),"."," (",UPPER('DASMA INFO'!$H819),")")</f>
        <v>Asuque, Violeta . ()</v>
      </c>
      <c r="E819" s="70" t="s">
        <v>1827</v>
      </c>
      <c r="F819" s="70"/>
      <c r="G819" s="70" t="s">
        <v>2018</v>
      </c>
      <c r="H819" s="69"/>
      <c r="I819" s="105">
        <v>0.12</v>
      </c>
      <c r="J819" s="106">
        <v>1000.0</v>
      </c>
      <c r="K819" s="73"/>
      <c r="L819" s="73"/>
      <c r="M819" s="73"/>
      <c r="N819" s="74"/>
    </row>
    <row r="820" ht="30.0" hidden="1" customHeight="1">
      <c r="A820" s="68">
        <v>828.0</v>
      </c>
      <c r="B820" s="68"/>
      <c r="C820" s="68"/>
      <c r="D820" s="69" t="str">
        <f>CONCATENATE(PROPER('DASMA INFO'!$G820),", ",PROPER('DASMA INFO'!$E820)," ",PROPER('DASMA INFO'!$F820),"."," (",UPPER('DASMA INFO'!$H820),")")</f>
        <v>Montañez, Ma. Armida . ()</v>
      </c>
      <c r="E820" s="70" t="s">
        <v>2019</v>
      </c>
      <c r="F820" s="70"/>
      <c r="G820" s="70" t="s">
        <v>2020</v>
      </c>
      <c r="H820" s="69"/>
      <c r="I820" s="105">
        <v>0.12</v>
      </c>
      <c r="J820" s="106">
        <v>1000.0</v>
      </c>
      <c r="K820" s="73"/>
      <c r="L820" s="73"/>
      <c r="M820" s="73"/>
      <c r="N820" s="74"/>
    </row>
    <row r="821" ht="30.0" hidden="1" customHeight="1">
      <c r="A821" s="68">
        <v>829.0</v>
      </c>
      <c r="B821" s="68"/>
      <c r="C821" s="68"/>
      <c r="D821" s="69" t="str">
        <f>CONCATENATE(PROPER('DASMA INFO'!$G821),", ",PROPER('DASMA INFO'!$E821)," ",PROPER('DASMA INFO'!$F821),"."," (",UPPER('DASMA INFO'!$H821),")")</f>
        <v>Briones, Roman . ()</v>
      </c>
      <c r="E821" s="70" t="s">
        <v>1540</v>
      </c>
      <c r="F821" s="70"/>
      <c r="G821" s="70" t="s">
        <v>2021</v>
      </c>
      <c r="H821" s="69"/>
      <c r="I821" s="105">
        <v>0.12</v>
      </c>
      <c r="J821" s="106">
        <v>1000.0</v>
      </c>
      <c r="K821" s="73"/>
      <c r="L821" s="73"/>
      <c r="M821" s="73"/>
      <c r="N821" s="74"/>
    </row>
    <row r="822" ht="30.0" hidden="1" customHeight="1">
      <c r="A822" s="68">
        <v>830.0</v>
      </c>
      <c r="B822" s="68"/>
      <c r="C822" s="68"/>
      <c r="D822" s="69" t="str">
        <f>CONCATENATE(PROPER('DASMA INFO'!$G822),", ",PROPER('DASMA INFO'!$E822)," ",PROPER('DASMA INFO'!$F822),"."," (",UPPER('DASMA INFO'!$H822),")")</f>
        <v>Ong, Raquel O. ()</v>
      </c>
      <c r="E822" s="70" t="s">
        <v>191</v>
      </c>
      <c r="F822" s="70" t="s">
        <v>634</v>
      </c>
      <c r="G822" s="70" t="s">
        <v>192</v>
      </c>
      <c r="H822" s="69"/>
      <c r="I822" s="92">
        <v>0.05</v>
      </c>
      <c r="J822" s="93">
        <v>1000.0</v>
      </c>
      <c r="K822" s="73" t="s">
        <v>2022</v>
      </c>
      <c r="L822" s="73"/>
      <c r="M822" s="73"/>
      <c r="N822" s="74"/>
    </row>
    <row r="823" ht="30.0" hidden="1" customHeight="1">
      <c r="A823" s="68">
        <v>831.0</v>
      </c>
      <c r="B823" s="68"/>
      <c r="C823" s="68"/>
      <c r="D823" s="69" t="str">
        <f>CONCATENATE(PROPER('DASMA INFO'!$G823),", ",PROPER('DASMA INFO'!$E823)," ",PROPER('DASMA INFO'!$F823),"."," (",UPPER('DASMA INFO'!$H823),")")</f>
        <v>Bautista, Enrique . ()</v>
      </c>
      <c r="E823" s="70" t="s">
        <v>2023</v>
      </c>
      <c r="F823" s="70"/>
      <c r="G823" s="70" t="s">
        <v>275</v>
      </c>
      <c r="H823" s="69"/>
      <c r="I823" s="105">
        <v>0.12</v>
      </c>
      <c r="J823" s="106">
        <v>1000.0</v>
      </c>
      <c r="K823" s="73"/>
      <c r="L823" s="73"/>
      <c r="M823" s="73"/>
      <c r="N823" s="74"/>
    </row>
    <row r="824" ht="30.0" hidden="1" customHeight="1">
      <c r="A824" s="68">
        <v>832.0</v>
      </c>
      <c r="B824" s="68"/>
      <c r="C824" s="68"/>
      <c r="D824" s="69" t="str">
        <f>CONCATENATE(PROPER('DASMA INFO'!$G824),", ",PROPER('DASMA INFO'!$E824)," ",PROPER('DASMA INFO'!$F824),"."," (",UPPER('DASMA INFO'!$H824),")")</f>
        <v>Venta, Jeffrey . ()</v>
      </c>
      <c r="E824" s="70" t="s">
        <v>1577</v>
      </c>
      <c r="F824" s="70"/>
      <c r="G824" s="70" t="s">
        <v>2024</v>
      </c>
      <c r="H824" s="69"/>
      <c r="I824" s="105">
        <v>0.12</v>
      </c>
      <c r="J824" s="106">
        <v>1000.0</v>
      </c>
      <c r="K824" s="73"/>
      <c r="L824" s="73"/>
      <c r="M824" s="73"/>
      <c r="N824" s="74"/>
    </row>
    <row r="825" ht="30.0" hidden="1" customHeight="1">
      <c r="A825" s="68">
        <v>833.0</v>
      </c>
      <c r="B825" s="68"/>
      <c r="C825" s="68"/>
      <c r="D825" s="69" t="str">
        <f>CONCATENATE(PROPER('DASMA INFO'!$G825),", ",PROPER('DASMA INFO'!$E825)," ",PROPER('DASMA INFO'!$F825),"."," (",UPPER('DASMA INFO'!$H825),")")</f>
        <v>Lopez, Roxanne . ()</v>
      </c>
      <c r="E825" s="70" t="s">
        <v>2025</v>
      </c>
      <c r="F825" s="70"/>
      <c r="G825" s="70" t="s">
        <v>316</v>
      </c>
      <c r="H825" s="69"/>
      <c r="I825" s="105">
        <v>0.12</v>
      </c>
      <c r="J825" s="106">
        <v>1000.0</v>
      </c>
      <c r="K825" s="73"/>
      <c r="L825" s="73"/>
      <c r="M825" s="73"/>
      <c r="N825" s="74"/>
    </row>
    <row r="826" ht="30.0" hidden="1" customHeight="1">
      <c r="A826" s="68">
        <v>834.0</v>
      </c>
      <c r="B826" s="68"/>
      <c r="C826" s="68"/>
      <c r="D826" s="69" t="str">
        <f>CONCATENATE(PROPER('DASMA INFO'!$G826),", ",PROPER('DASMA INFO'!$E826)," ",PROPER('DASMA INFO'!$F826),"."," (",UPPER('DASMA INFO'!$H826),")")</f>
        <v>Bondoc, Mary Grace A. (BONDOC)</v>
      </c>
      <c r="E826" s="70" t="s">
        <v>474</v>
      </c>
      <c r="F826" s="70" t="s">
        <v>427</v>
      </c>
      <c r="G826" s="70" t="s">
        <v>2026</v>
      </c>
      <c r="H826" s="70" t="s">
        <v>2026</v>
      </c>
      <c r="I826" s="105">
        <v>0.12</v>
      </c>
      <c r="J826" s="106">
        <v>1000.0</v>
      </c>
      <c r="K826" s="73" t="s">
        <v>2027</v>
      </c>
      <c r="L826" s="73"/>
      <c r="M826" s="73"/>
      <c r="N826" s="74"/>
    </row>
    <row r="827" ht="30.0" hidden="1" customHeight="1">
      <c r="A827" s="68">
        <v>835.0</v>
      </c>
      <c r="B827" s="68"/>
      <c r="C827" s="68"/>
      <c r="D827" s="69" t="str">
        <f>CONCATENATE(PROPER('DASMA INFO'!$G827),", ",PROPER('DASMA INFO'!$E827)," ",PROPER('DASMA INFO'!$F827),"."," (",UPPER('DASMA INFO'!$H827),")")</f>
        <v>Arroyo, Fremel . ()</v>
      </c>
      <c r="E827" s="70" t="s">
        <v>2028</v>
      </c>
      <c r="F827" s="70"/>
      <c r="G827" s="70" t="s">
        <v>1713</v>
      </c>
      <c r="H827" s="70"/>
      <c r="I827" s="105">
        <v>0.12</v>
      </c>
      <c r="J827" s="106">
        <v>1000.0</v>
      </c>
      <c r="K827" s="73"/>
      <c r="L827" s="73"/>
      <c r="M827" s="73"/>
      <c r="N827" s="74"/>
    </row>
    <row r="828" ht="30.0" hidden="1" customHeight="1">
      <c r="A828" s="68">
        <v>836.0</v>
      </c>
      <c r="B828" s="68"/>
      <c r="C828" s="68"/>
      <c r="D828" s="69" t="str">
        <f>CONCATENATE(PROPER('DASMA INFO'!$G828),", ",PROPER('DASMA INFO'!$E828)," ",PROPER('DASMA INFO'!$F828),"."," (",UPPER('DASMA INFO'!$H828),")")</f>
        <v>Pacumio, Sosa Ramon . ()</v>
      </c>
      <c r="E828" s="70" t="s">
        <v>2029</v>
      </c>
      <c r="F828" s="70"/>
      <c r="G828" s="70" t="s">
        <v>2030</v>
      </c>
      <c r="H828" s="69"/>
      <c r="I828" s="105">
        <v>0.12</v>
      </c>
      <c r="J828" s="106">
        <v>1000.0</v>
      </c>
      <c r="K828" s="73" t="s">
        <v>1276</v>
      </c>
      <c r="L828" s="73"/>
      <c r="M828" s="73"/>
      <c r="N828" s="74"/>
    </row>
    <row r="829" ht="30.0" hidden="1" customHeight="1">
      <c r="A829" s="68">
        <v>837.0</v>
      </c>
      <c r="B829" s="68"/>
      <c r="C829" s="68"/>
      <c r="D829" s="69" t="str">
        <f>CONCATENATE(PROPER('DASMA INFO'!$G829),", ",PROPER('DASMA INFO'!$E829)," ",PROPER('DASMA INFO'!$F829),"."," (",UPPER('DASMA INFO'!$H829),")")</f>
        <v>Paliza, Josefina . ()</v>
      </c>
      <c r="E829" s="70" t="s">
        <v>1866</v>
      </c>
      <c r="F829" s="70"/>
      <c r="G829" s="69" t="s">
        <v>2031</v>
      </c>
      <c r="H829" s="69"/>
      <c r="I829" s="105">
        <v>0.12</v>
      </c>
      <c r="J829" s="106">
        <v>1000.0</v>
      </c>
      <c r="K829" s="73"/>
      <c r="L829" s="73"/>
      <c r="M829" s="73"/>
      <c r="N829" s="74"/>
    </row>
    <row r="830" ht="30.0" hidden="1" customHeight="1">
      <c r="A830" s="68">
        <v>838.0</v>
      </c>
      <c r="B830" s="68"/>
      <c r="C830" s="68"/>
      <c r="D830" s="69" t="str">
        <f>CONCATENATE(PROPER('DASMA INFO'!$G830),", ",PROPER('DASMA INFO'!$E830)," ",PROPER('DASMA INFO'!$F830),"."," (",UPPER('DASMA INFO'!$H830),")")</f>
        <v>Solaiman, Mashiba . ()</v>
      </c>
      <c r="E830" s="70" t="s">
        <v>2032</v>
      </c>
      <c r="F830" s="70"/>
      <c r="G830" s="69" t="s">
        <v>2033</v>
      </c>
      <c r="H830" s="69"/>
      <c r="I830" s="105">
        <v>0.12</v>
      </c>
      <c r="J830" s="106">
        <v>1000.0</v>
      </c>
      <c r="K830" s="73"/>
      <c r="L830" s="73"/>
      <c r="M830" s="73"/>
      <c r="N830" s="74"/>
    </row>
    <row r="831" ht="30.0" hidden="1" customHeight="1">
      <c r="A831" s="68">
        <v>839.0</v>
      </c>
      <c r="B831" s="68"/>
      <c r="C831" s="68"/>
      <c r="D831" s="69" t="str">
        <f>CONCATENATE(PROPER('DASMA INFO'!$G831),", ",PROPER('DASMA INFO'!$E831)," ",PROPER('DASMA INFO'!$F831),"."," (",UPPER('DASMA INFO'!$H831),")")</f>
        <v>Comendador, Estelito . ()</v>
      </c>
      <c r="E831" s="70" t="s">
        <v>2034</v>
      </c>
      <c r="F831" s="70"/>
      <c r="G831" s="69" t="s">
        <v>2035</v>
      </c>
      <c r="H831" s="69"/>
      <c r="I831" s="105">
        <v>0.12</v>
      </c>
      <c r="J831" s="106">
        <v>1000.0</v>
      </c>
      <c r="K831" s="73"/>
      <c r="L831" s="73"/>
      <c r="M831" s="73"/>
      <c r="N831" s="74"/>
    </row>
    <row r="832" ht="30.0" hidden="1" customHeight="1">
      <c r="A832" s="68">
        <v>840.0</v>
      </c>
      <c r="B832" s="68"/>
      <c r="C832" s="68"/>
      <c r="D832" s="69" t="str">
        <f>CONCATENATE(PROPER('DASMA INFO'!$G832),", ",PROPER('DASMA INFO'!$E832)," ",PROPER('DASMA INFO'!$F832),"."," (",UPPER('DASMA INFO'!$H832),")")</f>
        <v>Bag-Ao, Ma. Teresa . ()</v>
      </c>
      <c r="E832" s="70" t="s">
        <v>2036</v>
      </c>
      <c r="F832" s="70"/>
      <c r="G832" s="69" t="s">
        <v>607</v>
      </c>
      <c r="H832" s="69"/>
      <c r="I832" s="105">
        <v>0.12</v>
      </c>
      <c r="J832" s="106">
        <v>1000.0</v>
      </c>
      <c r="K832" s="73"/>
      <c r="L832" s="73"/>
      <c r="M832" s="73"/>
      <c r="N832" s="74"/>
    </row>
    <row r="833" ht="30.0" hidden="1" customHeight="1">
      <c r="A833" s="68">
        <v>841.0</v>
      </c>
      <c r="B833" s="68"/>
      <c r="C833" s="68"/>
      <c r="D833" s="69" t="str">
        <f>CONCATENATE(PROPER('DASMA INFO'!$G833),", ",PROPER('DASMA INFO'!$E833)," ",PROPER('DASMA INFO'!$F833),"."," (",UPPER('DASMA INFO'!$H833),")")</f>
        <v>Eugenio, Johnatan . ()</v>
      </c>
      <c r="E833" s="70" t="s">
        <v>2037</v>
      </c>
      <c r="F833" s="70"/>
      <c r="G833" s="69" t="s">
        <v>2038</v>
      </c>
      <c r="H833" s="69"/>
      <c r="I833" s="105">
        <v>0.12</v>
      </c>
      <c r="J833" s="106">
        <v>1000.0</v>
      </c>
      <c r="K833" s="73"/>
      <c r="L833" s="73"/>
      <c r="M833" s="73"/>
      <c r="N833" s="74"/>
    </row>
    <row r="834" ht="30.0" hidden="1" customHeight="1">
      <c r="A834" s="68">
        <v>842.0</v>
      </c>
      <c r="B834" s="68"/>
      <c r="C834" s="68"/>
      <c r="D834" s="69" t="str">
        <f>CONCATENATE(PROPER('DASMA INFO'!$G834),", ",PROPER('DASMA INFO'!$E834)," ",PROPER('DASMA INFO'!$F834),"."," (",UPPER('DASMA INFO'!$H834),")")</f>
        <v>De Quiroz, Marlon . ()</v>
      </c>
      <c r="E834" s="70" t="s">
        <v>685</v>
      </c>
      <c r="F834" s="70"/>
      <c r="G834" s="69" t="s">
        <v>2039</v>
      </c>
      <c r="H834" s="69"/>
      <c r="I834" s="105">
        <v>0.12</v>
      </c>
      <c r="J834" s="106">
        <v>1000.0</v>
      </c>
      <c r="K834" s="73"/>
      <c r="L834" s="73"/>
      <c r="M834" s="73"/>
      <c r="N834" s="74"/>
    </row>
    <row r="835" ht="30.0" hidden="1" customHeight="1">
      <c r="A835" s="68">
        <v>843.0</v>
      </c>
      <c r="B835" s="68"/>
      <c r="C835" s="68"/>
      <c r="D835" s="69" t="str">
        <f>CONCATENATE(PROPER('DASMA INFO'!$G835),", ",PROPER('DASMA INFO'!$E835)," ",PROPER('DASMA INFO'!$F835),"."," (",UPPER('DASMA INFO'!$H835),")")</f>
        <v>Del Pilar, Evangeline . ()</v>
      </c>
      <c r="E835" s="70" t="s">
        <v>188</v>
      </c>
      <c r="F835" s="70"/>
      <c r="G835" s="69" t="s">
        <v>2040</v>
      </c>
      <c r="H835" s="69"/>
      <c r="I835" s="105">
        <v>0.12</v>
      </c>
      <c r="J835" s="106">
        <v>1000.0</v>
      </c>
      <c r="K835" s="73"/>
      <c r="L835" s="73"/>
      <c r="M835" s="73"/>
      <c r="N835" s="74"/>
    </row>
    <row r="836" ht="30.0" hidden="1" customHeight="1">
      <c r="A836" s="68">
        <v>844.0</v>
      </c>
      <c r="B836" s="68"/>
      <c r="C836" s="68"/>
      <c r="D836" s="69" t="str">
        <f>CONCATENATE(PROPER('DASMA INFO'!$G836),", ",PROPER('DASMA INFO'!$E836)," ",PROPER('DASMA INFO'!$F836),"."," (",UPPER('DASMA INFO'!$H836),")")</f>
        <v>Mercado, Joannah . ()</v>
      </c>
      <c r="E836" s="70" t="s">
        <v>2041</v>
      </c>
      <c r="F836" s="70"/>
      <c r="G836" s="69" t="s">
        <v>840</v>
      </c>
      <c r="H836" s="69"/>
      <c r="I836" s="105">
        <v>0.12</v>
      </c>
      <c r="J836" s="106">
        <v>1000.0</v>
      </c>
      <c r="K836" s="73"/>
      <c r="L836" s="73"/>
      <c r="M836" s="73"/>
      <c r="N836" s="74"/>
    </row>
    <row r="837" ht="30.0" hidden="1" customHeight="1">
      <c r="A837" s="68">
        <v>845.0</v>
      </c>
      <c r="B837" s="68"/>
      <c r="C837" s="68"/>
      <c r="D837" s="69" t="str">
        <f>CONCATENATE(PROPER('DASMA INFO'!$G837),", ",PROPER('DASMA INFO'!$E837)," ",PROPER('DASMA INFO'!$F837),"."," (",UPPER('DASMA INFO'!$H837),")")</f>
        <v>Avinante, Isagani . ()</v>
      </c>
      <c r="E837" s="70" t="s">
        <v>2042</v>
      </c>
      <c r="F837" s="70"/>
      <c r="G837" s="69" t="s">
        <v>2043</v>
      </c>
      <c r="H837" s="69"/>
      <c r="I837" s="105">
        <v>0.12</v>
      </c>
      <c r="J837" s="106">
        <v>1000.0</v>
      </c>
      <c r="K837" s="73"/>
      <c r="L837" s="73"/>
      <c r="M837" s="73"/>
      <c r="N837" s="74"/>
    </row>
    <row r="838" ht="30.0" hidden="1" customHeight="1">
      <c r="A838" s="68">
        <v>846.0</v>
      </c>
      <c r="B838" s="68"/>
      <c r="C838" s="68"/>
      <c r="D838" s="69" t="str">
        <f>CONCATENATE(PROPER('DASMA INFO'!$G838),", ",PROPER('DASMA INFO'!$E838)," ",PROPER('DASMA INFO'!$F838),"."," (",UPPER('DASMA INFO'!$H838),")")</f>
        <v>Desacula, Eva . ()</v>
      </c>
      <c r="E838" s="70" t="s">
        <v>677</v>
      </c>
      <c r="F838" s="70"/>
      <c r="G838" s="69" t="s">
        <v>2044</v>
      </c>
      <c r="H838" s="69"/>
      <c r="I838" s="92">
        <v>0.05</v>
      </c>
      <c r="J838" s="93">
        <v>1000.0</v>
      </c>
      <c r="K838" s="73" t="s">
        <v>2045</v>
      </c>
      <c r="L838" s="73"/>
      <c r="M838" s="73"/>
      <c r="N838" s="74"/>
    </row>
    <row r="839" ht="30.0" hidden="1" customHeight="1">
      <c r="A839" s="68">
        <v>847.0</v>
      </c>
      <c r="B839" s="68"/>
      <c r="C839" s="68"/>
      <c r="D839" s="69" t="str">
        <f>CONCATENATE(PROPER('DASMA INFO'!$G839),", ",PROPER('DASMA INFO'!$E839)," ",PROPER('DASMA INFO'!$F839),"."," (",UPPER('DASMA INFO'!$H839),")")</f>
        <v>Malabanan, Donata . ()</v>
      </c>
      <c r="E839" s="70" t="s">
        <v>1662</v>
      </c>
      <c r="F839" s="70"/>
      <c r="G839" s="69" t="s">
        <v>2046</v>
      </c>
      <c r="H839" s="69"/>
      <c r="I839" s="105">
        <v>0.12</v>
      </c>
      <c r="J839" s="106">
        <v>1000.0</v>
      </c>
      <c r="K839" s="73"/>
      <c r="L839" s="73"/>
      <c r="M839" s="73"/>
      <c r="N839" s="74"/>
    </row>
    <row r="840" ht="30.0" hidden="1" customHeight="1">
      <c r="A840" s="68">
        <v>848.0</v>
      </c>
      <c r="B840" s="68"/>
      <c r="C840" s="68"/>
      <c r="D840" s="69" t="str">
        <f>CONCATENATE(PROPER('DASMA INFO'!$G840),", ",PROPER('DASMA INFO'!$E840)," ",PROPER('DASMA INFO'!$F840),"."," (",UPPER('DASMA INFO'!$H840),")")</f>
        <v>Belaro, Ruth . ()</v>
      </c>
      <c r="E840" s="70" t="s">
        <v>1080</v>
      </c>
      <c r="F840" s="70"/>
      <c r="G840" s="69" t="s">
        <v>2047</v>
      </c>
      <c r="H840" s="69"/>
      <c r="I840" s="105">
        <v>0.12</v>
      </c>
      <c r="J840" s="106">
        <v>1000.0</v>
      </c>
      <c r="K840" s="73"/>
      <c r="L840" s="73"/>
      <c r="M840" s="73"/>
      <c r="N840" s="74"/>
    </row>
    <row r="841" ht="30.0" hidden="1" customHeight="1">
      <c r="A841" s="68">
        <v>849.0</v>
      </c>
      <c r="B841" s="68"/>
      <c r="C841" s="68"/>
      <c r="D841" s="69" t="str">
        <f>CONCATENATE(PROPER('DASMA INFO'!$G841),", ",PROPER('DASMA INFO'!$E841)," ",PROPER('DASMA INFO'!$F841),"."," (",UPPER('DASMA INFO'!$H841),")")</f>
        <v>Burce, Marivic . ()</v>
      </c>
      <c r="E841" s="70" t="s">
        <v>84</v>
      </c>
      <c r="F841" s="70"/>
      <c r="G841" s="69" t="s">
        <v>2048</v>
      </c>
      <c r="H841" s="69"/>
      <c r="I841" s="105">
        <v>0.12</v>
      </c>
      <c r="J841" s="106">
        <v>1000.0</v>
      </c>
      <c r="K841" s="73"/>
      <c r="L841" s="73"/>
      <c r="M841" s="73"/>
      <c r="N841" s="74"/>
    </row>
    <row r="842" ht="30.0" hidden="1" customHeight="1">
      <c r="A842" s="68">
        <v>850.0</v>
      </c>
      <c r="B842" s="68"/>
      <c r="C842" s="68"/>
      <c r="D842" s="69" t="str">
        <f>CONCATENATE(PROPER('DASMA INFO'!$G842),", ",PROPER('DASMA INFO'!$E842)," ",PROPER('DASMA INFO'!$F842),"."," (",UPPER('DASMA INFO'!$H842),")")</f>
        <v>Laugi, Elsie . ()</v>
      </c>
      <c r="E842" s="70" t="s">
        <v>1129</v>
      </c>
      <c r="F842" s="70"/>
      <c r="G842" s="69" t="s">
        <v>2049</v>
      </c>
      <c r="H842" s="69"/>
      <c r="I842" s="105">
        <v>0.12</v>
      </c>
      <c r="J842" s="106">
        <v>1000.0</v>
      </c>
      <c r="K842" s="73"/>
      <c r="L842" s="73"/>
      <c r="M842" s="73"/>
      <c r="N842" s="74"/>
    </row>
    <row r="843" ht="30.0" hidden="1" customHeight="1">
      <c r="A843" s="68">
        <v>851.0</v>
      </c>
      <c r="B843" s="68"/>
      <c r="C843" s="68"/>
      <c r="D843" s="69" t="str">
        <f>CONCATENATE(PROPER('DASMA INFO'!$G843),", ",PROPER('DASMA INFO'!$E843)," ",PROPER('DASMA INFO'!$F843),"."," (",UPPER('DASMA INFO'!$H843),")")</f>
        <v>Pablo, Joel . ()</v>
      </c>
      <c r="E843" s="70" t="s">
        <v>846</v>
      </c>
      <c r="F843" s="70"/>
      <c r="G843" s="69" t="s">
        <v>392</v>
      </c>
      <c r="H843" s="69"/>
      <c r="I843" s="105">
        <v>0.12</v>
      </c>
      <c r="J843" s="106">
        <v>1000.0</v>
      </c>
      <c r="K843" s="73"/>
      <c r="L843" s="73"/>
      <c r="M843" s="73"/>
      <c r="N843" s="74"/>
    </row>
    <row r="844" ht="30.0" hidden="1" customHeight="1">
      <c r="A844" s="68">
        <v>852.0</v>
      </c>
      <c r="B844" s="68"/>
      <c r="C844" s="68"/>
      <c r="D844" s="69" t="str">
        <f>CONCATENATE(PROPER('DASMA INFO'!$G844),", ",PROPER('DASMA INFO'!$E844)," ",PROPER('DASMA INFO'!$F844),"."," (",UPPER('DASMA INFO'!$H844),")")</f>
        <v>Causing, Nila . ()</v>
      </c>
      <c r="E844" s="70" t="s">
        <v>2050</v>
      </c>
      <c r="F844" s="70"/>
      <c r="G844" s="69" t="s">
        <v>2051</v>
      </c>
      <c r="H844" s="69"/>
      <c r="I844" s="105">
        <v>0.12</v>
      </c>
      <c r="J844" s="106">
        <v>1000.0</v>
      </c>
      <c r="K844" s="73"/>
      <c r="L844" s="73"/>
      <c r="M844" s="73"/>
      <c r="N844" s="74"/>
    </row>
    <row r="845" ht="30.0" hidden="1" customHeight="1">
      <c r="A845" s="68">
        <v>853.0</v>
      </c>
      <c r="B845" s="68"/>
      <c r="C845" s="68"/>
      <c r="D845" s="69" t="str">
        <f>CONCATENATE(PROPER('DASMA INFO'!$G845),", ",PROPER('DASMA INFO'!$E845)," ",PROPER('DASMA INFO'!$F845),"."," (",UPPER('DASMA INFO'!$H845),")")</f>
        <v>Guito, Romeo . ()</v>
      </c>
      <c r="E845" s="70" t="s">
        <v>441</v>
      </c>
      <c r="F845" s="70"/>
      <c r="G845" s="69" t="s">
        <v>2052</v>
      </c>
      <c r="H845" s="69"/>
      <c r="I845" s="105">
        <v>0.12</v>
      </c>
      <c r="J845" s="106">
        <v>1000.0</v>
      </c>
      <c r="K845" s="73"/>
      <c r="L845" s="73"/>
      <c r="M845" s="73"/>
      <c r="N845" s="74"/>
    </row>
    <row r="846" ht="30.0" hidden="1" customHeight="1">
      <c r="A846" s="68">
        <v>854.0</v>
      </c>
      <c r="B846" s="68"/>
      <c r="C846" s="68"/>
      <c r="D846" s="69" t="str">
        <f>CONCATENATE(PROPER('DASMA INFO'!$G846),", ",PROPER('DASMA INFO'!$E846)," ",PROPER('DASMA INFO'!$F846),"."," (",UPPER('DASMA INFO'!$H846),")")</f>
        <v>Lapidario, Shirlie . ()</v>
      </c>
      <c r="E846" s="70" t="s">
        <v>2053</v>
      </c>
      <c r="F846" s="70"/>
      <c r="G846" s="69" t="s">
        <v>2054</v>
      </c>
      <c r="H846" s="69"/>
      <c r="I846" s="105">
        <v>0.12</v>
      </c>
      <c r="J846" s="106">
        <v>1000.0</v>
      </c>
      <c r="K846" s="73"/>
      <c r="L846" s="73"/>
      <c r="M846" s="73"/>
      <c r="N846" s="74"/>
    </row>
    <row r="847" ht="30.0" hidden="1" customHeight="1">
      <c r="A847" s="68">
        <v>855.0</v>
      </c>
      <c r="B847" s="68"/>
      <c r="C847" s="68"/>
      <c r="D847" s="69" t="str">
        <f>CONCATENATE(PROPER('DASMA INFO'!$G847),", ",PROPER('DASMA INFO'!$E847)," ",PROPER('DASMA INFO'!$F847),"."," (",UPPER('DASMA INFO'!$H847),")")</f>
        <v>Gumban, Jun . ()</v>
      </c>
      <c r="E847" s="70" t="s">
        <v>1896</v>
      </c>
      <c r="F847" s="70"/>
      <c r="G847" s="69" t="s">
        <v>2055</v>
      </c>
      <c r="H847" s="69"/>
      <c r="I847" s="105">
        <v>0.12</v>
      </c>
      <c r="J847" s="106">
        <v>1000.0</v>
      </c>
      <c r="K847" s="73"/>
      <c r="L847" s="73"/>
      <c r="M847" s="73"/>
      <c r="N847" s="74"/>
    </row>
    <row r="848" ht="30.0" hidden="1" customHeight="1">
      <c r="A848" s="68">
        <v>856.0</v>
      </c>
      <c r="B848" s="68"/>
      <c r="C848" s="68"/>
      <c r="D848" s="69" t="str">
        <f>CONCATENATE(PROPER('DASMA INFO'!$G848),", ",PROPER('DASMA INFO'!$E848)," ",PROPER('DASMA INFO'!$F848),"."," (",UPPER('DASMA INFO'!$H848),")")</f>
        <v>Rabanal, John . ()</v>
      </c>
      <c r="E848" s="70" t="s">
        <v>1303</v>
      </c>
      <c r="F848" s="70"/>
      <c r="G848" s="69" t="s">
        <v>1749</v>
      </c>
      <c r="H848" s="69"/>
      <c r="I848" s="105">
        <v>0.12</v>
      </c>
      <c r="J848" s="106">
        <v>1000.0</v>
      </c>
      <c r="K848" s="73"/>
      <c r="L848" s="73"/>
      <c r="M848" s="73"/>
      <c r="N848" s="74"/>
    </row>
    <row r="849" ht="30.0" hidden="1" customHeight="1">
      <c r="A849" s="68">
        <v>857.0</v>
      </c>
      <c r="B849" s="68"/>
      <c r="C849" s="68"/>
      <c r="D849" s="69" t="str">
        <f>CONCATENATE(PROPER('DASMA INFO'!$G849),", ",PROPER('DASMA INFO'!$E849)," ",PROPER('DASMA INFO'!$F849),"."," (",UPPER('DASMA INFO'!$H849),")")</f>
        <v>Bocalan, Bernard B. ()</v>
      </c>
      <c r="E849" s="70" t="s">
        <v>2056</v>
      </c>
      <c r="F849" s="70" t="s">
        <v>627</v>
      </c>
      <c r="G849" s="70" t="s">
        <v>2057</v>
      </c>
      <c r="H849" s="69"/>
      <c r="I849" s="105">
        <v>0.12</v>
      </c>
      <c r="J849" s="106">
        <v>1000.0</v>
      </c>
      <c r="K849" s="73" t="s">
        <v>968</v>
      </c>
      <c r="L849" s="73"/>
      <c r="M849" s="73"/>
      <c r="N849" s="74"/>
    </row>
    <row r="850" ht="30.0" hidden="1" customHeight="1">
      <c r="A850" s="68">
        <v>858.0</v>
      </c>
      <c r="B850" s="68"/>
      <c r="C850" s="68"/>
      <c r="D850" s="69" t="str">
        <f>CONCATENATE(PROPER('DASMA INFO'!$G850),", ",PROPER('DASMA INFO'!$E850)," ",PROPER('DASMA INFO'!$F850),"."," (",UPPER('DASMA INFO'!$H850),")")</f>
        <v>Bacos, Rolandi . ()</v>
      </c>
      <c r="E850" s="70" t="s">
        <v>2058</v>
      </c>
      <c r="F850" s="70"/>
      <c r="G850" s="70" t="s">
        <v>2059</v>
      </c>
      <c r="H850" s="69"/>
      <c r="I850" s="105">
        <v>0.12</v>
      </c>
      <c r="J850" s="106">
        <v>1000.0</v>
      </c>
      <c r="K850" s="73"/>
      <c r="L850" s="73"/>
      <c r="M850" s="73"/>
      <c r="N850" s="74"/>
    </row>
    <row r="851" ht="30.0" hidden="1" customHeight="1">
      <c r="A851" s="68">
        <v>859.0</v>
      </c>
      <c r="B851" s="68"/>
      <c r="C851" s="68"/>
      <c r="D851" s="69" t="str">
        <f>CONCATENATE(PROPER('DASMA INFO'!$G851),", ",PROPER('DASMA INFO'!$E851)," ",PROPER('DASMA INFO'!$F851),"."," (",UPPER('DASMA INFO'!$H851),")")</f>
        <v>Bucago, Novelio . ()</v>
      </c>
      <c r="E851" s="70" t="s">
        <v>2060</v>
      </c>
      <c r="F851" s="70"/>
      <c r="G851" s="70" t="s">
        <v>2061</v>
      </c>
      <c r="H851" s="69"/>
      <c r="I851" s="105">
        <v>0.12</v>
      </c>
      <c r="J851" s="106">
        <v>1000.0</v>
      </c>
      <c r="K851" s="73"/>
      <c r="L851" s="73"/>
      <c r="M851" s="73"/>
      <c r="N851" s="74"/>
    </row>
    <row r="852" ht="30.0" hidden="1" customHeight="1">
      <c r="A852" s="68">
        <v>860.0</v>
      </c>
      <c r="B852" s="68"/>
      <c r="C852" s="68"/>
      <c r="D852" s="69" t="str">
        <f>CONCATENATE(PROPER('DASMA INFO'!$G852),", ",PROPER('DASMA INFO'!$E852)," ",PROPER('DASMA INFO'!$F852),"."," (",UPPER('DASMA INFO'!$H852),")")</f>
        <v>Loyola, Lea . ()</v>
      </c>
      <c r="E852" s="70" t="s">
        <v>666</v>
      </c>
      <c r="F852" s="70"/>
      <c r="G852" s="70" t="s">
        <v>2062</v>
      </c>
      <c r="H852" s="69"/>
      <c r="I852" s="105">
        <v>0.12</v>
      </c>
      <c r="J852" s="106">
        <v>1000.0</v>
      </c>
      <c r="K852" s="73"/>
      <c r="L852" s="73"/>
      <c r="M852" s="73"/>
      <c r="N852" s="74"/>
    </row>
    <row r="853" ht="30.0" hidden="1" customHeight="1">
      <c r="A853" s="68">
        <v>861.0</v>
      </c>
      <c r="B853" s="68"/>
      <c r="C853" s="68"/>
      <c r="D853" s="69" t="str">
        <f>CONCATENATE(PROPER('DASMA INFO'!$G853),", ",PROPER('DASMA INFO'!$E853)," ",PROPER('DASMA INFO'!$F853),"."," (",UPPER('DASMA INFO'!$H853),")")</f>
        <v>Gabucayab, Jaime . ()</v>
      </c>
      <c r="E853" s="70" t="s">
        <v>2063</v>
      </c>
      <c r="F853" s="70"/>
      <c r="G853" s="70" t="s">
        <v>2064</v>
      </c>
      <c r="H853" s="69"/>
      <c r="I853" s="105">
        <v>0.12</v>
      </c>
      <c r="J853" s="106">
        <v>1000.0</v>
      </c>
      <c r="K853" s="73"/>
      <c r="L853" s="73"/>
      <c r="M853" s="73"/>
      <c r="N853" s="74"/>
    </row>
    <row r="854" ht="30.0" hidden="1" customHeight="1">
      <c r="A854" s="68">
        <v>862.0</v>
      </c>
      <c r="B854" s="68"/>
      <c r="C854" s="68"/>
      <c r="D854" s="69" t="str">
        <f>CONCATENATE(PROPER('DASMA INFO'!$G854),", ",PROPER('DASMA INFO'!$E854)," ",PROPER('DASMA INFO'!$F854),"."," (",UPPER('DASMA INFO'!$H854),")")</f>
        <v>Lambino, Jerryl . ()</v>
      </c>
      <c r="E854" s="70" t="s">
        <v>1338</v>
      </c>
      <c r="F854" s="70"/>
      <c r="G854" s="70" t="s">
        <v>2065</v>
      </c>
      <c r="H854" s="69"/>
      <c r="I854" s="105">
        <v>0.12</v>
      </c>
      <c r="J854" s="106">
        <v>1000.0</v>
      </c>
      <c r="K854" s="73"/>
      <c r="L854" s="73"/>
      <c r="M854" s="73"/>
      <c r="N854" s="74"/>
    </row>
    <row r="855" ht="30.0" hidden="1" customHeight="1">
      <c r="A855" s="68">
        <v>863.0</v>
      </c>
      <c r="B855" s="68"/>
      <c r="C855" s="68"/>
      <c r="D855" s="69" t="str">
        <f>CONCATENATE(PROPER('DASMA INFO'!$G855),", ",PROPER('DASMA INFO'!$E855)," ",PROPER('DASMA INFO'!$F855),"."," (",UPPER('DASMA INFO'!$H855),")")</f>
        <v>Ridal, Fe . ()</v>
      </c>
      <c r="E855" s="70" t="s">
        <v>641</v>
      </c>
      <c r="F855" s="70"/>
      <c r="G855" s="70" t="s">
        <v>2066</v>
      </c>
      <c r="H855" s="69"/>
      <c r="I855" s="105">
        <v>0.12</v>
      </c>
      <c r="J855" s="106">
        <v>1000.0</v>
      </c>
      <c r="K855" s="73"/>
      <c r="L855" s="73"/>
      <c r="M855" s="73"/>
      <c r="N855" s="74"/>
    </row>
    <row r="856" ht="30.0" hidden="1" customHeight="1">
      <c r="A856" s="68">
        <v>864.0</v>
      </c>
      <c r="B856" s="68"/>
      <c r="C856" s="68"/>
      <c r="D856" s="69" t="str">
        <f>CONCATENATE(PROPER('DASMA INFO'!$G856),", ",PROPER('DASMA INFO'!$E856)," ",PROPER('DASMA INFO'!$F856),"."," (",UPPER('DASMA INFO'!$H856),")")</f>
        <v>Relucano, Shay . ()</v>
      </c>
      <c r="E856" s="70" t="s">
        <v>2067</v>
      </c>
      <c r="F856" s="70"/>
      <c r="G856" s="70" t="s">
        <v>2068</v>
      </c>
      <c r="H856" s="69"/>
      <c r="I856" s="105">
        <v>0.12</v>
      </c>
      <c r="J856" s="106">
        <v>1000.0</v>
      </c>
      <c r="K856" s="73"/>
      <c r="L856" s="73"/>
      <c r="M856" s="73"/>
      <c r="N856" s="74"/>
    </row>
    <row r="857" ht="30.0" hidden="1" customHeight="1">
      <c r="A857" s="68">
        <v>865.0</v>
      </c>
      <c r="B857" s="68"/>
      <c r="C857" s="68"/>
      <c r="D857" s="69" t="str">
        <f>CONCATENATE(PROPER('DASMA INFO'!$G857),", ",PROPER('DASMA INFO'!$E857)," ",PROPER('DASMA INFO'!$F857),"."," (",UPPER('DASMA INFO'!$H857),")")</f>
        <v>De Lara, Jell . (CATABAY)</v>
      </c>
      <c r="E857" s="70" t="s">
        <v>2069</v>
      </c>
      <c r="F857" s="70"/>
      <c r="G857" s="70" t="s">
        <v>163</v>
      </c>
      <c r="H857" s="70" t="s">
        <v>2070</v>
      </c>
      <c r="I857" s="92">
        <v>0.05</v>
      </c>
      <c r="J857" s="93">
        <v>1000.0</v>
      </c>
      <c r="K857" s="73"/>
      <c r="L857" s="73"/>
      <c r="M857" s="73"/>
      <c r="N857" s="74"/>
    </row>
    <row r="858" ht="30.0" hidden="1" customHeight="1">
      <c r="A858" s="68">
        <v>866.0</v>
      </c>
      <c r="B858" s="68"/>
      <c r="C858" s="68"/>
      <c r="D858" s="69" t="str">
        <f>CONCATENATE(PROPER('DASMA INFO'!$G858),", ",PROPER('DASMA INFO'!$E858)," ",PROPER('DASMA INFO'!$F858),"."," (",UPPER('DASMA INFO'!$H858),")")</f>
        <v>Mcilhenney, Happy . ()</v>
      </c>
      <c r="E858" s="70" t="s">
        <v>1606</v>
      </c>
      <c r="F858" s="70"/>
      <c r="G858" s="69" t="s">
        <v>1607</v>
      </c>
      <c r="H858" s="69"/>
      <c r="I858" s="92">
        <v>0.05</v>
      </c>
      <c r="J858" s="93">
        <v>1000.0</v>
      </c>
      <c r="K858" s="73"/>
      <c r="L858" s="73"/>
      <c r="M858" s="73"/>
      <c r="N858" s="74"/>
    </row>
    <row r="859" ht="30.0" hidden="1" customHeight="1">
      <c r="A859" s="68">
        <v>867.0</v>
      </c>
      <c r="B859" s="68"/>
      <c r="C859" s="68"/>
      <c r="D859" s="69" t="str">
        <f>CONCATENATE(PROPER('DASMA INFO'!$G859),", ",PROPER('DASMA INFO'!$E859)," ",PROPER('DASMA INFO'!$F859),"."," (",UPPER('DASMA INFO'!$H859),")")</f>
        <v>Alfaro, Emmanuel . ()</v>
      </c>
      <c r="E859" s="70" t="s">
        <v>107</v>
      </c>
      <c r="F859" s="70"/>
      <c r="G859" s="69" t="s">
        <v>2071</v>
      </c>
      <c r="H859" s="69"/>
      <c r="I859" s="105">
        <v>0.12</v>
      </c>
      <c r="J859" s="106">
        <v>1000.0</v>
      </c>
      <c r="K859" s="73"/>
      <c r="L859" s="73"/>
      <c r="M859" s="73"/>
      <c r="N859" s="74"/>
    </row>
    <row r="860" ht="30.0" hidden="1" customHeight="1">
      <c r="A860" s="68">
        <v>868.0</v>
      </c>
      <c r="B860" s="68"/>
      <c r="C860" s="68"/>
      <c r="D860" s="69" t="str">
        <f>CONCATENATE(PROPER('DASMA INFO'!$G860),", ",PROPER('DASMA INFO'!$E860)," ",PROPER('DASMA INFO'!$F860),"."," (",UPPER('DASMA INFO'!$H860),")")</f>
        <v>Albert, Abanes . ()</v>
      </c>
      <c r="E860" s="70" t="s">
        <v>2072</v>
      </c>
      <c r="F860" s="70"/>
      <c r="G860" s="69" t="s">
        <v>2073</v>
      </c>
      <c r="H860" s="69"/>
      <c r="I860" s="105">
        <v>0.12</v>
      </c>
      <c r="J860" s="106">
        <v>1000.0</v>
      </c>
      <c r="K860" s="73"/>
      <c r="L860" s="73"/>
      <c r="M860" s="73"/>
      <c r="N860" s="74"/>
    </row>
    <row r="861" ht="30.0" hidden="1" customHeight="1">
      <c r="A861" s="68">
        <v>869.0</v>
      </c>
      <c r="B861" s="68"/>
      <c r="C861" s="68"/>
      <c r="D861" s="69" t="str">
        <f>CONCATENATE(PROPER('DASMA INFO'!$G861),", ",PROPER('DASMA INFO'!$E861)," ",PROPER('DASMA INFO'!$F861),"."," (",UPPER('DASMA INFO'!$H861),")")</f>
        <v>Solitario, Alan . ()</v>
      </c>
      <c r="E861" s="70" t="s">
        <v>222</v>
      </c>
      <c r="F861" s="70"/>
      <c r="G861" s="69" t="s">
        <v>1454</v>
      </c>
      <c r="H861" s="69"/>
      <c r="I861" s="105">
        <v>0.12</v>
      </c>
      <c r="J861" s="106">
        <v>1000.0</v>
      </c>
      <c r="K861" s="73"/>
      <c r="L861" s="73"/>
      <c r="M861" s="73"/>
      <c r="N861" s="74"/>
    </row>
    <row r="862" ht="30.0" hidden="1" customHeight="1">
      <c r="A862" s="68">
        <v>870.0</v>
      </c>
      <c r="B862" s="68"/>
      <c r="C862" s="68"/>
      <c r="D862" s="69" t="str">
        <f>CONCATENATE(PROPER('DASMA INFO'!$G862),", ",PROPER('DASMA INFO'!$E862)," ",PROPER('DASMA INFO'!$F862),"."," (",UPPER('DASMA INFO'!$H862),")")</f>
        <v>Rollzon, Oliver . ()</v>
      </c>
      <c r="E862" s="70" t="s">
        <v>349</v>
      </c>
      <c r="F862" s="70"/>
      <c r="G862" s="69" t="s">
        <v>2074</v>
      </c>
      <c r="H862" s="69"/>
      <c r="I862" s="105">
        <v>0.12</v>
      </c>
      <c r="J862" s="106">
        <v>1000.0</v>
      </c>
      <c r="K862" s="73"/>
      <c r="L862" s="73"/>
      <c r="M862" s="73"/>
      <c r="N862" s="74"/>
    </row>
    <row r="863" ht="30.0" hidden="1" customHeight="1">
      <c r="A863" s="68">
        <v>871.0</v>
      </c>
      <c r="B863" s="68"/>
      <c r="C863" s="68"/>
      <c r="D863" s="69" t="str">
        <f>CONCATENATE(PROPER('DASMA INFO'!$G863),", ",PROPER('DASMA INFO'!$E863)," ",PROPER('DASMA INFO'!$F863),"."," (",UPPER('DASMA INFO'!$H863),")")</f>
        <v>Agustina, Lilo-An . ()</v>
      </c>
      <c r="E863" s="70" t="s">
        <v>2075</v>
      </c>
      <c r="F863" s="70"/>
      <c r="G863" s="69" t="s">
        <v>2076</v>
      </c>
      <c r="H863" s="69"/>
      <c r="I863" s="105">
        <v>0.12</v>
      </c>
      <c r="J863" s="106">
        <v>1000.0</v>
      </c>
      <c r="K863" s="73"/>
      <c r="L863" s="73"/>
      <c r="M863" s="73"/>
      <c r="N863" s="74"/>
    </row>
    <row r="864" ht="30.0" hidden="1" customHeight="1">
      <c r="A864" s="68">
        <v>872.0</v>
      </c>
      <c r="B864" s="68"/>
      <c r="C864" s="68"/>
      <c r="D864" s="69" t="str">
        <f>CONCATENATE(PROPER('DASMA INFO'!$G864),", ",PROPER('DASMA INFO'!$E864)," ",PROPER('DASMA INFO'!$F864),"."," (",UPPER('DASMA INFO'!$H864),")")</f>
        <v>Culio, Jose Jesie . ()</v>
      </c>
      <c r="E864" s="70" t="s">
        <v>2077</v>
      </c>
      <c r="F864" s="70"/>
      <c r="G864" s="69" t="s">
        <v>2078</v>
      </c>
      <c r="H864" s="69"/>
      <c r="I864" s="105">
        <v>0.12</v>
      </c>
      <c r="J864" s="106">
        <v>1000.0</v>
      </c>
      <c r="K864" s="73"/>
      <c r="L864" s="73"/>
      <c r="M864" s="73"/>
      <c r="N864" s="74"/>
    </row>
    <row r="865" ht="30.0" hidden="1" customHeight="1">
      <c r="A865" s="68">
        <v>873.0</v>
      </c>
      <c r="B865" s="68"/>
      <c r="C865" s="68"/>
      <c r="D865" s="69" t="str">
        <f>CONCATENATE(PROPER('DASMA INFO'!$G865),", ",PROPER('DASMA INFO'!$E865)," ",PROPER('DASMA INFO'!$F865),"."," (",UPPER('DASMA INFO'!$H865),")")</f>
        <v>Torredes, Jovenal . ()</v>
      </c>
      <c r="E865" s="70" t="s">
        <v>2079</v>
      </c>
      <c r="F865" s="70"/>
      <c r="G865" s="69" t="s">
        <v>2080</v>
      </c>
      <c r="H865" s="69"/>
      <c r="I865" s="105">
        <v>0.12</v>
      </c>
      <c r="J865" s="106">
        <v>1000.0</v>
      </c>
      <c r="K865" s="73"/>
      <c r="L865" s="73"/>
      <c r="M865" s="73"/>
      <c r="N865" s="74"/>
    </row>
    <row r="866" ht="30.0" hidden="1" customHeight="1">
      <c r="A866" s="68">
        <v>874.0</v>
      </c>
      <c r="B866" s="68"/>
      <c r="C866" s="68"/>
      <c r="D866" s="69" t="str">
        <f>CONCATENATE(PROPER('DASMA INFO'!$G866),", ",PROPER('DASMA INFO'!$E866)," ",PROPER('DASMA INFO'!$F866),"."," (",UPPER('DASMA INFO'!$H866),")")</f>
        <v>Vidal, Fe . ()</v>
      </c>
      <c r="E866" s="70" t="s">
        <v>641</v>
      </c>
      <c r="F866" s="70"/>
      <c r="G866" s="69" t="s">
        <v>2081</v>
      </c>
      <c r="H866" s="69"/>
      <c r="I866" s="105">
        <v>0.12</v>
      </c>
      <c r="J866" s="106">
        <v>1000.0</v>
      </c>
      <c r="K866" s="73"/>
      <c r="L866" s="73"/>
      <c r="M866" s="73"/>
      <c r="N866" s="74"/>
    </row>
    <row r="867" ht="30.0" hidden="1" customHeight="1">
      <c r="A867" s="68">
        <v>875.0</v>
      </c>
      <c r="B867" s="68"/>
      <c r="C867" s="68"/>
      <c r="D867" s="69" t="str">
        <f>CONCATENATE(PROPER('DASMA INFO'!$G867),", ",PROPER('DASMA INFO'!$E867)," ",PROPER('DASMA INFO'!$F867),"."," (",UPPER('DASMA INFO'!$H867),")")</f>
        <v>Alcantara, Jan Cherry . ()</v>
      </c>
      <c r="E867" s="70" t="s">
        <v>2082</v>
      </c>
      <c r="F867" s="70"/>
      <c r="G867" s="69" t="s">
        <v>1853</v>
      </c>
      <c r="H867" s="69"/>
      <c r="I867" s="105">
        <v>0.12</v>
      </c>
      <c r="J867" s="106">
        <v>1000.0</v>
      </c>
      <c r="K867" s="73"/>
      <c r="L867" s="73"/>
      <c r="M867" s="73"/>
      <c r="N867" s="74"/>
    </row>
    <row r="868" ht="30.0" hidden="1" customHeight="1">
      <c r="A868" s="68">
        <v>876.0</v>
      </c>
      <c r="B868" s="68"/>
      <c r="C868" s="68"/>
      <c r="D868" s="69" t="str">
        <f>CONCATENATE(PROPER('DASMA INFO'!$G868),", ",PROPER('DASMA INFO'!$E868)," ",PROPER('DASMA INFO'!$F868),"."," (",UPPER('DASMA INFO'!$H868),")")</f>
        <v>Geronimo, Jaime . ()</v>
      </c>
      <c r="E868" s="70" t="s">
        <v>2063</v>
      </c>
      <c r="F868" s="70"/>
      <c r="G868" s="69" t="s">
        <v>815</v>
      </c>
      <c r="H868" s="69"/>
      <c r="I868" s="105">
        <v>0.12</v>
      </c>
      <c r="J868" s="106">
        <v>1000.0</v>
      </c>
      <c r="K868" s="73"/>
      <c r="L868" s="73"/>
      <c r="M868" s="73"/>
      <c r="N868" s="74"/>
    </row>
    <row r="869" ht="30.0" hidden="1" customHeight="1">
      <c r="A869" s="68">
        <v>877.0</v>
      </c>
      <c r="B869" s="68"/>
      <c r="C869" s="68"/>
      <c r="D869" s="69" t="str">
        <f>CONCATENATE(PROPER('DASMA INFO'!$G869),", ",PROPER('DASMA INFO'!$E869)," ",PROPER('DASMA INFO'!$F869),"."," (",UPPER('DASMA INFO'!$H869),")")</f>
        <v>Otanez, Arnel . ()</v>
      </c>
      <c r="E869" s="70" t="s">
        <v>2083</v>
      </c>
      <c r="F869" s="70"/>
      <c r="G869" s="69" t="s">
        <v>2084</v>
      </c>
      <c r="H869" s="69"/>
      <c r="I869" s="105">
        <v>0.12</v>
      </c>
      <c r="J869" s="106">
        <v>1000.0</v>
      </c>
      <c r="K869" s="73"/>
      <c r="L869" s="73"/>
      <c r="M869" s="73"/>
      <c r="N869" s="74"/>
    </row>
    <row r="870" ht="30.0" hidden="1" customHeight="1">
      <c r="A870" s="68">
        <v>878.0</v>
      </c>
      <c r="B870" s="68"/>
      <c r="C870" s="68"/>
      <c r="D870" s="69" t="str">
        <f>CONCATENATE(PROPER('DASMA INFO'!$G870),", ",PROPER('DASMA INFO'!$E870)," ",PROPER('DASMA INFO'!$F870),"."," (",UPPER('DASMA INFO'!$H870),")")</f>
        <v>Paredes, Christopher . ()</v>
      </c>
      <c r="E870" s="70" t="s">
        <v>1101</v>
      </c>
      <c r="F870" s="70"/>
      <c r="G870" s="69" t="s">
        <v>2085</v>
      </c>
      <c r="H870" s="69"/>
      <c r="I870" s="105">
        <v>0.12</v>
      </c>
      <c r="J870" s="106">
        <v>1000.0</v>
      </c>
      <c r="K870" s="73"/>
      <c r="L870" s="73"/>
      <c r="M870" s="73"/>
      <c r="N870" s="74"/>
    </row>
    <row r="871" ht="30.0" hidden="1" customHeight="1">
      <c r="A871" s="68">
        <v>879.0</v>
      </c>
      <c r="B871" s="68"/>
      <c r="C871" s="68"/>
      <c r="D871" s="69" t="str">
        <f>CONCATENATE(PROPER('DASMA INFO'!$G871),", ",PROPER('DASMA INFO'!$E871)," ",PROPER('DASMA INFO'!$F871),"."," (",UPPER('DASMA INFO'!$H871),")")</f>
        <v>Bolocon, Klyd . ()</v>
      </c>
      <c r="E871" s="70" t="s">
        <v>2086</v>
      </c>
      <c r="F871" s="70"/>
      <c r="G871" s="69" t="s">
        <v>2087</v>
      </c>
      <c r="H871" s="69"/>
      <c r="I871" s="105">
        <v>0.12</v>
      </c>
      <c r="J871" s="106">
        <v>1000.0</v>
      </c>
      <c r="K871" s="73"/>
      <c r="L871" s="73"/>
      <c r="M871" s="73"/>
      <c r="N871" s="74"/>
    </row>
    <row r="872" ht="30.0" hidden="1" customHeight="1">
      <c r="A872" s="68">
        <v>880.0</v>
      </c>
      <c r="B872" s="68"/>
      <c r="C872" s="68"/>
      <c r="D872" s="69" t="str">
        <f>CONCATENATE(PROPER('DASMA INFO'!$G872),", ",PROPER('DASMA INFO'!$E872)," ",PROPER('DASMA INFO'!$F872),"."," (",UPPER('DASMA INFO'!$H872),")")</f>
        <v>Cervantes, Julie . ()</v>
      </c>
      <c r="E872" s="70" t="s">
        <v>991</v>
      </c>
      <c r="F872" s="70"/>
      <c r="G872" s="69" t="s">
        <v>2088</v>
      </c>
      <c r="H872" s="69"/>
      <c r="I872" s="92">
        <v>0.05</v>
      </c>
      <c r="J872" s="93">
        <v>1000.0</v>
      </c>
      <c r="K872" s="73"/>
      <c r="L872" s="73"/>
      <c r="M872" s="73"/>
      <c r="N872" s="74"/>
    </row>
    <row r="873" ht="30.0" hidden="1" customHeight="1">
      <c r="A873" s="68">
        <v>881.0</v>
      </c>
      <c r="B873" s="68"/>
      <c r="C873" s="68"/>
      <c r="D873" s="69" t="str">
        <f>CONCATENATE(PROPER('DASMA INFO'!$G873),", ",PROPER('DASMA INFO'!$E873)," ",PROPER('DASMA INFO'!$F873),"."," (",UPPER('DASMA INFO'!$H873),")")</f>
        <v>Rouzon, Oliver . ()</v>
      </c>
      <c r="E873" s="70" t="s">
        <v>349</v>
      </c>
      <c r="F873" s="70"/>
      <c r="G873" s="69" t="s">
        <v>1562</v>
      </c>
      <c r="H873" s="69"/>
      <c r="I873" s="105">
        <v>0.12</v>
      </c>
      <c r="J873" s="106">
        <v>1000.0</v>
      </c>
      <c r="K873" s="73"/>
      <c r="L873" s="73"/>
      <c r="M873" s="73"/>
      <c r="N873" s="74"/>
    </row>
    <row r="874" ht="30.0" hidden="1" customHeight="1">
      <c r="A874" s="68">
        <v>882.0</v>
      </c>
      <c r="B874" s="68"/>
      <c r="C874" s="68"/>
      <c r="D874" s="69" t="str">
        <f>CONCATENATE(PROPER('DASMA INFO'!$G874),", ",PROPER('DASMA INFO'!$E874)," ",PROPER('DASMA INFO'!$F874),"."," (",UPPER('DASMA INFO'!$H874),")")</f>
        <v>Labrador, Bernie . ()</v>
      </c>
      <c r="E874" s="70" t="s">
        <v>1463</v>
      </c>
      <c r="F874" s="70"/>
      <c r="G874" s="69" t="s">
        <v>2089</v>
      </c>
      <c r="H874" s="69"/>
      <c r="I874" s="105">
        <v>0.12</v>
      </c>
      <c r="J874" s="106">
        <v>1000.0</v>
      </c>
      <c r="K874" s="73"/>
      <c r="L874" s="73"/>
      <c r="M874" s="73"/>
      <c r="N874" s="74"/>
    </row>
    <row r="875" ht="30.0" hidden="1" customHeight="1">
      <c r="A875" s="68">
        <v>883.0</v>
      </c>
      <c r="B875" s="68"/>
      <c r="C875" s="68"/>
      <c r="D875" s="69" t="str">
        <f>CONCATENATE(PROPER('DASMA INFO'!$G875),", ",PROPER('DASMA INFO'!$E875)," ",PROPER('DASMA INFO'!$F875),"."," (",UPPER('DASMA INFO'!$H875),")")</f>
        <v>Valdez, Irene . ()</v>
      </c>
      <c r="E875" s="70" t="s">
        <v>46</v>
      </c>
      <c r="F875" s="70"/>
      <c r="G875" s="69" t="s">
        <v>2090</v>
      </c>
      <c r="H875" s="69"/>
      <c r="I875" s="105">
        <v>0.12</v>
      </c>
      <c r="J875" s="106">
        <v>1000.0</v>
      </c>
      <c r="K875" s="73"/>
      <c r="L875" s="73"/>
      <c r="M875" s="73"/>
      <c r="N875" s="74"/>
    </row>
    <row r="876" ht="30.0" hidden="1" customHeight="1">
      <c r="A876" s="68">
        <v>884.0</v>
      </c>
      <c r="B876" s="68"/>
      <c r="C876" s="68"/>
      <c r="D876" s="69" t="str">
        <f>CONCATENATE(PROPER('DASMA INFO'!$G876),", ",PROPER('DASMA INFO'!$E876)," ",PROPER('DASMA INFO'!$F876),"."," (",UPPER('DASMA INFO'!$H876),")")</f>
        <v>Macapagal, Rex . ()</v>
      </c>
      <c r="E876" s="70" t="s">
        <v>1123</v>
      </c>
      <c r="F876" s="70"/>
      <c r="G876" s="69" t="s">
        <v>2091</v>
      </c>
      <c r="H876" s="69"/>
      <c r="I876" s="105">
        <v>0.12</v>
      </c>
      <c r="J876" s="106">
        <v>1000.0</v>
      </c>
      <c r="K876" s="73"/>
      <c r="L876" s="73"/>
      <c r="M876" s="73"/>
      <c r="N876" s="74"/>
    </row>
    <row r="877" ht="30.0" hidden="1" customHeight="1">
      <c r="A877" s="68">
        <v>885.0</v>
      </c>
      <c r="B877" s="68"/>
      <c r="C877" s="68"/>
      <c r="D877" s="69" t="str">
        <f>CONCATENATE(PROPER('DASMA INFO'!$G877),", ",PROPER('DASMA INFO'!$E877)," ",PROPER('DASMA INFO'!$F877),"."," (",UPPER('DASMA INFO'!$H877),")")</f>
        <v>Perez, Bertson . ()</v>
      </c>
      <c r="E877" s="70" t="s">
        <v>2092</v>
      </c>
      <c r="F877" s="70"/>
      <c r="G877" s="69" t="s">
        <v>236</v>
      </c>
      <c r="H877" s="69"/>
      <c r="I877" s="105">
        <v>0.12</v>
      </c>
      <c r="J877" s="106">
        <v>1000.0</v>
      </c>
      <c r="K877" s="73"/>
      <c r="L877" s="73"/>
      <c r="M877" s="73"/>
      <c r="N877" s="74"/>
    </row>
    <row r="878" ht="30.0" hidden="1" customHeight="1">
      <c r="A878" s="68">
        <v>886.0</v>
      </c>
      <c r="B878" s="68"/>
      <c r="C878" s="68"/>
      <c r="D878" s="69" t="str">
        <f>CONCATENATE(PROPER('DASMA INFO'!$G878),", ",PROPER('DASMA INFO'!$E878)," ",PROPER('DASMA INFO'!$F878),"."," (",UPPER('DASMA INFO'!$H878),")")</f>
        <v>Peradilla, Joezel . ()</v>
      </c>
      <c r="E878" s="70" t="s">
        <v>2093</v>
      </c>
      <c r="F878" s="70"/>
      <c r="G878" s="69" t="s">
        <v>2094</v>
      </c>
      <c r="H878" s="69"/>
      <c r="I878" s="105">
        <v>0.12</v>
      </c>
      <c r="J878" s="106">
        <v>1000.0</v>
      </c>
      <c r="K878" s="73"/>
      <c r="L878" s="73"/>
      <c r="M878" s="73"/>
      <c r="N878" s="74"/>
    </row>
    <row r="879" ht="30.0" hidden="1" customHeight="1">
      <c r="A879" s="68">
        <v>887.0</v>
      </c>
      <c r="B879" s="68"/>
      <c r="C879" s="68"/>
      <c r="D879" s="69" t="str">
        <f>CONCATENATE(PROPER('DASMA INFO'!$G879),", ",PROPER('DASMA INFO'!$E879)," ",PROPER('DASMA INFO'!$F879),"."," (",UPPER('DASMA INFO'!$H879),")")</f>
        <v>Bari, Karenina . ()</v>
      </c>
      <c r="E879" s="70" t="s">
        <v>2095</v>
      </c>
      <c r="F879" s="70"/>
      <c r="G879" s="69" t="s">
        <v>2096</v>
      </c>
      <c r="H879" s="69"/>
      <c r="I879" s="105">
        <v>0.12</v>
      </c>
      <c r="J879" s="106">
        <v>1000.0</v>
      </c>
      <c r="K879" s="73"/>
      <c r="L879" s="73"/>
      <c r="M879" s="73"/>
      <c r="N879" s="74"/>
    </row>
    <row r="880" ht="30.0" hidden="1" customHeight="1">
      <c r="A880" s="68">
        <v>888.0</v>
      </c>
      <c r="B880" s="68"/>
      <c r="C880" s="68"/>
      <c r="D880" s="69" t="str">
        <f>CONCATENATE(PROPER('DASMA INFO'!$G880),", ",PROPER('DASMA INFO'!$E880)," ",PROPER('DASMA INFO'!$F880),"."," (",UPPER('DASMA INFO'!$H880),")")</f>
        <v>Dariano, Jorgina . ()</v>
      </c>
      <c r="E880" s="70" t="s">
        <v>2097</v>
      </c>
      <c r="F880" s="70"/>
      <c r="G880" s="69" t="s">
        <v>2098</v>
      </c>
      <c r="H880" s="69"/>
      <c r="I880" s="105">
        <v>0.12</v>
      </c>
      <c r="J880" s="106">
        <v>1000.0</v>
      </c>
      <c r="K880" s="73"/>
      <c r="L880" s="73"/>
      <c r="M880" s="73"/>
      <c r="N880" s="74"/>
    </row>
    <row r="881" ht="30.0" hidden="1" customHeight="1">
      <c r="A881" s="68">
        <v>889.0</v>
      </c>
      <c r="B881" s="68"/>
      <c r="C881" s="68"/>
      <c r="D881" s="69" t="str">
        <f>CONCATENATE(PROPER('DASMA INFO'!$G881),", ",PROPER('DASMA INFO'!$E881)," ",PROPER('DASMA INFO'!$F881),"."," (",UPPER('DASMA INFO'!$H881),")")</f>
        <v>Cadeville, Mayline . ()</v>
      </c>
      <c r="E881" s="70" t="s">
        <v>2099</v>
      </c>
      <c r="F881" s="70"/>
      <c r="G881" s="69" t="s">
        <v>2100</v>
      </c>
      <c r="H881" s="69"/>
      <c r="I881" s="105">
        <v>0.12</v>
      </c>
      <c r="J881" s="106">
        <v>1000.0</v>
      </c>
      <c r="K881" s="73"/>
      <c r="L881" s="73"/>
      <c r="M881" s="73"/>
      <c r="N881" s="74"/>
    </row>
    <row r="882" ht="30.0" hidden="1" customHeight="1">
      <c r="A882" s="68">
        <v>890.0</v>
      </c>
      <c r="B882" s="68"/>
      <c r="C882" s="68"/>
      <c r="D882" s="69" t="str">
        <f>CONCATENATE(PROPER('DASMA INFO'!$G882),", ",PROPER('DASMA INFO'!$E882)," ",PROPER('DASMA INFO'!$F882),"."," (",UPPER('DASMA INFO'!$H882),")")</f>
        <v>Estrada, Normita P. ()</v>
      </c>
      <c r="E882" s="70" t="s">
        <v>2101</v>
      </c>
      <c r="F882" s="70" t="s">
        <v>513</v>
      </c>
      <c r="G882" s="70" t="s">
        <v>2102</v>
      </c>
      <c r="H882" s="69"/>
      <c r="I882" s="92">
        <v>0.05</v>
      </c>
      <c r="J882" s="93">
        <v>1000.0</v>
      </c>
      <c r="K882" s="73" t="s">
        <v>2103</v>
      </c>
      <c r="L882" s="73"/>
      <c r="M882" s="73"/>
      <c r="N882" s="74"/>
    </row>
    <row r="883" ht="30.0" hidden="1" customHeight="1">
      <c r="A883" s="68">
        <v>891.0</v>
      </c>
      <c r="B883" s="68"/>
      <c r="C883" s="68"/>
      <c r="D883" s="69" t="str">
        <f>CONCATENATE(PROPER('DASMA INFO'!$G883),", ",PROPER('DASMA INFO'!$E883)," ",PROPER('DASMA INFO'!$F883),"."," (",UPPER('DASMA INFO'!$H883),")")</f>
        <v>Munoz, Medea . ()</v>
      </c>
      <c r="E883" s="70" t="s">
        <v>2104</v>
      </c>
      <c r="F883" s="70"/>
      <c r="G883" s="70" t="s">
        <v>2105</v>
      </c>
      <c r="H883" s="69"/>
      <c r="I883" s="105">
        <v>0.12</v>
      </c>
      <c r="J883" s="106">
        <v>1000.0</v>
      </c>
      <c r="K883" s="73"/>
      <c r="L883" s="73"/>
      <c r="M883" s="73"/>
      <c r="N883" s="74"/>
    </row>
    <row r="884" ht="30.0" hidden="1" customHeight="1">
      <c r="A884" s="68">
        <v>892.0</v>
      </c>
      <c r="B884" s="68"/>
      <c r="C884" s="68"/>
      <c r="D884" s="69" t="str">
        <f>CONCATENATE(PROPER('DASMA INFO'!$G884),", ",PROPER('DASMA INFO'!$E884)," ",PROPER('DASMA INFO'!$F884),"."," (",UPPER('DASMA INFO'!$H884),")")</f>
        <v>Magboo, Nellia . ()</v>
      </c>
      <c r="E884" s="70" t="s">
        <v>2106</v>
      </c>
      <c r="F884" s="70"/>
      <c r="G884" s="70" t="s">
        <v>2107</v>
      </c>
      <c r="H884" s="69"/>
      <c r="I884" s="105">
        <v>0.12</v>
      </c>
      <c r="J884" s="106">
        <v>1000.0</v>
      </c>
      <c r="K884" s="73"/>
      <c r="L884" s="73"/>
      <c r="M884" s="73"/>
      <c r="N884" s="74"/>
    </row>
    <row r="885" ht="30.0" hidden="1" customHeight="1">
      <c r="A885" s="68">
        <v>893.0</v>
      </c>
      <c r="B885" s="68"/>
      <c r="C885" s="68"/>
      <c r="D885" s="69" t="str">
        <f>CONCATENATE(PROPER('DASMA INFO'!$G885),", ",PROPER('DASMA INFO'!$E885)," ",PROPER('DASMA INFO'!$F885),"."," (",UPPER('DASMA INFO'!$H885),")")</f>
        <v>Ramos, Mary Jane . ()</v>
      </c>
      <c r="E885" s="70" t="s">
        <v>351</v>
      </c>
      <c r="F885" s="70"/>
      <c r="G885" s="70" t="s">
        <v>74</v>
      </c>
      <c r="H885" s="69"/>
      <c r="I885" s="105">
        <v>0.12</v>
      </c>
      <c r="J885" s="106">
        <v>1000.0</v>
      </c>
      <c r="K885" s="73"/>
      <c r="L885" s="73"/>
      <c r="M885" s="73"/>
      <c r="N885" s="74"/>
    </row>
    <row r="886" ht="30.0" hidden="1" customHeight="1">
      <c r="A886" s="68">
        <v>894.0</v>
      </c>
      <c r="B886" s="68"/>
      <c r="C886" s="68"/>
      <c r="D886" s="69" t="str">
        <f>CONCATENATE(PROPER('DASMA INFO'!$G886),", ",PROPER('DASMA INFO'!$E886)," ",PROPER('DASMA INFO'!$F886),"."," (",UPPER('DASMA INFO'!$H886),")")</f>
        <v>Cuerdo, Jozan . ()</v>
      </c>
      <c r="E886" s="70" t="s">
        <v>2108</v>
      </c>
      <c r="F886" s="70"/>
      <c r="G886" s="70" t="s">
        <v>1578</v>
      </c>
      <c r="H886" s="69"/>
      <c r="I886" s="105">
        <v>0.12</v>
      </c>
      <c r="J886" s="106">
        <v>1000.0</v>
      </c>
      <c r="K886" s="73"/>
      <c r="L886" s="73"/>
      <c r="M886" s="73"/>
      <c r="N886" s="74"/>
    </row>
    <row r="887" ht="30.0" hidden="1" customHeight="1">
      <c r="A887" s="68">
        <v>895.0</v>
      </c>
      <c r="B887" s="68"/>
      <c r="C887" s="68"/>
      <c r="D887" s="69" t="str">
        <f>CONCATENATE(PROPER('DASMA INFO'!$G887),", ",PROPER('DASMA INFO'!$E887)," ",PROPER('DASMA INFO'!$F887),"."," (",UPPER('DASMA INFO'!$H887),")")</f>
        <v>De Leon, Ronan . ()</v>
      </c>
      <c r="E887" s="70" t="s">
        <v>2109</v>
      </c>
      <c r="F887" s="70"/>
      <c r="G887" s="70" t="s">
        <v>1136</v>
      </c>
      <c r="H887" s="69"/>
      <c r="I887" s="105">
        <v>0.12</v>
      </c>
      <c r="J887" s="106">
        <v>1000.0</v>
      </c>
      <c r="K887" s="73"/>
      <c r="L887" s="73"/>
      <c r="M887" s="73"/>
      <c r="N887" s="74"/>
    </row>
    <row r="888" ht="30.0" hidden="1" customHeight="1">
      <c r="A888" s="68">
        <v>896.0</v>
      </c>
      <c r="B888" s="68"/>
      <c r="C888" s="68"/>
      <c r="D888" s="69" t="str">
        <f>CONCATENATE(PROPER('DASMA INFO'!$G888),", ",PROPER('DASMA INFO'!$E888)," ",PROPER('DASMA INFO'!$F888),"."," (",UPPER('DASMA INFO'!$H888),")")</f>
        <v>Vidal, Mylyn C. ()</v>
      </c>
      <c r="E888" s="70" t="s">
        <v>2110</v>
      </c>
      <c r="F888" s="70" t="s">
        <v>318</v>
      </c>
      <c r="G888" s="70" t="s">
        <v>2081</v>
      </c>
      <c r="H888" s="69"/>
      <c r="I888" s="92">
        <v>0.05</v>
      </c>
      <c r="J888" s="93">
        <v>1000.0</v>
      </c>
      <c r="K888" s="73" t="s">
        <v>50</v>
      </c>
      <c r="L888" s="73"/>
      <c r="M888" s="73"/>
      <c r="N888" s="74"/>
    </row>
    <row r="889" ht="30.0" hidden="1" customHeight="1">
      <c r="A889" s="68">
        <v>897.0</v>
      </c>
      <c r="B889" s="68"/>
      <c r="C889" s="68"/>
      <c r="D889" s="69" t="str">
        <f>CONCATENATE(PROPER('DASMA INFO'!$G889),", ",PROPER('DASMA INFO'!$E889)," ",PROPER('DASMA INFO'!$F889),"."," (",UPPER('DASMA INFO'!$H889),")")</f>
        <v>Gamo, Jerry T. ()</v>
      </c>
      <c r="E889" s="70" t="s">
        <v>1990</v>
      </c>
      <c r="F889" s="70" t="s">
        <v>752</v>
      </c>
      <c r="G889" s="70" t="s">
        <v>2111</v>
      </c>
      <c r="H889" s="69"/>
      <c r="I889" s="105">
        <v>0.12</v>
      </c>
      <c r="J889" s="106">
        <v>1000.0</v>
      </c>
      <c r="K889" s="73"/>
      <c r="L889" s="73"/>
      <c r="M889" s="73"/>
      <c r="N889" s="74"/>
    </row>
    <row r="890" ht="30.0" hidden="1" customHeight="1">
      <c r="A890" s="68">
        <v>898.0</v>
      </c>
      <c r="B890" s="68"/>
      <c r="C890" s="68"/>
      <c r="D890" s="69" t="str">
        <f>CONCATENATE(PROPER('DASMA INFO'!$G890),", ",PROPER('DASMA INFO'!$E890)," ",PROPER('DASMA INFO'!$F890),"."," (",UPPER('DASMA INFO'!$H890),")")</f>
        <v>Sare, Melanie . ()</v>
      </c>
      <c r="E890" s="70" t="s">
        <v>1147</v>
      </c>
      <c r="F890" s="70"/>
      <c r="G890" s="70" t="s">
        <v>2112</v>
      </c>
      <c r="H890" s="69"/>
      <c r="I890" s="105">
        <v>0.12</v>
      </c>
      <c r="J890" s="106">
        <v>1000.0</v>
      </c>
      <c r="K890" s="73"/>
      <c r="L890" s="73"/>
      <c r="M890" s="73"/>
      <c r="N890" s="74"/>
    </row>
    <row r="891" ht="30.0" hidden="1" customHeight="1">
      <c r="A891" s="68">
        <v>899.0</v>
      </c>
      <c r="B891" s="68"/>
      <c r="C891" s="68"/>
      <c r="D891" s="69" t="str">
        <f>CONCATENATE(PROPER('DASMA INFO'!$G891),", ",PROPER('DASMA INFO'!$E891)," ",PROPER('DASMA INFO'!$F891),"."," (",UPPER('DASMA INFO'!$H891),")")</f>
        <v>Cardiente, Jocelyn . ()</v>
      </c>
      <c r="E891" s="70" t="s">
        <v>290</v>
      </c>
      <c r="F891" s="70"/>
      <c r="G891" s="70" t="s">
        <v>2113</v>
      </c>
      <c r="H891" s="69"/>
      <c r="I891" s="105">
        <v>0.12</v>
      </c>
      <c r="J891" s="106">
        <v>1000.0</v>
      </c>
      <c r="K891" s="73"/>
      <c r="L891" s="73"/>
      <c r="M891" s="73"/>
      <c r="N891" s="74"/>
    </row>
    <row r="892" ht="30.0" hidden="1" customHeight="1">
      <c r="A892" s="68">
        <v>900.0</v>
      </c>
      <c r="B892" s="68"/>
      <c r="C892" s="68"/>
      <c r="D892" s="69" t="str">
        <f>CONCATENATE(PROPER('DASMA INFO'!$G892),", ",PROPER('DASMA INFO'!$E892)," ",PROPER('DASMA INFO'!$F892),"."," (",UPPER('DASMA INFO'!$H892),")")</f>
        <v>Sipe, Gemma . ()</v>
      </c>
      <c r="E892" s="70" t="s">
        <v>1222</v>
      </c>
      <c r="F892" s="70"/>
      <c r="G892" s="70" t="s">
        <v>2114</v>
      </c>
      <c r="H892" s="69"/>
      <c r="I892" s="105">
        <v>0.12</v>
      </c>
      <c r="J892" s="106">
        <v>1000.0</v>
      </c>
      <c r="K892" s="73"/>
      <c r="L892" s="73"/>
      <c r="M892" s="73"/>
      <c r="N892" s="74"/>
    </row>
    <row r="893" ht="30.0" hidden="1" customHeight="1">
      <c r="A893" s="68">
        <v>901.0</v>
      </c>
      <c r="B893" s="68"/>
      <c r="C893" s="68"/>
      <c r="D893" s="69" t="str">
        <f>CONCATENATE(PROPER('DASMA INFO'!$G893),", ",PROPER('DASMA INFO'!$E893)," ",PROPER('DASMA INFO'!$F893),"."," (",UPPER('DASMA INFO'!$H893),")")</f>
        <v>Delacano, Camille . ()</v>
      </c>
      <c r="E893" s="70" t="s">
        <v>2115</v>
      </c>
      <c r="F893" s="70"/>
      <c r="G893" s="70" t="s">
        <v>2116</v>
      </c>
      <c r="H893" s="69"/>
      <c r="I893" s="105">
        <v>0.12</v>
      </c>
      <c r="J893" s="106">
        <v>1000.0</v>
      </c>
      <c r="K893" s="73"/>
      <c r="L893" s="73"/>
      <c r="M893" s="73"/>
      <c r="N893" s="74"/>
    </row>
    <row r="894" ht="30.0" hidden="1" customHeight="1">
      <c r="A894" s="68">
        <v>902.0</v>
      </c>
      <c r="B894" s="68"/>
      <c r="C894" s="68"/>
      <c r="D894" s="69" t="str">
        <f>CONCATENATE(PROPER('DASMA INFO'!$G894),", ",PROPER('DASMA INFO'!$E894)," ",PROPER('DASMA INFO'!$F894),"."," (",UPPER('DASMA INFO'!$H894),")")</f>
        <v>Flandez, Cham . ()</v>
      </c>
      <c r="E894" s="70" t="s">
        <v>2117</v>
      </c>
      <c r="F894" s="70"/>
      <c r="G894" s="70" t="s">
        <v>2118</v>
      </c>
      <c r="H894" s="69"/>
      <c r="I894" s="105">
        <v>0.12</v>
      </c>
      <c r="J894" s="106">
        <v>1000.0</v>
      </c>
      <c r="K894" s="73"/>
      <c r="L894" s="73"/>
      <c r="M894" s="73"/>
      <c r="N894" s="74"/>
    </row>
    <row r="895" ht="30.0" hidden="1" customHeight="1">
      <c r="A895" s="68">
        <v>903.0</v>
      </c>
      <c r="B895" s="68"/>
      <c r="C895" s="68"/>
      <c r="D895" s="69" t="str">
        <f>CONCATENATE(PROPER('DASMA INFO'!$G895),", ",PROPER('DASMA INFO'!$E895)," ",PROPER('DASMA INFO'!$F895),"."," (",UPPER('DASMA INFO'!$H895),")")</f>
        <v>Estrera, Bellane . ()</v>
      </c>
      <c r="E895" s="70" t="s">
        <v>2119</v>
      </c>
      <c r="F895" s="70"/>
      <c r="G895" s="70" t="s">
        <v>2120</v>
      </c>
      <c r="H895" s="69"/>
      <c r="I895" s="105">
        <v>0.12</v>
      </c>
      <c r="J895" s="106">
        <v>1000.0</v>
      </c>
      <c r="K895" s="73"/>
      <c r="L895" s="73"/>
      <c r="M895" s="73"/>
      <c r="N895" s="74"/>
    </row>
    <row r="896" ht="30.0" hidden="1" customHeight="1">
      <c r="A896" s="68">
        <v>904.0</v>
      </c>
      <c r="B896" s="68"/>
      <c r="C896" s="68"/>
      <c r="D896" s="69" t="str">
        <f>CONCATENATE(PROPER('DASMA INFO'!$G896),", ",PROPER('DASMA INFO'!$E896)," ",PROPER('DASMA INFO'!$F896),"."," (",UPPER('DASMA INFO'!$H896),")")</f>
        <v>Detablan, Rodrigo . ()</v>
      </c>
      <c r="E896" s="70" t="s">
        <v>788</v>
      </c>
      <c r="F896" s="70"/>
      <c r="G896" s="70" t="s">
        <v>1040</v>
      </c>
      <c r="H896" s="69"/>
      <c r="I896" s="105">
        <v>0.12</v>
      </c>
      <c r="J896" s="106">
        <v>1000.0</v>
      </c>
      <c r="K896" s="73"/>
      <c r="L896" s="73"/>
      <c r="M896" s="73"/>
      <c r="N896" s="74"/>
    </row>
    <row r="897" ht="30.0" hidden="1" customHeight="1">
      <c r="A897" s="68">
        <v>905.0</v>
      </c>
      <c r="B897" s="68"/>
      <c r="C897" s="68"/>
      <c r="D897" s="69" t="str">
        <f>CONCATENATE(PROPER('DASMA INFO'!$G897),", ",PROPER('DASMA INFO'!$E897)," ",PROPER('DASMA INFO'!$F897),"."," (",UPPER('DASMA INFO'!$H897),")")</f>
        <v>,  . ()</v>
      </c>
      <c r="E897" s="70"/>
      <c r="F897" s="70"/>
      <c r="G897" s="70"/>
      <c r="H897" s="69"/>
      <c r="I897" s="105">
        <v>0.12</v>
      </c>
      <c r="J897" s="106">
        <v>1000.0</v>
      </c>
      <c r="K897" s="73"/>
      <c r="L897" s="73"/>
      <c r="M897" s="73"/>
      <c r="N897" s="74"/>
    </row>
    <row r="898" ht="30.0" hidden="1" customHeight="1">
      <c r="A898" s="68">
        <v>906.0</v>
      </c>
      <c r="B898" s="68"/>
      <c r="C898" s="68"/>
      <c r="D898" s="69" t="str">
        <f>CONCATENATE(PROPER('DASMA INFO'!$G898),", ",PROPER('DASMA INFO'!$E898)," ",PROPER('DASMA INFO'!$F898),"."," (",UPPER('DASMA INFO'!$H898),")")</f>
        <v>Rabulam, Don . ()</v>
      </c>
      <c r="E898" s="70" t="s">
        <v>2121</v>
      </c>
      <c r="F898" s="70"/>
      <c r="G898" s="69" t="s">
        <v>2122</v>
      </c>
      <c r="H898" s="69"/>
      <c r="I898" s="105">
        <v>0.12</v>
      </c>
      <c r="J898" s="106">
        <v>1000.0</v>
      </c>
      <c r="K898" s="73"/>
      <c r="L898" s="73"/>
      <c r="M898" s="73"/>
      <c r="N898" s="74"/>
    </row>
    <row r="899" ht="30.0" hidden="1" customHeight="1">
      <c r="A899" s="68">
        <v>907.0</v>
      </c>
      <c r="B899" s="68"/>
      <c r="C899" s="68"/>
      <c r="D899" s="69" t="str">
        <f>CONCATENATE(PROPER('DASMA INFO'!$G899),", ",PROPER('DASMA INFO'!$E899)," ",PROPER('DASMA INFO'!$F899),"."," (",UPPER('DASMA INFO'!$H899),")")</f>
        <v>Fullom, Muriel . ()</v>
      </c>
      <c r="E899" s="70" t="s">
        <v>1691</v>
      </c>
      <c r="F899" s="70"/>
      <c r="G899" s="69" t="s">
        <v>2123</v>
      </c>
      <c r="H899" s="69"/>
      <c r="I899" s="105">
        <v>0.12</v>
      </c>
      <c r="J899" s="106">
        <v>1000.0</v>
      </c>
      <c r="K899" s="73"/>
      <c r="L899" s="73"/>
      <c r="M899" s="73"/>
      <c r="N899" s="74"/>
    </row>
    <row r="900" ht="30.0" hidden="1" customHeight="1">
      <c r="A900" s="68">
        <v>908.0</v>
      </c>
      <c r="B900" s="68"/>
      <c r="C900" s="68"/>
      <c r="D900" s="69" t="str">
        <f>CONCATENATE(PROPER('DASMA INFO'!$G900),", ",PROPER('DASMA INFO'!$E900)," ",PROPER('DASMA INFO'!$F900),"."," (",UPPER('DASMA INFO'!$H900),")")</f>
        <v>Medida, Nerissa E. ()</v>
      </c>
      <c r="E900" s="70" t="s">
        <v>328</v>
      </c>
      <c r="F900" s="70" t="s">
        <v>299</v>
      </c>
      <c r="G900" s="70" t="s">
        <v>2124</v>
      </c>
      <c r="H900" s="69"/>
      <c r="I900" s="92">
        <v>0.05</v>
      </c>
      <c r="J900" s="93">
        <v>1000.0</v>
      </c>
      <c r="K900" s="73" t="s">
        <v>2125</v>
      </c>
      <c r="L900" s="73"/>
      <c r="M900" s="73"/>
      <c r="N900" s="74"/>
    </row>
    <row r="901" ht="30.0" hidden="1" customHeight="1">
      <c r="A901" s="68">
        <v>909.0</v>
      </c>
      <c r="B901" s="68"/>
      <c r="C901" s="68"/>
      <c r="D901" s="69" t="str">
        <f>CONCATENATE(PROPER('DASMA INFO'!$G901),", ",PROPER('DASMA INFO'!$E901)," ",PROPER('DASMA INFO'!$F901),"."," (",UPPER('DASMA INFO'!$H901),")")</f>
        <v>,  . ()</v>
      </c>
      <c r="E901" s="70"/>
      <c r="F901" s="70"/>
      <c r="G901" s="70"/>
      <c r="H901" s="69"/>
      <c r="I901" s="105">
        <v>0.12</v>
      </c>
      <c r="J901" s="106">
        <v>1000.0</v>
      </c>
      <c r="K901" s="73"/>
      <c r="L901" s="73"/>
      <c r="M901" s="73"/>
      <c r="N901" s="74"/>
    </row>
    <row r="902" ht="30.0" hidden="1" customHeight="1">
      <c r="A902" s="68">
        <v>910.0</v>
      </c>
      <c r="B902" s="68"/>
      <c r="C902" s="68"/>
      <c r="D902" s="69" t="str">
        <f>CONCATENATE(PROPER('DASMA INFO'!$G902),", ",PROPER('DASMA INFO'!$E902)," ",PROPER('DASMA INFO'!$F902),"."," (",UPPER('DASMA INFO'!$H902),")")</f>
        <v>,  . ()</v>
      </c>
      <c r="E902" s="70"/>
      <c r="F902" s="70"/>
      <c r="G902" s="70"/>
      <c r="H902" s="69"/>
      <c r="I902" s="105">
        <v>0.12</v>
      </c>
      <c r="J902" s="106">
        <v>1000.0</v>
      </c>
      <c r="K902" s="73"/>
      <c r="L902" s="73"/>
      <c r="M902" s="73"/>
      <c r="N902" s="74"/>
    </row>
    <row r="903" ht="30.0" hidden="1" customHeight="1">
      <c r="A903" s="68">
        <v>911.0</v>
      </c>
      <c r="B903" s="68"/>
      <c r="C903" s="68"/>
      <c r="D903" s="69" t="str">
        <f>CONCATENATE(PROPER('DASMA INFO'!$G903),", ",PROPER('DASMA INFO'!$E903)," ",PROPER('DASMA INFO'!$F903),"."," (",UPPER('DASMA INFO'!$H903),")")</f>
        <v>Ong, Eve . ()</v>
      </c>
      <c r="E903" s="70" t="s">
        <v>2126</v>
      </c>
      <c r="F903" s="70"/>
      <c r="G903" s="69" t="s">
        <v>192</v>
      </c>
      <c r="H903" s="69"/>
      <c r="I903" s="105">
        <v>0.12</v>
      </c>
      <c r="J903" s="106">
        <v>1000.0</v>
      </c>
      <c r="K903" s="73"/>
      <c r="L903" s="73"/>
      <c r="M903" s="73"/>
      <c r="N903" s="74"/>
    </row>
    <row r="904" ht="30.0" hidden="1" customHeight="1">
      <c r="A904" s="68">
        <v>912.0</v>
      </c>
      <c r="B904" s="68"/>
      <c r="C904" s="68"/>
      <c r="D904" s="69" t="str">
        <f>CONCATENATE(PROPER('DASMA INFO'!$G904),", ",PROPER('DASMA INFO'!$E904)," ",PROPER('DASMA INFO'!$F904),"."," (",UPPER('DASMA INFO'!$H904),")")</f>
        <v>Ong, Julievic . ()</v>
      </c>
      <c r="E904" s="70" t="s">
        <v>2127</v>
      </c>
      <c r="F904" s="70"/>
      <c r="G904" s="69" t="s">
        <v>192</v>
      </c>
      <c r="H904" s="69"/>
      <c r="I904" s="105">
        <v>0.12</v>
      </c>
      <c r="J904" s="106">
        <v>1000.0</v>
      </c>
      <c r="K904" s="73"/>
      <c r="L904" s="73"/>
      <c r="M904" s="73"/>
      <c r="N904" s="74"/>
    </row>
    <row r="905" ht="30.0" hidden="1" customHeight="1">
      <c r="A905" s="68">
        <v>913.0</v>
      </c>
      <c r="B905" s="68"/>
      <c r="C905" s="68"/>
      <c r="D905" s="69" t="str">
        <f>CONCATENATE(PROPER('DASMA INFO'!$G905),", ",PROPER('DASMA INFO'!$E905)," ",PROPER('DASMA INFO'!$F905),"."," (",UPPER('DASMA INFO'!$H905),")")</f>
        <v>Reyes, Digna A. ()</v>
      </c>
      <c r="E905" s="70" t="s">
        <v>2128</v>
      </c>
      <c r="F905" s="70" t="s">
        <v>427</v>
      </c>
      <c r="G905" s="69" t="s">
        <v>122</v>
      </c>
      <c r="H905" s="69"/>
      <c r="I905" s="105">
        <v>0.12</v>
      </c>
      <c r="J905" s="106">
        <v>1000.0</v>
      </c>
      <c r="K905" s="73"/>
      <c r="L905" s="73"/>
      <c r="M905" s="73"/>
      <c r="N905" s="74"/>
    </row>
    <row r="906" ht="30.0" hidden="1" customHeight="1">
      <c r="A906" s="68">
        <v>914.0</v>
      </c>
      <c r="B906" s="68"/>
      <c r="C906" s="68"/>
      <c r="D906" s="69" t="str">
        <f>CONCATENATE(PROPER('DASMA INFO'!$G906),", ",PROPER('DASMA INFO'!$E906)," ",PROPER('DASMA INFO'!$F906),"."," (",UPPER('DASMA INFO'!$H906),")")</f>
        <v>Esguerra, Mercedita R. ()</v>
      </c>
      <c r="E906" s="70" t="s">
        <v>2129</v>
      </c>
      <c r="F906" s="70" t="s">
        <v>260</v>
      </c>
      <c r="G906" s="69" t="s">
        <v>1870</v>
      </c>
      <c r="H906" s="69"/>
      <c r="I906" s="105">
        <v>0.12</v>
      </c>
      <c r="J906" s="106">
        <v>1000.0</v>
      </c>
      <c r="K906" s="73"/>
      <c r="L906" s="73"/>
      <c r="M906" s="73"/>
      <c r="N906" s="74"/>
    </row>
    <row r="907" ht="30.0" hidden="1" customHeight="1">
      <c r="A907" s="68">
        <v>915.0</v>
      </c>
      <c r="B907" s="68"/>
      <c r="C907" s="68"/>
      <c r="D907" s="69" t="str">
        <f>CONCATENATE(PROPER('DASMA INFO'!$G907),", ",PROPER('DASMA INFO'!$E907)," ",PROPER('DASMA INFO'!$F907),"."," (",UPPER('DASMA INFO'!$H907),")")</f>
        <v>Galangco, Milagros O. ()</v>
      </c>
      <c r="E907" s="70" t="s">
        <v>1381</v>
      </c>
      <c r="F907" s="70" t="s">
        <v>634</v>
      </c>
      <c r="G907" s="69" t="s">
        <v>2130</v>
      </c>
      <c r="H907" s="69"/>
      <c r="I907" s="105">
        <v>0.12</v>
      </c>
      <c r="J907" s="106">
        <v>1000.0</v>
      </c>
      <c r="K907" s="73"/>
      <c r="L907" s="73"/>
      <c r="M907" s="73"/>
      <c r="N907" s="74"/>
    </row>
    <row r="908" ht="30.0" hidden="1" customHeight="1">
      <c r="A908" s="68">
        <v>916.0</v>
      </c>
      <c r="B908" s="68"/>
      <c r="C908" s="68"/>
      <c r="D908" s="69" t="str">
        <f>CONCATENATE(PROPER('DASMA INFO'!$G908),", ",PROPER('DASMA INFO'!$E908)," ",PROPER('DASMA INFO'!$F908),"."," (",UPPER('DASMA INFO'!$H908),")")</f>
        <v>Lacoste, Maria C. ()</v>
      </c>
      <c r="E908" s="70" t="s">
        <v>640</v>
      </c>
      <c r="F908" s="70" t="s">
        <v>318</v>
      </c>
      <c r="G908" s="69" t="s">
        <v>2131</v>
      </c>
      <c r="H908" s="69"/>
      <c r="I908" s="105">
        <v>0.12</v>
      </c>
      <c r="J908" s="106">
        <v>1000.0</v>
      </c>
      <c r="K908" s="73"/>
      <c r="L908" s="73"/>
      <c r="M908" s="73"/>
      <c r="N908" s="74"/>
    </row>
    <row r="909" ht="30.0" hidden="1" customHeight="1">
      <c r="A909" s="68">
        <v>917.0</v>
      </c>
      <c r="B909" s="68"/>
      <c r="C909" s="68"/>
      <c r="D909" s="69" t="str">
        <f>CONCATENATE(PROPER('DASMA INFO'!$G909),", ",PROPER('DASMA INFO'!$E909)," ",PROPER('DASMA INFO'!$F909),"."," (",UPPER('DASMA INFO'!$H909),")")</f>
        <v>De Leon, Marry Joy G. ()</v>
      </c>
      <c r="E909" s="70" t="s">
        <v>2132</v>
      </c>
      <c r="F909" s="70" t="s">
        <v>1032</v>
      </c>
      <c r="G909" s="69" t="s">
        <v>1136</v>
      </c>
      <c r="H909" s="69"/>
      <c r="I909" s="105">
        <v>0.12</v>
      </c>
      <c r="J909" s="106">
        <v>1000.0</v>
      </c>
      <c r="K909" s="73"/>
      <c r="L909" s="73"/>
      <c r="M909" s="73"/>
      <c r="N909" s="74"/>
    </row>
    <row r="910" ht="30.0" hidden="1" customHeight="1">
      <c r="A910" s="68">
        <v>918.0</v>
      </c>
      <c r="B910" s="68"/>
      <c r="C910" s="68"/>
      <c r="D910" s="69" t="str">
        <f>CONCATENATE(PROPER('DASMA INFO'!$G910),", ",PROPER('DASMA INFO'!$E910)," ",PROPER('DASMA INFO'!$F910),"."," (",UPPER('DASMA INFO'!$H910),")")</f>
        <v>Villanueva, Dennis P. ()</v>
      </c>
      <c r="E910" s="70" t="s">
        <v>497</v>
      </c>
      <c r="F910" s="70" t="s">
        <v>513</v>
      </c>
      <c r="G910" s="69" t="s">
        <v>454</v>
      </c>
      <c r="H910" s="69"/>
      <c r="I910" s="105">
        <v>0.12</v>
      </c>
      <c r="J910" s="106">
        <v>1000.0</v>
      </c>
      <c r="K910" s="73"/>
      <c r="L910" s="73"/>
      <c r="M910" s="73"/>
      <c r="N910" s="74"/>
    </row>
    <row r="911" ht="30.0" hidden="1" customHeight="1">
      <c r="A911" s="68">
        <v>919.0</v>
      </c>
      <c r="B911" s="68"/>
      <c r="C911" s="68"/>
      <c r="D911" s="69" t="str">
        <f>CONCATENATE(PROPER('DASMA INFO'!$G911),", ",PROPER('DASMA INFO'!$E911)," ",PROPER('DASMA INFO'!$F911),"."," (",UPPER('DASMA INFO'!$H911),")")</f>
        <v>Camance, Lamberto M. ()</v>
      </c>
      <c r="E911" s="70" t="s">
        <v>2133</v>
      </c>
      <c r="F911" s="70" t="s">
        <v>587</v>
      </c>
      <c r="G911" s="69" t="s">
        <v>2134</v>
      </c>
      <c r="H911" s="69"/>
      <c r="I911" s="105">
        <v>0.12</v>
      </c>
      <c r="J911" s="106">
        <v>1000.0</v>
      </c>
      <c r="K911" s="73"/>
      <c r="L911" s="73"/>
      <c r="M911" s="73"/>
      <c r="N911" s="74"/>
    </row>
    <row r="912" ht="30.0" hidden="1" customHeight="1">
      <c r="A912" s="68">
        <v>920.0</v>
      </c>
      <c r="B912" s="68"/>
      <c r="C912" s="68"/>
      <c r="D912" s="69" t="str">
        <f>CONCATENATE(PROPER('DASMA INFO'!$G912),", ",PROPER('DASMA INFO'!$E912)," ",PROPER('DASMA INFO'!$F912),"."," (",UPPER('DASMA INFO'!$H912),")")</f>
        <v>Duaran, Darwin E. ()</v>
      </c>
      <c r="E912" s="70" t="s">
        <v>2135</v>
      </c>
      <c r="F912" s="70" t="s">
        <v>299</v>
      </c>
      <c r="G912" s="69" t="s">
        <v>2136</v>
      </c>
      <c r="H912" s="69"/>
      <c r="I912" s="105">
        <v>0.12</v>
      </c>
      <c r="J912" s="106">
        <v>1000.0</v>
      </c>
      <c r="K912" s="73"/>
      <c r="L912" s="73"/>
      <c r="M912" s="73"/>
      <c r="N912" s="74"/>
    </row>
    <row r="913" ht="30.0" hidden="1" customHeight="1">
      <c r="A913" s="68">
        <v>921.0</v>
      </c>
      <c r="B913" s="68"/>
      <c r="C913" s="68"/>
      <c r="D913" s="69" t="str">
        <f>CONCATENATE(PROPER('DASMA INFO'!$G913),", ",PROPER('DASMA INFO'!$E913)," ",PROPER('DASMA INFO'!$F913),"."," (",UPPER('DASMA INFO'!$H913),")")</f>
        <v>Bustamante, Perlita V. ()</v>
      </c>
      <c r="E913" s="70" t="s">
        <v>804</v>
      </c>
      <c r="F913" s="70" t="s">
        <v>620</v>
      </c>
      <c r="G913" s="69" t="s">
        <v>936</v>
      </c>
      <c r="H913" s="69"/>
      <c r="I913" s="105">
        <v>0.12</v>
      </c>
      <c r="J913" s="106">
        <v>1000.0</v>
      </c>
      <c r="K913" s="73"/>
      <c r="L913" s="73"/>
      <c r="M913" s="73"/>
      <c r="N913" s="74"/>
    </row>
    <row r="914" ht="30.0" hidden="1" customHeight="1">
      <c r="A914" s="68">
        <v>922.0</v>
      </c>
      <c r="B914" s="68"/>
      <c r="C914" s="68"/>
      <c r="D914" s="69" t="str">
        <f>CONCATENATE(PROPER('DASMA INFO'!$G914),", ",PROPER('DASMA INFO'!$E914)," ",PROPER('DASMA INFO'!$F914),"."," (",UPPER('DASMA INFO'!$H914),")")</f>
        <v>,  . ()</v>
      </c>
      <c r="E914" s="70"/>
      <c r="F914" s="70"/>
      <c r="G914" s="69"/>
      <c r="H914" s="69"/>
      <c r="I914" s="105">
        <v>0.12</v>
      </c>
      <c r="J914" s="106">
        <v>1000.0</v>
      </c>
      <c r="K914" s="73"/>
      <c r="L914" s="73"/>
      <c r="M914" s="73"/>
      <c r="N914" s="74"/>
    </row>
    <row r="915" ht="30.0" hidden="1" customHeight="1">
      <c r="A915" s="68">
        <v>923.0</v>
      </c>
      <c r="B915" s="68"/>
      <c r="C915" s="68"/>
      <c r="D915" s="69" t="str">
        <f>CONCATENATE(PROPER('DASMA INFO'!$G915),", ",PROPER('DASMA INFO'!$E915)," ",PROPER('DASMA INFO'!$F915),"."," (",UPPER('DASMA INFO'!$H915),")")</f>
        <v>,  . ()</v>
      </c>
      <c r="E915" s="70"/>
      <c r="F915" s="70"/>
      <c r="G915" s="69"/>
      <c r="H915" s="69"/>
      <c r="I915" s="105">
        <v>0.12</v>
      </c>
      <c r="J915" s="106">
        <v>1000.0</v>
      </c>
      <c r="K915" s="73"/>
      <c r="L915" s="73"/>
      <c r="M915" s="73"/>
      <c r="N915" s="74"/>
    </row>
    <row r="916" ht="30.0" hidden="1" customHeight="1">
      <c r="A916" s="68">
        <v>924.0</v>
      </c>
      <c r="B916" s="68"/>
      <c r="C916" s="68"/>
      <c r="D916" s="69" t="str">
        <f>CONCATENATE(PROPER('DASMA INFO'!$G916),", ",PROPER('DASMA INFO'!$E916)," ",PROPER('DASMA INFO'!$F916),"."," (",UPPER('DASMA INFO'!$H916),")")</f>
        <v>Presto, Mark Lloyd . ()</v>
      </c>
      <c r="E916" s="70" t="s">
        <v>1001</v>
      </c>
      <c r="F916" s="70"/>
      <c r="G916" s="69" t="s">
        <v>1002</v>
      </c>
      <c r="H916" s="69"/>
      <c r="I916" s="105">
        <v>0.12</v>
      </c>
      <c r="J916" s="106">
        <v>1000.0</v>
      </c>
      <c r="K916" s="73"/>
      <c r="L916" s="73"/>
      <c r="M916" s="73"/>
      <c r="N916" s="74"/>
    </row>
    <row r="917" ht="30.0" hidden="1" customHeight="1">
      <c r="A917" s="68">
        <v>925.0</v>
      </c>
      <c r="B917" s="68"/>
      <c r="C917" s="68"/>
      <c r="D917" s="69" t="str">
        <f>CONCATENATE(PROPER('DASMA INFO'!$G917),", ",PROPER('DASMA INFO'!$E917)," ",PROPER('DASMA INFO'!$F917),"."," (",UPPER('DASMA INFO'!$H917),")")</f>
        <v>Serrando, Erick R. ()</v>
      </c>
      <c r="E917" s="70" t="s">
        <v>1557</v>
      </c>
      <c r="F917" s="70" t="s">
        <v>260</v>
      </c>
      <c r="G917" s="69" t="s">
        <v>2137</v>
      </c>
      <c r="H917" s="69"/>
      <c r="I917" s="105">
        <v>0.12</v>
      </c>
      <c r="J917" s="106">
        <v>1000.0</v>
      </c>
      <c r="K917" s="73"/>
      <c r="L917" s="73"/>
      <c r="M917" s="73"/>
      <c r="N917" s="74"/>
    </row>
    <row r="918" ht="30.0" hidden="1" customHeight="1">
      <c r="A918" s="68">
        <v>926.0</v>
      </c>
      <c r="B918" s="68"/>
      <c r="C918" s="68"/>
      <c r="D918" s="69" t="str">
        <f>CONCATENATE(PROPER('DASMA INFO'!$G918),", ",PROPER('DASMA INFO'!$E918)," ",PROPER('DASMA INFO'!$F918),"."," (",UPPER('DASMA INFO'!$H918),")")</f>
        <v>Lopez, Lydia . ()</v>
      </c>
      <c r="E918" s="70" t="s">
        <v>2138</v>
      </c>
      <c r="F918" s="70"/>
      <c r="G918" s="69" t="s">
        <v>316</v>
      </c>
      <c r="H918" s="69"/>
      <c r="I918" s="105">
        <v>0.12</v>
      </c>
      <c r="J918" s="106">
        <v>1000.0</v>
      </c>
      <c r="K918" s="73"/>
      <c r="L918" s="73"/>
      <c r="M918" s="73"/>
      <c r="N918" s="74"/>
    </row>
    <row r="919" ht="30.0" hidden="1" customHeight="1">
      <c r="A919" s="68">
        <v>927.0</v>
      </c>
      <c r="B919" s="68"/>
      <c r="C919" s="68"/>
      <c r="D919" s="69" t="str">
        <f>CONCATENATE(PROPER('DASMA INFO'!$G919),", ",PROPER('DASMA INFO'!$E919)," ",PROPER('DASMA INFO'!$F919),"."," (",UPPER('DASMA INFO'!$H919),")")</f>
        <v>Fandino, Eduardo W. ()</v>
      </c>
      <c r="E919" s="70" t="s">
        <v>1007</v>
      </c>
      <c r="F919" s="70" t="s">
        <v>2139</v>
      </c>
      <c r="G919" s="69" t="s">
        <v>2140</v>
      </c>
      <c r="H919" s="69"/>
      <c r="I919" s="105">
        <v>0.12</v>
      </c>
      <c r="J919" s="106">
        <v>1000.0</v>
      </c>
      <c r="K919" s="73"/>
      <c r="L919" s="73"/>
      <c r="M919" s="73"/>
      <c r="N919" s="74"/>
    </row>
    <row r="920" ht="30.0" hidden="1" customHeight="1">
      <c r="A920" s="68">
        <v>928.0</v>
      </c>
      <c r="B920" s="68"/>
      <c r="C920" s="68"/>
      <c r="D920" s="69" t="str">
        <f>CONCATENATE(PROPER('DASMA INFO'!$G920),", ",PROPER('DASMA INFO'!$E920)," ",PROPER('DASMA INFO'!$F920),"."," (",UPPER('DASMA INFO'!$H920),")")</f>
        <v>Gatchalian, Christopher . ()</v>
      </c>
      <c r="E920" s="70" t="s">
        <v>1101</v>
      </c>
      <c r="F920" s="70"/>
      <c r="G920" s="69" t="s">
        <v>2141</v>
      </c>
      <c r="H920" s="69"/>
      <c r="I920" s="105">
        <v>0.12</v>
      </c>
      <c r="J920" s="106">
        <v>1000.0</v>
      </c>
      <c r="K920" s="73"/>
      <c r="L920" s="73"/>
      <c r="M920" s="73"/>
      <c r="N920" s="74"/>
    </row>
    <row r="921" ht="30.0" hidden="1" customHeight="1">
      <c r="A921" s="68">
        <v>929.0</v>
      </c>
      <c r="B921" s="68"/>
      <c r="C921" s="68"/>
      <c r="D921" s="69" t="str">
        <f>CONCATENATE(PROPER('DASMA INFO'!$G921),", ",PROPER('DASMA INFO'!$E921)," ",PROPER('DASMA INFO'!$F921),"."," (",UPPER('DASMA INFO'!$H921),")")</f>
        <v>Camus, Israel L. ()</v>
      </c>
      <c r="E921" s="70" t="s">
        <v>2142</v>
      </c>
      <c r="F921" s="70" t="s">
        <v>648</v>
      </c>
      <c r="G921" s="69" t="s">
        <v>2143</v>
      </c>
      <c r="H921" s="69"/>
      <c r="I921" s="105">
        <v>0.12</v>
      </c>
      <c r="J921" s="106">
        <v>1000.0</v>
      </c>
      <c r="K921" s="73"/>
      <c r="L921" s="73"/>
      <c r="M921" s="73"/>
      <c r="N921" s="74"/>
    </row>
    <row r="922" ht="30.0" hidden="1" customHeight="1">
      <c r="A922" s="68">
        <v>930.0</v>
      </c>
      <c r="B922" s="68"/>
      <c r="C922" s="68"/>
      <c r="D922" s="69" t="str">
        <f>CONCATENATE(PROPER('DASMA INFO'!$G922),", ",PROPER('DASMA INFO'!$E922)," ",PROPER('DASMA INFO'!$F922),"."," (",UPPER('DASMA INFO'!$H922),")")</f>
        <v>Saddul, Veronica . ()</v>
      </c>
      <c r="E922" s="70" t="s">
        <v>1181</v>
      </c>
      <c r="F922" s="70"/>
      <c r="G922" s="69" t="s">
        <v>2144</v>
      </c>
      <c r="H922" s="69"/>
      <c r="I922" s="105">
        <v>0.12</v>
      </c>
      <c r="J922" s="106">
        <v>1000.0</v>
      </c>
      <c r="K922" s="73"/>
      <c r="L922" s="73"/>
      <c r="M922" s="73"/>
      <c r="N922" s="74"/>
    </row>
    <row r="923" ht="30.0" hidden="1" customHeight="1">
      <c r="A923" s="68">
        <v>931.0</v>
      </c>
      <c r="B923" s="68"/>
      <c r="C923" s="68"/>
      <c r="D923" s="69" t="str">
        <f>CONCATENATE(PROPER('DASMA INFO'!$G923),", ",PROPER('DASMA INFO'!$E923)," ",PROPER('DASMA INFO'!$F923),"."," (",UPPER('DASMA INFO'!$H923),")")</f>
        <v>Gilmore, Dorothy G. ()</v>
      </c>
      <c r="E923" s="70" t="s">
        <v>2145</v>
      </c>
      <c r="F923" s="70" t="s">
        <v>1032</v>
      </c>
      <c r="G923" s="69" t="s">
        <v>2146</v>
      </c>
      <c r="H923" s="69"/>
      <c r="I923" s="105">
        <v>0.12</v>
      </c>
      <c r="J923" s="106">
        <v>1000.0</v>
      </c>
      <c r="K923" s="73"/>
      <c r="L923" s="73"/>
      <c r="M923" s="73"/>
      <c r="N923" s="74"/>
    </row>
    <row r="924" ht="30.0" hidden="1" customHeight="1">
      <c r="A924" s="68">
        <v>932.0</v>
      </c>
      <c r="B924" s="68"/>
      <c r="C924" s="68"/>
      <c r="D924" s="69" t="str">
        <f>CONCATENATE(PROPER('DASMA INFO'!$G924),", ",PROPER('DASMA INFO'!$E924)," ",PROPER('DASMA INFO'!$F924),"."," (",UPPER('DASMA INFO'!$H924),")")</f>
        <v>Lontoc, Adoracion . ()</v>
      </c>
      <c r="E924" s="70" t="s">
        <v>2147</v>
      </c>
      <c r="F924" s="70"/>
      <c r="G924" s="69" t="s">
        <v>2148</v>
      </c>
      <c r="H924" s="69"/>
      <c r="I924" s="92">
        <v>0.05</v>
      </c>
      <c r="J924" s="93">
        <v>1000.0</v>
      </c>
      <c r="K924" s="73" t="s">
        <v>50</v>
      </c>
      <c r="L924" s="73"/>
      <c r="M924" s="73"/>
      <c r="N924" s="74"/>
    </row>
    <row r="925" ht="30.0" hidden="1" customHeight="1">
      <c r="A925" s="68">
        <v>933.0</v>
      </c>
      <c r="B925" s="68"/>
      <c r="C925" s="68"/>
      <c r="D925" s="69" t="str">
        <f>CONCATENATE(PROPER('DASMA INFO'!$G925),", ",PROPER('DASMA INFO'!$E925)," ",PROPER('DASMA INFO'!$F925),"."," (",UPPER('DASMA INFO'!$H925),")")</f>
        <v>Malabag, Conrado Q. ()</v>
      </c>
      <c r="E925" s="70" t="s">
        <v>911</v>
      </c>
      <c r="F925" s="70" t="s">
        <v>545</v>
      </c>
      <c r="G925" s="69" t="s">
        <v>2149</v>
      </c>
      <c r="H925" s="69"/>
      <c r="I925" s="105">
        <v>0.12</v>
      </c>
      <c r="J925" s="106">
        <v>1000.0</v>
      </c>
      <c r="K925" s="73"/>
      <c r="L925" s="73"/>
      <c r="M925" s="73"/>
      <c r="N925" s="74"/>
    </row>
    <row r="926" ht="30.0" hidden="1" customHeight="1">
      <c r="A926" s="68">
        <v>934.0</v>
      </c>
      <c r="B926" s="68"/>
      <c r="C926" s="68"/>
      <c r="D926" s="69" t="str">
        <f>CONCATENATE(PROPER('DASMA INFO'!$G926),", ",PROPER('DASMA INFO'!$E926)," ",PROPER('DASMA INFO'!$F926),"."," (",UPPER('DASMA INFO'!$H926),")")</f>
        <v>Lawas, Carmela Anne L. ()</v>
      </c>
      <c r="E926" s="70" t="s">
        <v>2150</v>
      </c>
      <c r="F926" s="70" t="s">
        <v>648</v>
      </c>
      <c r="G926" s="70" t="s">
        <v>2151</v>
      </c>
      <c r="H926" s="70"/>
      <c r="I926" s="92">
        <v>0.05</v>
      </c>
      <c r="J926" s="93">
        <v>1000.0</v>
      </c>
      <c r="K926" s="73" t="s">
        <v>2152</v>
      </c>
      <c r="L926" s="73"/>
      <c r="M926" s="73"/>
      <c r="N926" s="74"/>
    </row>
    <row r="927" ht="30.0" hidden="1" customHeight="1">
      <c r="A927" s="68">
        <v>935.0</v>
      </c>
      <c r="B927" s="68"/>
      <c r="C927" s="68"/>
      <c r="D927" s="69" t="str">
        <f>CONCATENATE(PROPER('DASMA INFO'!$G927),", ",PROPER('DASMA INFO'!$E927)," ",PROPER('DASMA INFO'!$F927),"."," (",UPPER('DASMA INFO'!$H927),")")</f>
        <v>Guevarra, Jayson L. ()</v>
      </c>
      <c r="E927" s="70" t="s">
        <v>2153</v>
      </c>
      <c r="F927" s="70" t="s">
        <v>648</v>
      </c>
      <c r="G927" s="70" t="s">
        <v>1321</v>
      </c>
      <c r="H927" s="70"/>
      <c r="I927" s="105">
        <v>0.12</v>
      </c>
      <c r="J927" s="106">
        <v>1000.0</v>
      </c>
      <c r="K927" s="73"/>
      <c r="L927" s="73"/>
      <c r="M927" s="73"/>
      <c r="N927" s="74"/>
    </row>
    <row r="928" ht="30.0" hidden="1" customHeight="1">
      <c r="A928" s="68">
        <v>936.0</v>
      </c>
      <c r="B928" s="68"/>
      <c r="C928" s="68"/>
      <c r="D928" s="69" t="str">
        <f>CONCATENATE(PROPER('DASMA INFO'!$G928),", ",PROPER('DASMA INFO'!$E928)," ",PROPER('DASMA INFO'!$F928),"."," (",UPPER('DASMA INFO'!$H928),")")</f>
        <v>Dariano, Magnolia G. ()</v>
      </c>
      <c r="E928" s="70" t="s">
        <v>2154</v>
      </c>
      <c r="F928" s="70" t="s">
        <v>1032</v>
      </c>
      <c r="G928" s="70" t="s">
        <v>2098</v>
      </c>
      <c r="H928" s="70"/>
      <c r="I928" s="105">
        <v>0.12</v>
      </c>
      <c r="J928" s="106">
        <v>1000.0</v>
      </c>
      <c r="K928" s="73"/>
      <c r="L928" s="73"/>
      <c r="M928" s="73"/>
      <c r="N928" s="74"/>
    </row>
    <row r="929" ht="30.0" hidden="1" customHeight="1">
      <c r="A929" s="68">
        <v>937.0</v>
      </c>
      <c r="B929" s="68"/>
      <c r="C929" s="68"/>
      <c r="D929" s="69" t="str">
        <f>CONCATENATE(PROPER('DASMA INFO'!$G929),", ",PROPER('DASMA INFO'!$E929)," ",PROPER('DASMA INFO'!$F929),"."," (",UPPER('DASMA INFO'!$H929),")")</f>
        <v>Zantura, Marilou V. ()</v>
      </c>
      <c r="E929" s="70" t="s">
        <v>538</v>
      </c>
      <c r="F929" s="70" t="s">
        <v>620</v>
      </c>
      <c r="G929" s="70" t="s">
        <v>2155</v>
      </c>
      <c r="H929" s="70"/>
      <c r="I929" s="105">
        <v>0.12</v>
      </c>
      <c r="J929" s="106">
        <v>1000.0</v>
      </c>
      <c r="K929" s="73"/>
      <c r="L929" s="73"/>
      <c r="M929" s="73"/>
      <c r="N929" s="74"/>
    </row>
    <row r="930" ht="30.0" hidden="1" customHeight="1">
      <c r="A930" s="68">
        <v>938.0</v>
      </c>
      <c r="B930" s="68"/>
      <c r="C930" s="68"/>
      <c r="D930" s="69" t="str">
        <f>CONCATENATE(PROPER('DASMA INFO'!$G930),", ",PROPER('DASMA INFO'!$E930)," ",PROPER('DASMA INFO'!$F930),"."," (",UPPER('DASMA INFO'!$H930),")")</f>
        <v>,  . ()</v>
      </c>
      <c r="E930" s="70"/>
      <c r="F930" s="70"/>
      <c r="G930" s="70"/>
      <c r="H930" s="70"/>
      <c r="I930" s="105">
        <v>0.12</v>
      </c>
      <c r="J930" s="106">
        <v>1000.0</v>
      </c>
      <c r="K930" s="73"/>
      <c r="L930" s="73"/>
      <c r="M930" s="73"/>
      <c r="N930" s="74"/>
    </row>
    <row r="931" ht="30.0" hidden="1" customHeight="1">
      <c r="A931" s="68">
        <v>939.0</v>
      </c>
      <c r="B931" s="68"/>
      <c r="C931" s="68"/>
      <c r="D931" s="69" t="str">
        <f>CONCATENATE(PROPER('DASMA INFO'!$G931),", ",PROPER('DASMA INFO'!$E931)," ",PROPER('DASMA INFO'!$F931),"."," (",UPPER('DASMA INFO'!$H931),")")</f>
        <v>,  . ()</v>
      </c>
      <c r="E931" s="70"/>
      <c r="F931" s="70"/>
      <c r="G931" s="70"/>
      <c r="H931" s="70"/>
      <c r="I931" s="105">
        <v>0.12</v>
      </c>
      <c r="J931" s="106">
        <v>1000.0</v>
      </c>
      <c r="K931" s="73"/>
      <c r="L931" s="73"/>
      <c r="M931" s="73"/>
      <c r="N931" s="74"/>
    </row>
    <row r="932" ht="30.0" hidden="1" customHeight="1">
      <c r="A932" s="68">
        <v>940.0</v>
      </c>
      <c r="B932" s="68"/>
      <c r="C932" s="68"/>
      <c r="D932" s="69" t="str">
        <f>CONCATENATE(PROPER('DASMA INFO'!$G932),", ",PROPER('DASMA INFO'!$E932)," ",PROPER('DASMA INFO'!$F932),"."," (",UPPER('DASMA INFO'!$H932),")")</f>
        <v>,  . ()</v>
      </c>
      <c r="E932" s="70"/>
      <c r="F932" s="70"/>
      <c r="G932" s="70"/>
      <c r="H932" s="70"/>
      <c r="I932" s="105">
        <v>0.12</v>
      </c>
      <c r="J932" s="106">
        <v>1000.0</v>
      </c>
      <c r="K932" s="73"/>
      <c r="L932" s="73"/>
      <c r="M932" s="73"/>
      <c r="N932" s="74"/>
    </row>
    <row r="933" ht="30.0" hidden="1" customHeight="1">
      <c r="A933" s="68">
        <v>941.0</v>
      </c>
      <c r="B933" s="68"/>
      <c r="C933" s="68"/>
      <c r="D933" s="69" t="str">
        <f>CONCATENATE(PROPER('DASMA INFO'!$G933),", ",PROPER('DASMA INFO'!$E933)," ",PROPER('DASMA INFO'!$F933),"."," (",UPPER('DASMA INFO'!$H933),")")</f>
        <v>,  . ()</v>
      </c>
      <c r="E933" s="70"/>
      <c r="F933" s="70"/>
      <c r="G933" s="70"/>
      <c r="H933" s="70"/>
      <c r="I933" s="105">
        <v>0.12</v>
      </c>
      <c r="J933" s="106">
        <v>1000.0</v>
      </c>
      <c r="K933" s="73"/>
      <c r="L933" s="73"/>
      <c r="M933" s="73"/>
      <c r="N933" s="74"/>
    </row>
    <row r="934" ht="30.0" hidden="1" customHeight="1">
      <c r="A934" s="68">
        <v>942.0</v>
      </c>
      <c r="B934" s="68"/>
      <c r="C934" s="68"/>
      <c r="D934" s="69" t="str">
        <f>CONCATENATE(PROPER('DASMA INFO'!$G934),", ",PROPER('DASMA INFO'!$E934)," ",PROPER('DASMA INFO'!$F934),"."," (",UPPER('DASMA INFO'!$H934),")")</f>
        <v>,  . ()</v>
      </c>
      <c r="E934" s="70"/>
      <c r="F934" s="70"/>
      <c r="G934" s="70"/>
      <c r="H934" s="70"/>
      <c r="I934" s="105">
        <v>0.12</v>
      </c>
      <c r="J934" s="106">
        <v>1000.0</v>
      </c>
      <c r="K934" s="73"/>
      <c r="L934" s="73"/>
      <c r="M934" s="73"/>
      <c r="N934" s="74"/>
    </row>
    <row r="935" ht="30.0" hidden="1" customHeight="1">
      <c r="A935" s="68">
        <v>943.0</v>
      </c>
      <c r="B935" s="68"/>
      <c r="C935" s="68"/>
      <c r="D935" s="69" t="str">
        <f>CONCATENATE(PROPER('DASMA INFO'!$G935),", ",PROPER('DASMA INFO'!$E935)," ",PROPER('DASMA INFO'!$F935),"."," (",UPPER('DASMA INFO'!$H935),")")</f>
        <v>,  . ()</v>
      </c>
      <c r="E935" s="70"/>
      <c r="F935" s="70"/>
      <c r="G935" s="70"/>
      <c r="H935" s="70"/>
      <c r="I935" s="105">
        <v>0.12</v>
      </c>
      <c r="J935" s="106">
        <v>1000.0</v>
      </c>
      <c r="K935" s="73"/>
      <c r="L935" s="73"/>
      <c r="M935" s="73"/>
      <c r="N935" s="74"/>
    </row>
    <row r="936" ht="30.0" hidden="1" customHeight="1">
      <c r="A936" s="68">
        <v>944.0</v>
      </c>
      <c r="B936" s="68"/>
      <c r="C936" s="68"/>
      <c r="D936" s="69" t="str">
        <f>CONCATENATE(PROPER('DASMA INFO'!$G936),", ",PROPER('DASMA INFO'!$E936)," ",PROPER('DASMA INFO'!$F936),"."," (",UPPER('DASMA INFO'!$H936),")")</f>
        <v>Subion, Merlie L. ()</v>
      </c>
      <c r="E936" s="70" t="s">
        <v>176</v>
      </c>
      <c r="F936" s="70" t="s">
        <v>648</v>
      </c>
      <c r="G936" s="70" t="s">
        <v>1913</v>
      </c>
      <c r="H936" s="69"/>
      <c r="I936" s="92">
        <v>0.05</v>
      </c>
      <c r="J936" s="93">
        <v>1000.0</v>
      </c>
      <c r="K936" s="73" t="s">
        <v>50</v>
      </c>
      <c r="L936" s="73"/>
      <c r="M936" s="73"/>
      <c r="N936" s="74"/>
    </row>
    <row r="937" ht="30.0" hidden="1" customHeight="1">
      <c r="A937" s="68">
        <v>945.0</v>
      </c>
      <c r="B937" s="68"/>
      <c r="C937" s="68"/>
      <c r="D937" s="69" t="str">
        <f>CONCATENATE(PROPER('DASMA INFO'!$G937),", ",PROPER('DASMA INFO'!$E937)," ",PROPER('DASMA INFO'!$F937),"."," (",UPPER('DASMA INFO'!$H937),")")</f>
        <v>,  . ()</v>
      </c>
      <c r="E937" s="70"/>
      <c r="F937" s="70"/>
      <c r="G937" s="70"/>
      <c r="H937" s="69"/>
      <c r="I937" s="105">
        <v>0.12</v>
      </c>
      <c r="J937" s="106">
        <v>1000.0</v>
      </c>
      <c r="K937" s="73"/>
      <c r="L937" s="73"/>
      <c r="M937" s="73"/>
      <c r="N937" s="74"/>
    </row>
    <row r="938" ht="30.0" hidden="1" customHeight="1">
      <c r="A938" s="68">
        <v>946.0</v>
      </c>
      <c r="B938" s="68"/>
      <c r="C938" s="68"/>
      <c r="D938" s="69" t="str">
        <f>CONCATENATE(PROPER('DASMA INFO'!$G938),", ",PROPER('DASMA INFO'!$E938)," ",PROPER('DASMA INFO'!$F938),"."," (",UPPER('DASMA INFO'!$H938),")")</f>
        <v>,  . ()</v>
      </c>
      <c r="E938" s="70"/>
      <c r="F938" s="70"/>
      <c r="G938" s="70"/>
      <c r="H938" s="69"/>
      <c r="I938" s="105">
        <v>0.12</v>
      </c>
      <c r="J938" s="106">
        <v>1000.0</v>
      </c>
      <c r="K938" s="73"/>
      <c r="L938" s="73"/>
      <c r="M938" s="73"/>
      <c r="N938" s="74"/>
    </row>
    <row r="939" ht="30.0" hidden="1" customHeight="1">
      <c r="A939" s="68">
        <v>947.0</v>
      </c>
      <c r="B939" s="68"/>
      <c r="C939" s="68"/>
      <c r="D939" s="69" t="str">
        <f>CONCATENATE(PROPER('DASMA INFO'!$G939),", ",PROPER('DASMA INFO'!$E939)," ",PROPER('DASMA INFO'!$F939),"."," (",UPPER('DASMA INFO'!$H939),")")</f>
        <v>Chua, Analiza T. ()</v>
      </c>
      <c r="E939" s="70" t="s">
        <v>2156</v>
      </c>
      <c r="F939" s="70" t="s">
        <v>752</v>
      </c>
      <c r="G939" s="70" t="s">
        <v>1944</v>
      </c>
      <c r="H939" s="69"/>
      <c r="I939" s="92">
        <v>0.05</v>
      </c>
      <c r="J939" s="93">
        <v>1000.0</v>
      </c>
      <c r="K939" s="73" t="s">
        <v>2157</v>
      </c>
      <c r="L939" s="73"/>
      <c r="M939" s="73"/>
      <c r="N939" s="74"/>
    </row>
    <row r="940" ht="30.0" hidden="1" customHeight="1">
      <c r="A940" s="68">
        <v>948.0</v>
      </c>
      <c r="B940" s="68"/>
      <c r="C940" s="68"/>
      <c r="D940" s="69" t="str">
        <f>CONCATENATE(PROPER('DASMA INFO'!$G940),", ",PROPER('DASMA INFO'!$E940)," ",PROPER('DASMA INFO'!$F940),"."," (",UPPER('DASMA INFO'!$H940),")")</f>
        <v>,  . ()</v>
      </c>
      <c r="E940" s="70"/>
      <c r="F940" s="70"/>
      <c r="G940" s="70"/>
      <c r="H940" s="69"/>
      <c r="I940" s="105">
        <v>0.12</v>
      </c>
      <c r="J940" s="106">
        <v>1000.0</v>
      </c>
      <c r="K940" s="73"/>
      <c r="L940" s="73"/>
      <c r="M940" s="73"/>
      <c r="N940" s="74"/>
    </row>
    <row r="941" ht="30.0" hidden="1" customHeight="1">
      <c r="A941" s="68">
        <v>949.0</v>
      </c>
      <c r="B941" s="68"/>
      <c r="C941" s="68"/>
      <c r="D941" s="69" t="str">
        <f>CONCATENATE(PROPER('DASMA INFO'!$G941),", ",PROPER('DASMA INFO'!$E941)," ",PROPER('DASMA INFO'!$F941),"."," (",UPPER('DASMA INFO'!$H941),")")</f>
        <v>,  . ()</v>
      </c>
      <c r="E941" s="70"/>
      <c r="F941" s="70"/>
      <c r="G941" s="70"/>
      <c r="H941" s="69"/>
      <c r="I941" s="105">
        <v>0.12</v>
      </c>
      <c r="J941" s="106">
        <v>1000.0</v>
      </c>
      <c r="K941" s="73"/>
      <c r="L941" s="73"/>
      <c r="M941" s="73"/>
      <c r="N941" s="74"/>
    </row>
    <row r="942" ht="30.0" hidden="1" customHeight="1">
      <c r="A942" s="68">
        <v>950.0</v>
      </c>
      <c r="B942" s="68"/>
      <c r="C942" s="68"/>
      <c r="D942" s="69" t="str">
        <f>CONCATENATE(PROPER('DASMA INFO'!$G942),", ",PROPER('DASMA INFO'!$E942)," ",PROPER('DASMA INFO'!$F942),"."," (",UPPER('DASMA INFO'!$H942),")")</f>
        <v>,  . ()</v>
      </c>
      <c r="E942" s="70"/>
      <c r="F942" s="70"/>
      <c r="G942" s="70"/>
      <c r="H942" s="69"/>
      <c r="I942" s="105">
        <v>0.12</v>
      </c>
      <c r="J942" s="106">
        <v>1000.0</v>
      </c>
      <c r="K942" s="73"/>
      <c r="L942" s="73"/>
      <c r="M942" s="73"/>
      <c r="N942" s="74"/>
    </row>
    <row r="943" ht="30.0" hidden="1" customHeight="1">
      <c r="A943" s="68">
        <v>951.0</v>
      </c>
      <c r="B943" s="68"/>
      <c r="C943" s="68"/>
      <c r="D943" s="69" t="str">
        <f>CONCATENATE(PROPER('DASMA INFO'!$G943),", ",PROPER('DASMA INFO'!$E943)," ",PROPER('DASMA INFO'!$F943),"."," (",UPPER('DASMA INFO'!$H943),")")</f>
        <v>,  . ()</v>
      </c>
      <c r="E943" s="70"/>
      <c r="F943" s="70"/>
      <c r="G943" s="70"/>
      <c r="H943" s="69"/>
      <c r="I943" s="105">
        <v>0.12</v>
      </c>
      <c r="J943" s="106">
        <v>1000.0</v>
      </c>
      <c r="K943" s="73"/>
      <c r="L943" s="73"/>
      <c r="M943" s="73"/>
      <c r="N943" s="74"/>
    </row>
    <row r="944" ht="30.0" hidden="1" customHeight="1">
      <c r="A944" s="68">
        <v>952.0</v>
      </c>
      <c r="B944" s="68"/>
      <c r="C944" s="68"/>
      <c r="D944" s="69" t="str">
        <f>CONCATENATE(PROPER('DASMA INFO'!$G944),", ",PROPER('DASMA INFO'!$E944)," ",PROPER('DASMA INFO'!$F944),"."," (",UPPER('DASMA INFO'!$H944),")")</f>
        <v>,  . ()</v>
      </c>
      <c r="E944" s="70"/>
      <c r="F944" s="70"/>
      <c r="G944" s="70"/>
      <c r="H944" s="69"/>
      <c r="I944" s="105">
        <v>0.12</v>
      </c>
      <c r="J944" s="106">
        <v>1000.0</v>
      </c>
      <c r="K944" s="73"/>
      <c r="L944" s="73"/>
      <c r="M944" s="73"/>
      <c r="N944" s="74"/>
    </row>
    <row r="945" ht="30.0" hidden="1" customHeight="1">
      <c r="A945" s="68">
        <v>953.0</v>
      </c>
      <c r="B945" s="68"/>
      <c r="C945" s="68"/>
      <c r="D945" s="69" t="str">
        <f>CONCATENATE(PROPER('DASMA INFO'!$G945),", ",PROPER('DASMA INFO'!$E945)," ",PROPER('DASMA INFO'!$F945),"."," (",UPPER('DASMA INFO'!$H945),")")</f>
        <v>Angeles, Renato V. ()</v>
      </c>
      <c r="E945" s="70" t="s">
        <v>201</v>
      </c>
      <c r="F945" s="70" t="s">
        <v>620</v>
      </c>
      <c r="G945" s="70" t="s">
        <v>202</v>
      </c>
      <c r="H945" s="69"/>
      <c r="I945" s="105">
        <v>0.12</v>
      </c>
      <c r="J945" s="106">
        <v>1000.0</v>
      </c>
      <c r="K945" s="73"/>
      <c r="L945" s="73"/>
      <c r="M945" s="73"/>
      <c r="N945" s="74"/>
    </row>
    <row r="946" ht="30.0" hidden="1" customHeight="1">
      <c r="A946" s="68">
        <v>954.0</v>
      </c>
      <c r="B946" s="68"/>
      <c r="C946" s="68"/>
      <c r="D946" s="69" t="str">
        <f>CONCATENATE(PROPER('DASMA INFO'!$G946),", ",PROPER('DASMA INFO'!$E946)," ",PROPER('DASMA INFO'!$F946),"."," (",UPPER('DASMA INFO'!$H946),")")</f>
        <v>,  . ()</v>
      </c>
      <c r="E946" s="70"/>
      <c r="F946" s="70"/>
      <c r="G946" s="70"/>
      <c r="H946" s="69"/>
      <c r="I946" s="105">
        <v>0.12</v>
      </c>
      <c r="J946" s="106">
        <v>1000.0</v>
      </c>
      <c r="K946" s="73"/>
      <c r="L946" s="73"/>
      <c r="M946" s="73"/>
      <c r="N946" s="74"/>
    </row>
    <row r="947" ht="30.0" hidden="1" customHeight="1">
      <c r="A947" s="68">
        <v>955.0</v>
      </c>
      <c r="B947" s="68"/>
      <c r="C947" s="68"/>
      <c r="D947" s="69" t="str">
        <f>CONCATENATE(PROPER('DASMA INFO'!$G947),", ",PROPER('DASMA INFO'!$E947)," ",PROPER('DASMA INFO'!$F947),"."," (",UPPER('DASMA INFO'!$H947),")")</f>
        <v>Balingit, Roberto D. ()</v>
      </c>
      <c r="E947" s="70" t="s">
        <v>197</v>
      </c>
      <c r="F947" s="70" t="s">
        <v>1078</v>
      </c>
      <c r="G947" s="70" t="s">
        <v>2158</v>
      </c>
      <c r="H947" s="69"/>
      <c r="I947" s="105">
        <v>0.12</v>
      </c>
      <c r="J947" s="106">
        <v>1000.0</v>
      </c>
      <c r="K947" s="73"/>
      <c r="L947" s="73"/>
      <c r="M947" s="73"/>
      <c r="N947" s="74"/>
    </row>
    <row r="948" ht="30.0" hidden="1" customHeight="1">
      <c r="A948" s="68">
        <v>956.0</v>
      </c>
      <c r="B948" s="68"/>
      <c r="C948" s="68"/>
      <c r="D948" s="69" t="str">
        <f>CONCATENATE(PROPER('DASMA INFO'!$G948),", ",PROPER('DASMA INFO'!$E948)," ",PROPER('DASMA INFO'!$F948),"."," (",UPPER('DASMA INFO'!$H948),")")</f>
        <v>Hara, Olga . ()</v>
      </c>
      <c r="E948" s="70" t="s">
        <v>2159</v>
      </c>
      <c r="F948" s="70"/>
      <c r="G948" s="70" t="s">
        <v>2160</v>
      </c>
      <c r="H948" s="69"/>
      <c r="I948" s="105">
        <v>0.12</v>
      </c>
      <c r="J948" s="106">
        <v>1000.0</v>
      </c>
      <c r="K948" s="73"/>
      <c r="L948" s="73"/>
      <c r="M948" s="73"/>
      <c r="N948" s="74"/>
    </row>
    <row r="949" ht="30.0" hidden="1" customHeight="1">
      <c r="A949" s="68">
        <v>957.0</v>
      </c>
      <c r="B949" s="68"/>
      <c r="C949" s="68"/>
      <c r="D949" s="69" t="str">
        <f>CONCATENATE(PROPER('DASMA INFO'!$G949),", ",PROPER('DASMA INFO'!$E949)," ",PROPER('DASMA INFO'!$F949),"."," (",UPPER('DASMA INFO'!$H949),")")</f>
        <v>Espinas, Amor . ()</v>
      </c>
      <c r="E949" s="70" t="s">
        <v>660</v>
      </c>
      <c r="F949" s="70"/>
      <c r="G949" s="70" t="s">
        <v>998</v>
      </c>
      <c r="H949" s="69"/>
      <c r="I949" s="105">
        <v>0.12</v>
      </c>
      <c r="J949" s="106">
        <v>1000.0</v>
      </c>
      <c r="K949" s="73"/>
      <c r="L949" s="73"/>
      <c r="M949" s="73"/>
      <c r="N949" s="74"/>
    </row>
    <row r="950" ht="30.0" hidden="1" customHeight="1">
      <c r="A950" s="68">
        <v>958.0</v>
      </c>
      <c r="B950" s="68"/>
      <c r="C950" s="68"/>
      <c r="D950" s="69" t="str">
        <f>CONCATENATE(PROPER('DASMA INFO'!$G950),", ",PROPER('DASMA INFO'!$E950)," ",PROPER('DASMA INFO'!$F950),"."," (",UPPER('DASMA INFO'!$H950),")")</f>
        <v>Sobremonte, George . ()</v>
      </c>
      <c r="E950" s="70" t="s">
        <v>155</v>
      </c>
      <c r="F950" s="70"/>
      <c r="G950" s="70" t="s">
        <v>2161</v>
      </c>
      <c r="H950" s="69"/>
      <c r="I950" s="92">
        <v>0.05</v>
      </c>
      <c r="J950" s="93">
        <v>1000.0</v>
      </c>
      <c r="K950" s="73"/>
      <c r="L950" s="73"/>
      <c r="M950" s="73"/>
      <c r="N950" s="74"/>
    </row>
    <row r="951" ht="30.0" hidden="1" customHeight="1">
      <c r="A951" s="68">
        <v>959.0</v>
      </c>
      <c r="B951" s="68"/>
      <c r="C951" s="68"/>
      <c r="D951" s="69" t="str">
        <f>CONCATENATE(PROPER('DASMA INFO'!$G951),", ",PROPER('DASMA INFO'!$E951)," ",PROPER('DASMA INFO'!$F951),"."," (",UPPER('DASMA INFO'!$H951),")")</f>
        <v>,  . ()</v>
      </c>
      <c r="E951" s="70"/>
      <c r="F951" s="70"/>
      <c r="G951" s="70"/>
      <c r="H951" s="69"/>
      <c r="I951" s="105">
        <v>0.12</v>
      </c>
      <c r="J951" s="106">
        <v>1000.0</v>
      </c>
      <c r="K951" s="73"/>
      <c r="L951" s="73"/>
      <c r="M951" s="73"/>
      <c r="N951" s="74"/>
    </row>
    <row r="952" ht="30.0" hidden="1" customHeight="1">
      <c r="A952" s="68">
        <v>960.0</v>
      </c>
      <c r="B952" s="68"/>
      <c r="C952" s="68"/>
      <c r="D952" s="69" t="str">
        <f>CONCATENATE(PROPER('DASMA INFO'!$G952),", ",PROPER('DASMA INFO'!$E952)," ",PROPER('DASMA INFO'!$F952),"."," (",UPPER('DASMA INFO'!$H952),")")</f>
        <v>,  . ()</v>
      </c>
      <c r="E952" s="70"/>
      <c r="F952" s="70"/>
      <c r="G952" s="70"/>
      <c r="H952" s="69"/>
      <c r="I952" s="105">
        <v>0.12</v>
      </c>
      <c r="J952" s="106">
        <v>1000.0</v>
      </c>
      <c r="K952" s="73"/>
      <c r="L952" s="73"/>
      <c r="M952" s="73"/>
      <c r="N952" s="74"/>
    </row>
    <row r="953" ht="30.0" hidden="1" customHeight="1">
      <c r="A953" s="68">
        <v>961.0</v>
      </c>
      <c r="B953" s="68"/>
      <c r="C953" s="68"/>
      <c r="D953" s="69" t="str">
        <f>CONCATENATE(PROPER('DASMA INFO'!$G953),", ",PROPER('DASMA INFO'!$E953)," ",PROPER('DASMA INFO'!$F953),"."," (",UPPER('DASMA INFO'!$H953),")")</f>
        <v>,  . ()</v>
      </c>
      <c r="E953" s="70"/>
      <c r="F953" s="70"/>
      <c r="G953" s="70"/>
      <c r="H953" s="69"/>
      <c r="I953" s="105">
        <v>0.12</v>
      </c>
      <c r="J953" s="106">
        <v>1000.0</v>
      </c>
      <c r="K953" s="73"/>
      <c r="L953" s="73"/>
      <c r="M953" s="73"/>
      <c r="N953" s="74"/>
    </row>
    <row r="954" ht="30.0" hidden="1" customHeight="1">
      <c r="A954" s="68">
        <v>962.0</v>
      </c>
      <c r="B954" s="68"/>
      <c r="C954" s="68"/>
      <c r="D954" s="69" t="str">
        <f>CONCATENATE(PROPER('DASMA INFO'!$G954),", ",PROPER('DASMA INFO'!$E954)," ",PROPER('DASMA INFO'!$F954),"."," (",UPPER('DASMA INFO'!$H954),")")</f>
        <v>,  . ()</v>
      </c>
      <c r="E954" s="70"/>
      <c r="F954" s="70"/>
      <c r="G954" s="70"/>
      <c r="H954" s="69"/>
      <c r="I954" s="105">
        <v>0.12</v>
      </c>
      <c r="J954" s="106">
        <v>1000.0</v>
      </c>
      <c r="K954" s="73"/>
      <c r="L954" s="73"/>
      <c r="M954" s="73"/>
      <c r="N954" s="74"/>
    </row>
    <row r="955" ht="30.0" hidden="1" customHeight="1">
      <c r="A955" s="68">
        <v>963.0</v>
      </c>
      <c r="B955" s="68"/>
      <c r="C955" s="68"/>
      <c r="D955" s="69" t="str">
        <f>CONCATENATE(PROPER('DASMA INFO'!$G955),", ",PROPER('DASMA INFO'!$E955)," ",PROPER('DASMA INFO'!$F955),"."," (",UPPER('DASMA INFO'!$H955),")")</f>
        <v>Medida, Melchor B. ()</v>
      </c>
      <c r="E955" s="70" t="s">
        <v>2162</v>
      </c>
      <c r="F955" s="70" t="s">
        <v>627</v>
      </c>
      <c r="G955" s="70" t="s">
        <v>2124</v>
      </c>
      <c r="H955" s="69"/>
      <c r="I955" s="92">
        <v>0.05</v>
      </c>
      <c r="J955" s="93">
        <v>1000.0</v>
      </c>
      <c r="K955" s="73" t="s">
        <v>2163</v>
      </c>
      <c r="L955" s="73"/>
      <c r="M955" s="73"/>
      <c r="N955" s="74"/>
    </row>
    <row r="956" ht="30.0" hidden="1" customHeight="1">
      <c r="A956" s="68">
        <v>964.0</v>
      </c>
      <c r="B956" s="68"/>
      <c r="C956" s="68"/>
      <c r="D956" s="69" t="str">
        <f>CONCATENATE(PROPER('DASMA INFO'!$G956),", ",PROPER('DASMA INFO'!$E956)," ",PROPER('DASMA INFO'!$F956),"."," (",UPPER('DASMA INFO'!$H956),")")</f>
        <v>,  . ()</v>
      </c>
      <c r="E956" s="70"/>
      <c r="F956" s="70"/>
      <c r="G956" s="70"/>
      <c r="H956" s="69"/>
      <c r="I956" s="105">
        <v>0.12</v>
      </c>
      <c r="J956" s="106">
        <v>1000.0</v>
      </c>
      <c r="K956" s="73"/>
      <c r="L956" s="73"/>
      <c r="M956" s="73"/>
      <c r="N956" s="74"/>
    </row>
    <row r="957" ht="30.0" hidden="1" customHeight="1">
      <c r="A957" s="68">
        <v>965.0</v>
      </c>
      <c r="B957" s="68"/>
      <c r="C957" s="68"/>
      <c r="D957" s="69" t="str">
        <f>CONCATENATE(PROPER('DASMA INFO'!$G957),", ",PROPER('DASMA INFO'!$E957)," ",PROPER('DASMA INFO'!$F957),"."," (",UPPER('DASMA INFO'!$H957),")")</f>
        <v>Hidalgo, Michael P. ()</v>
      </c>
      <c r="E957" s="70" t="s">
        <v>38</v>
      </c>
      <c r="F957" s="70" t="s">
        <v>513</v>
      </c>
      <c r="G957" s="70" t="s">
        <v>978</v>
      </c>
      <c r="H957" s="69"/>
      <c r="I957" s="105">
        <v>0.12</v>
      </c>
      <c r="J957" s="106">
        <v>1000.0</v>
      </c>
      <c r="K957" s="73"/>
      <c r="L957" s="73"/>
      <c r="M957" s="73"/>
      <c r="N957" s="74"/>
    </row>
    <row r="958" ht="30.0" hidden="1" customHeight="1">
      <c r="A958" s="68">
        <v>966.0</v>
      </c>
      <c r="B958" s="68"/>
      <c r="C958" s="68"/>
      <c r="D958" s="69" t="str">
        <f>CONCATENATE(PROPER('DASMA INFO'!$G958),", ",PROPER('DASMA INFO'!$E958)," ",PROPER('DASMA INFO'!$F958),"."," (",UPPER('DASMA INFO'!$H958),")")</f>
        <v>,  . ()</v>
      </c>
      <c r="E958" s="70"/>
      <c r="F958" s="70"/>
      <c r="G958" s="70"/>
      <c r="H958" s="69"/>
      <c r="I958" s="105">
        <v>0.12</v>
      </c>
      <c r="J958" s="106">
        <v>1000.0</v>
      </c>
      <c r="K958" s="73"/>
      <c r="L958" s="73"/>
      <c r="M958" s="73"/>
      <c r="N958" s="74"/>
    </row>
    <row r="959" ht="30.0" hidden="1" customHeight="1">
      <c r="A959" s="68">
        <v>967.0</v>
      </c>
      <c r="B959" s="68"/>
      <c r="C959" s="68"/>
      <c r="D959" s="69" t="str">
        <f>CONCATENATE(PROPER('DASMA INFO'!$G959),", ",PROPER('DASMA INFO'!$E959)," ",PROPER('DASMA INFO'!$F959),"."," (",UPPER('DASMA INFO'!$H959),")")</f>
        <v>Villadiego, Ma Lourdes T. ()</v>
      </c>
      <c r="E959" s="70" t="s">
        <v>2164</v>
      </c>
      <c r="F959" s="70" t="s">
        <v>752</v>
      </c>
      <c r="G959" s="70" t="s">
        <v>49</v>
      </c>
      <c r="H959" s="70"/>
      <c r="I959" s="92">
        <v>0.05</v>
      </c>
      <c r="J959" s="93">
        <v>1000.0</v>
      </c>
      <c r="K959" s="73" t="s">
        <v>50</v>
      </c>
      <c r="L959" s="73"/>
      <c r="M959" s="73"/>
      <c r="N959" s="74"/>
    </row>
    <row r="960" ht="30.0" hidden="1" customHeight="1">
      <c r="A960" s="68">
        <v>968.0</v>
      </c>
      <c r="B960" s="68"/>
      <c r="C960" s="68"/>
      <c r="D960" s="69" t="str">
        <f>CONCATENATE(PROPER('DASMA INFO'!$G960),", ",PROPER('DASMA INFO'!$E960)," ",PROPER('DASMA INFO'!$F960),"."," (",UPPER('DASMA INFO'!$H960),")")</f>
        <v>,  . ()</v>
      </c>
      <c r="E960" s="70"/>
      <c r="F960" s="70"/>
      <c r="G960" s="70"/>
      <c r="H960" s="70"/>
      <c r="I960" s="105">
        <v>0.12</v>
      </c>
      <c r="J960" s="106">
        <v>1000.0</v>
      </c>
      <c r="K960" s="73"/>
      <c r="L960" s="73"/>
      <c r="M960" s="73"/>
      <c r="N960" s="74"/>
    </row>
    <row r="961" ht="30.0" hidden="1" customHeight="1">
      <c r="A961" s="68">
        <v>969.0</v>
      </c>
      <c r="B961" s="68"/>
      <c r="C961" s="68"/>
      <c r="D961" s="69" t="str">
        <f>CONCATENATE(PROPER('DASMA INFO'!$G961),", ",PROPER('DASMA INFO'!$E961)," ",PROPER('DASMA INFO'!$F961),"."," (",UPPER('DASMA INFO'!$H961),")")</f>
        <v>,  . ()</v>
      </c>
      <c r="E961" s="70"/>
      <c r="F961" s="70"/>
      <c r="G961" s="70"/>
      <c r="H961" s="70"/>
      <c r="I961" s="105">
        <v>0.12</v>
      </c>
      <c r="J961" s="106">
        <v>1000.0</v>
      </c>
      <c r="K961" s="73"/>
      <c r="L961" s="73"/>
      <c r="M961" s="73"/>
      <c r="N961" s="74"/>
    </row>
    <row r="962" ht="30.0" hidden="1" customHeight="1">
      <c r="A962" s="68">
        <v>970.0</v>
      </c>
      <c r="B962" s="68"/>
      <c r="C962" s="68"/>
      <c r="D962" s="69" t="str">
        <f>CONCATENATE(PROPER('DASMA INFO'!$G962),", ",PROPER('DASMA INFO'!$E962)," ",PROPER('DASMA INFO'!$F962),"."," (",UPPER('DASMA INFO'!$H962),")")</f>
        <v>Abella, Adolfo A. ()</v>
      </c>
      <c r="E962" s="70" t="s">
        <v>166</v>
      </c>
      <c r="F962" s="70" t="s">
        <v>427</v>
      </c>
      <c r="G962" s="70" t="s">
        <v>167</v>
      </c>
      <c r="H962" s="69"/>
      <c r="I962" s="92">
        <v>0.05</v>
      </c>
      <c r="J962" s="93">
        <v>1000.0</v>
      </c>
      <c r="K962" s="73" t="s">
        <v>953</v>
      </c>
      <c r="L962" s="73"/>
      <c r="M962" s="73"/>
      <c r="N962" s="74"/>
    </row>
    <row r="963" ht="30.0" hidden="1" customHeight="1">
      <c r="A963" s="68">
        <v>971.0</v>
      </c>
      <c r="B963" s="68"/>
      <c r="C963" s="68"/>
      <c r="D963" s="69" t="str">
        <f>CONCATENATE(PROPER('DASMA INFO'!$G963),", ",PROPER('DASMA INFO'!$E963)," ",PROPER('DASMA INFO'!$F963),"."," (",UPPER('DASMA INFO'!$H963),")")</f>
        <v>,  . ()</v>
      </c>
      <c r="E963" s="70"/>
      <c r="F963" s="70"/>
      <c r="G963" s="70"/>
      <c r="H963" s="69"/>
      <c r="I963" s="105">
        <v>0.12</v>
      </c>
      <c r="J963" s="106">
        <v>1000.0</v>
      </c>
      <c r="K963" s="73"/>
      <c r="L963" s="73"/>
      <c r="M963" s="73"/>
      <c r="N963" s="74"/>
    </row>
    <row r="964" ht="30.0" hidden="1" customHeight="1">
      <c r="A964" s="68">
        <v>972.0</v>
      </c>
      <c r="B964" s="68"/>
      <c r="C964" s="68"/>
      <c r="D964" s="69" t="str">
        <f>CONCATENATE(PROPER('DASMA INFO'!$G964),", ",PROPER('DASMA INFO'!$E964)," ",PROPER('DASMA INFO'!$F964),"."," (",UPPER('DASMA INFO'!$H964),")")</f>
        <v>,  . ()</v>
      </c>
      <c r="E964" s="70"/>
      <c r="F964" s="70"/>
      <c r="G964" s="70"/>
      <c r="H964" s="69"/>
      <c r="I964" s="105">
        <v>0.12</v>
      </c>
      <c r="J964" s="106">
        <v>1000.0</v>
      </c>
      <c r="K964" s="73"/>
      <c r="L964" s="73"/>
      <c r="M964" s="73"/>
      <c r="N964" s="74"/>
    </row>
    <row r="965" ht="30.0" hidden="1" customHeight="1">
      <c r="A965" s="68">
        <v>973.0</v>
      </c>
      <c r="B965" s="68"/>
      <c r="C965" s="68"/>
      <c r="D965" s="69" t="str">
        <f>CONCATENATE(PROPER('DASMA INFO'!$G965),", ",PROPER('DASMA INFO'!$E965)," ",PROPER('DASMA INFO'!$F965),"."," (",UPPER('DASMA INFO'!$H965),")")</f>
        <v>,  . ()</v>
      </c>
      <c r="E965" s="70"/>
      <c r="F965" s="70"/>
      <c r="G965" s="70"/>
      <c r="H965" s="69"/>
      <c r="I965" s="105">
        <v>0.12</v>
      </c>
      <c r="J965" s="106">
        <v>1000.0</v>
      </c>
      <c r="K965" s="73"/>
      <c r="L965" s="73"/>
      <c r="M965" s="73"/>
      <c r="N965" s="74"/>
    </row>
    <row r="966" ht="30.0" hidden="1" customHeight="1">
      <c r="A966" s="68">
        <v>974.0</v>
      </c>
      <c r="B966" s="68"/>
      <c r="C966" s="68"/>
      <c r="D966" s="69" t="str">
        <f>CONCATENATE(PROPER('DASMA INFO'!$G966),", ",PROPER('DASMA INFO'!$E966)," ",PROPER('DASMA INFO'!$F966),"."," (",UPPER('DASMA INFO'!$H966),")")</f>
        <v>Casbadillo, Anthony T. ()</v>
      </c>
      <c r="E966" s="70" t="s">
        <v>360</v>
      </c>
      <c r="F966" s="70" t="s">
        <v>752</v>
      </c>
      <c r="G966" s="70" t="s">
        <v>2165</v>
      </c>
      <c r="H966" s="69"/>
      <c r="I966" s="105">
        <v>0.12</v>
      </c>
      <c r="J966" s="106">
        <v>1000.0</v>
      </c>
      <c r="K966" s="73"/>
      <c r="L966" s="73"/>
      <c r="M966" s="73"/>
      <c r="N966" s="74"/>
    </row>
    <row r="967" ht="30.0" hidden="1" customHeight="1">
      <c r="A967" s="68">
        <v>975.0</v>
      </c>
      <c r="B967" s="68"/>
      <c r="C967" s="68"/>
      <c r="D967" s="69" t="str">
        <f>CONCATENATE(PROPER('DASMA INFO'!$G967),", ",PROPER('DASMA INFO'!$E967)," ",PROPER('DASMA INFO'!$F967),"."," (",UPPER('DASMA INFO'!$H967),")")</f>
        <v>,  . ()</v>
      </c>
      <c r="E967" s="70"/>
      <c r="F967" s="70"/>
      <c r="G967" s="70"/>
      <c r="H967" s="69"/>
      <c r="I967" s="105">
        <v>0.12</v>
      </c>
      <c r="J967" s="106">
        <v>1000.0</v>
      </c>
      <c r="K967" s="73"/>
      <c r="L967" s="73"/>
      <c r="M967" s="73"/>
      <c r="N967" s="74"/>
    </row>
    <row r="968" ht="30.0" hidden="1" customHeight="1">
      <c r="A968" s="68">
        <v>976.0</v>
      </c>
      <c r="B968" s="68"/>
      <c r="C968" s="68"/>
      <c r="D968" s="69" t="str">
        <f>CONCATENATE(PROPER('DASMA INFO'!$G968),", ",PROPER('DASMA INFO'!$E968)," ",PROPER('DASMA INFO'!$F968),"."," (",UPPER('DASMA INFO'!$H968),")")</f>
        <v>,  . ()</v>
      </c>
      <c r="E968" s="70"/>
      <c r="F968" s="70"/>
      <c r="G968" s="70"/>
      <c r="H968" s="69"/>
      <c r="I968" s="105">
        <v>0.12</v>
      </c>
      <c r="J968" s="106">
        <v>1000.0</v>
      </c>
      <c r="K968" s="73"/>
      <c r="L968" s="73"/>
      <c r="M968" s="73"/>
      <c r="N968" s="74"/>
    </row>
    <row r="969" ht="30.0" hidden="1" customHeight="1">
      <c r="A969" s="68">
        <v>977.0</v>
      </c>
      <c r="B969" s="68"/>
      <c r="C969" s="68"/>
      <c r="D969" s="69" t="str">
        <f>CONCATENATE(PROPER('DASMA INFO'!$G969),", ",PROPER('DASMA INFO'!$E969)," ",PROPER('DASMA INFO'!$F969),"."," (",UPPER('DASMA INFO'!$H969),")")</f>
        <v>,  . ()</v>
      </c>
      <c r="E969" s="70"/>
      <c r="F969" s="70"/>
      <c r="G969" s="70"/>
      <c r="H969" s="69"/>
      <c r="I969" s="105">
        <v>0.12</v>
      </c>
      <c r="J969" s="106">
        <v>1000.0</v>
      </c>
      <c r="K969" s="73"/>
      <c r="L969" s="73"/>
      <c r="M969" s="73"/>
      <c r="N969" s="74"/>
    </row>
    <row r="970" ht="30.0" hidden="1" customHeight="1">
      <c r="A970" s="68">
        <v>978.0</v>
      </c>
      <c r="B970" s="68"/>
      <c r="C970" s="68"/>
      <c r="D970" s="69" t="str">
        <f>CONCATENATE(PROPER('DASMA INFO'!$G970),", ",PROPER('DASMA INFO'!$E970)," ",PROPER('DASMA INFO'!$F970),"."," (",UPPER('DASMA INFO'!$H970),")")</f>
        <v>,  . ()</v>
      </c>
      <c r="E970" s="70"/>
      <c r="F970" s="70"/>
      <c r="G970" s="70"/>
      <c r="H970" s="69"/>
      <c r="I970" s="105">
        <v>0.12</v>
      </c>
      <c r="J970" s="106">
        <v>1000.0</v>
      </c>
      <c r="K970" s="73"/>
      <c r="L970" s="73"/>
      <c r="M970" s="73"/>
      <c r="N970" s="74"/>
    </row>
    <row r="971" ht="30.0" hidden="1" customHeight="1">
      <c r="A971" s="68">
        <v>979.0</v>
      </c>
      <c r="B971" s="68"/>
      <c r="C971" s="68"/>
      <c r="D971" s="69" t="str">
        <f>CONCATENATE(PROPER('DASMA INFO'!$G971),", ",PROPER('DASMA INFO'!$E971)," ",PROPER('DASMA INFO'!$F971),"."," (",UPPER('DASMA INFO'!$H971),")")</f>
        <v>,  . ()</v>
      </c>
      <c r="E971" s="70"/>
      <c r="F971" s="70"/>
      <c r="G971" s="70"/>
      <c r="H971" s="69"/>
      <c r="I971" s="105">
        <v>0.12</v>
      </c>
      <c r="J971" s="106">
        <v>1000.0</v>
      </c>
      <c r="K971" s="73"/>
      <c r="L971" s="73"/>
      <c r="M971" s="73"/>
      <c r="N971" s="74"/>
    </row>
    <row r="972" ht="30.0" hidden="1" customHeight="1">
      <c r="A972" s="68">
        <v>980.0</v>
      </c>
      <c r="B972" s="68"/>
      <c r="C972" s="68"/>
      <c r="D972" s="69" t="str">
        <f>CONCATENATE(PROPER('DASMA INFO'!$G972),", ",PROPER('DASMA INFO'!$E972)," ",PROPER('DASMA INFO'!$F972),"."," (",UPPER('DASMA INFO'!$H972),")")</f>
        <v>,  . ()</v>
      </c>
      <c r="E972" s="70"/>
      <c r="F972" s="70"/>
      <c r="G972" s="70"/>
      <c r="H972" s="69"/>
      <c r="I972" s="105">
        <v>0.05</v>
      </c>
      <c r="J972" s="106">
        <v>1000.0</v>
      </c>
      <c r="K972" s="73"/>
      <c r="L972" s="73"/>
      <c r="M972" s="73"/>
      <c r="N972" s="74" t="s">
        <v>2166</v>
      </c>
    </row>
    <row r="973" ht="30.0" hidden="1" customHeight="1">
      <c r="A973" s="68">
        <v>981.0</v>
      </c>
      <c r="B973" s="68"/>
      <c r="C973" s="68"/>
      <c r="D973" s="69" t="str">
        <f>CONCATENATE(PROPER('DASMA INFO'!$G973),", ",PROPER('DASMA INFO'!$E973)," ",PROPER('DASMA INFO'!$F973),"."," (",UPPER('DASMA INFO'!$H973),")")</f>
        <v>,  . ()</v>
      </c>
      <c r="E973" s="70"/>
      <c r="F973" s="70"/>
      <c r="G973" s="70"/>
      <c r="H973" s="69"/>
      <c r="I973" s="105">
        <v>0.12</v>
      </c>
      <c r="J973" s="106">
        <v>1000.0</v>
      </c>
      <c r="K973" s="73"/>
      <c r="L973" s="73"/>
      <c r="M973" s="73"/>
      <c r="N973" s="74"/>
    </row>
    <row r="974" ht="30.0" hidden="1" customHeight="1">
      <c r="A974" s="68">
        <v>982.0</v>
      </c>
      <c r="B974" s="68"/>
      <c r="C974" s="68"/>
      <c r="D974" s="69" t="str">
        <f>CONCATENATE(PROPER('DASMA INFO'!$G974),", ",PROPER('DASMA INFO'!$E974)," ",PROPER('DASMA INFO'!$F974),"."," (",UPPER('DASMA INFO'!$H974),")")</f>
        <v>,  . ()</v>
      </c>
      <c r="E974" s="70"/>
      <c r="F974" s="70"/>
      <c r="G974" s="70"/>
      <c r="H974" s="69"/>
      <c r="I974" s="105">
        <v>0.12</v>
      </c>
      <c r="J974" s="106">
        <v>1000.0</v>
      </c>
      <c r="K974" s="73"/>
      <c r="L974" s="73"/>
      <c r="M974" s="73"/>
      <c r="N974" s="74"/>
    </row>
    <row r="975" ht="30.0" hidden="1" customHeight="1">
      <c r="A975" s="68">
        <v>983.0</v>
      </c>
      <c r="B975" s="68"/>
      <c r="C975" s="68"/>
      <c r="D975" s="69" t="str">
        <f>CONCATENATE(PROPER('DASMA INFO'!$G975),", ",PROPER('DASMA INFO'!$E975)," ",PROPER('DASMA INFO'!$F975),"."," (",UPPER('DASMA INFO'!$H975),")")</f>
        <v>,  . ()</v>
      </c>
      <c r="E975" s="70"/>
      <c r="F975" s="70"/>
      <c r="G975" s="70"/>
      <c r="H975" s="69"/>
      <c r="I975" s="105">
        <v>0.12</v>
      </c>
      <c r="J975" s="106">
        <v>1000.0</v>
      </c>
      <c r="K975" s="73"/>
      <c r="L975" s="73"/>
      <c r="M975" s="73"/>
      <c r="N975" s="74"/>
    </row>
    <row r="976" ht="30.0" hidden="1" customHeight="1">
      <c r="A976" s="68">
        <v>984.0</v>
      </c>
      <c r="B976" s="68"/>
      <c r="C976" s="68"/>
      <c r="D976" s="69" t="str">
        <f>CONCATENATE(PROPER('DASMA INFO'!$G976),", ",PROPER('DASMA INFO'!$E976)," ",PROPER('DASMA INFO'!$F976),"."," (",UPPER('DASMA INFO'!$H976),")")</f>
        <v>,  . ()</v>
      </c>
      <c r="E976" s="70"/>
      <c r="F976" s="70"/>
      <c r="G976" s="70"/>
      <c r="H976" s="69"/>
      <c r="I976" s="105">
        <v>0.12</v>
      </c>
      <c r="J976" s="106">
        <v>1000.0</v>
      </c>
      <c r="K976" s="73"/>
      <c r="L976" s="73"/>
      <c r="M976" s="73"/>
      <c r="N976" s="74"/>
    </row>
    <row r="977" ht="30.0" hidden="1" customHeight="1">
      <c r="A977" s="68">
        <v>985.0</v>
      </c>
      <c r="B977" s="68"/>
      <c r="C977" s="68"/>
      <c r="D977" s="69" t="str">
        <f>CONCATENATE(PROPER('DASMA INFO'!$G977),", ",PROPER('DASMA INFO'!$E977)," ",PROPER('DASMA INFO'!$F977),"."," (",UPPER('DASMA INFO'!$H977),")")</f>
        <v>Dajao, Leopoldo L. ()</v>
      </c>
      <c r="E977" s="70" t="s">
        <v>2167</v>
      </c>
      <c r="F977" s="70" t="s">
        <v>648</v>
      </c>
      <c r="G977" s="70" t="s">
        <v>2168</v>
      </c>
      <c r="H977" s="69"/>
      <c r="I977" s="105">
        <v>0.12</v>
      </c>
      <c r="J977" s="106">
        <v>1000.0</v>
      </c>
      <c r="K977" s="73"/>
      <c r="L977" s="73"/>
      <c r="M977" s="73"/>
      <c r="N977" s="74"/>
    </row>
    <row r="978" ht="30.0" hidden="1" customHeight="1">
      <c r="A978" s="68">
        <v>986.0</v>
      </c>
      <c r="B978" s="68"/>
      <c r="C978" s="68"/>
      <c r="D978" s="69" t="str">
        <f>CONCATENATE(PROPER('DASMA INFO'!$G978),", ",PROPER('DASMA INFO'!$E978)," ",PROPER('DASMA INFO'!$F978),"."," (",UPPER('DASMA INFO'!$H978),")")</f>
        <v>,  . ()</v>
      </c>
      <c r="E978" s="70"/>
      <c r="F978" s="70"/>
      <c r="G978" s="70"/>
      <c r="H978" s="69"/>
      <c r="I978" s="105">
        <v>0.12</v>
      </c>
      <c r="J978" s="106">
        <v>1000.0</v>
      </c>
      <c r="K978" s="73"/>
      <c r="L978" s="73"/>
      <c r="M978" s="73"/>
      <c r="N978" s="74"/>
    </row>
    <row r="979" ht="30.0" hidden="1" customHeight="1">
      <c r="A979" s="68">
        <v>987.0</v>
      </c>
      <c r="B979" s="68"/>
      <c r="C979" s="68"/>
      <c r="D979" s="69" t="str">
        <f>CONCATENATE(PROPER('DASMA INFO'!$G979),", ",PROPER('DASMA INFO'!$E979)," ",PROPER('DASMA INFO'!$F979),"."," (",UPPER('DASMA INFO'!$H979),")")</f>
        <v>Verame, Nida L. ()</v>
      </c>
      <c r="E979" s="70" t="s">
        <v>1200</v>
      </c>
      <c r="F979" s="70" t="s">
        <v>648</v>
      </c>
      <c r="G979" s="70" t="s">
        <v>2169</v>
      </c>
      <c r="H979" s="69"/>
      <c r="I979" s="92">
        <v>0.05</v>
      </c>
      <c r="J979" s="93">
        <v>1000.0</v>
      </c>
      <c r="K979" s="73" t="s">
        <v>2170</v>
      </c>
      <c r="L979" s="73"/>
      <c r="M979" s="73"/>
      <c r="N979" s="74"/>
    </row>
    <row r="980" ht="30.0" hidden="1" customHeight="1">
      <c r="A980" s="68">
        <v>988.0</v>
      </c>
      <c r="B980" s="68"/>
      <c r="C980" s="68"/>
      <c r="D980" s="69" t="str">
        <f>CONCATENATE(PROPER('DASMA INFO'!$G980),", ",PROPER('DASMA INFO'!$E980)," ",PROPER('DASMA INFO'!$F980),"."," (",UPPER('DASMA INFO'!$H980),")")</f>
        <v>,  . ()</v>
      </c>
      <c r="E980" s="70"/>
      <c r="F980" s="70"/>
      <c r="G980" s="70"/>
      <c r="H980" s="69"/>
      <c r="I980" s="105">
        <v>0.12</v>
      </c>
      <c r="J980" s="106">
        <v>1000.0</v>
      </c>
      <c r="K980" s="73"/>
      <c r="L980" s="73"/>
      <c r="M980" s="73"/>
      <c r="N980" s="74"/>
    </row>
    <row r="981" ht="30.0" hidden="1" customHeight="1">
      <c r="A981" s="68">
        <v>989.0</v>
      </c>
      <c r="B981" s="68"/>
      <c r="C981" s="68"/>
      <c r="D981" s="69" t="str">
        <f>CONCATENATE(PROPER('DASMA INFO'!$G981),", ",PROPER('DASMA INFO'!$E981)," ",PROPER('DASMA INFO'!$F981),"."," (",UPPER('DASMA INFO'!$H981),")")</f>
        <v>,  . ()</v>
      </c>
      <c r="E981" s="70"/>
      <c r="F981" s="70"/>
      <c r="G981" s="70"/>
      <c r="H981" s="69"/>
      <c r="I981" s="105">
        <v>0.12</v>
      </c>
      <c r="J981" s="106">
        <v>1000.0</v>
      </c>
      <c r="K981" s="73"/>
      <c r="L981" s="73"/>
      <c r="M981" s="73"/>
      <c r="N981" s="74"/>
    </row>
    <row r="982" ht="30.0" hidden="1" customHeight="1">
      <c r="A982" s="68">
        <v>990.0</v>
      </c>
      <c r="B982" s="68"/>
      <c r="C982" s="68"/>
      <c r="D982" s="69" t="str">
        <f>CONCATENATE(PROPER('DASMA INFO'!$G982),", ",PROPER('DASMA INFO'!$E982)," ",PROPER('DASMA INFO'!$F982),"."," (",UPPER('DASMA INFO'!$H982),")")</f>
        <v>,  . ()</v>
      </c>
      <c r="E982" s="70"/>
      <c r="F982" s="70"/>
      <c r="G982" s="70"/>
      <c r="H982" s="69"/>
      <c r="I982" s="105">
        <v>0.12</v>
      </c>
      <c r="J982" s="106">
        <v>1000.0</v>
      </c>
      <c r="K982" s="73"/>
      <c r="L982" s="73"/>
      <c r="M982" s="73"/>
      <c r="N982" s="74"/>
    </row>
    <row r="983" ht="30.0" hidden="1" customHeight="1">
      <c r="A983" s="68">
        <v>991.0</v>
      </c>
      <c r="B983" s="68"/>
      <c r="C983" s="68"/>
      <c r="D983" s="69" t="str">
        <f>CONCATENATE(PROPER('DASMA INFO'!$G983),", ",PROPER('DASMA INFO'!$E983)," ",PROPER('DASMA INFO'!$F983),"."," (",UPPER('DASMA INFO'!$H983),")")</f>
        <v>,  . ()</v>
      </c>
      <c r="E983" s="70"/>
      <c r="F983" s="70"/>
      <c r="G983" s="70"/>
      <c r="H983" s="69"/>
      <c r="I983" s="105">
        <v>0.12</v>
      </c>
      <c r="J983" s="106">
        <v>1000.0</v>
      </c>
      <c r="K983" s="73"/>
      <c r="L983" s="73"/>
      <c r="M983" s="73"/>
      <c r="N983" s="74"/>
    </row>
    <row r="984" ht="30.0" hidden="1" customHeight="1">
      <c r="A984" s="68">
        <v>992.0</v>
      </c>
      <c r="B984" s="68"/>
      <c r="C984" s="68"/>
      <c r="D984" s="69" t="str">
        <f>CONCATENATE(PROPER('DASMA INFO'!$G984),", ",PROPER('DASMA INFO'!$E984)," ",PROPER('DASMA INFO'!$F984),"."," (",UPPER('DASMA INFO'!$H984),")")</f>
        <v>,  . ()</v>
      </c>
      <c r="E984" s="70"/>
      <c r="F984" s="70"/>
      <c r="G984" s="70"/>
      <c r="H984" s="69"/>
      <c r="I984" s="105">
        <v>0.12</v>
      </c>
      <c r="J984" s="106">
        <v>1000.0</v>
      </c>
      <c r="K984" s="73"/>
      <c r="L984" s="73"/>
      <c r="M984" s="73"/>
      <c r="N984" s="74"/>
    </row>
    <row r="985" ht="30.0" hidden="1" customHeight="1">
      <c r="A985" s="68">
        <v>993.0</v>
      </c>
      <c r="B985" s="68"/>
      <c r="C985" s="68"/>
      <c r="D985" s="69" t="str">
        <f>CONCATENATE(PROPER('DASMA INFO'!$G985),", ",PROPER('DASMA INFO'!$E985)," ",PROPER('DASMA INFO'!$F985),"."," (",UPPER('DASMA INFO'!$H985),")")</f>
        <v>,  . ()</v>
      </c>
      <c r="E985" s="70"/>
      <c r="F985" s="70"/>
      <c r="G985" s="70"/>
      <c r="H985" s="69"/>
      <c r="I985" s="105">
        <v>0.12</v>
      </c>
      <c r="J985" s="106">
        <v>1000.0</v>
      </c>
      <c r="K985" s="73"/>
      <c r="L985" s="73"/>
      <c r="M985" s="73"/>
      <c r="N985" s="74"/>
    </row>
    <row r="986" ht="30.0" hidden="1" customHeight="1">
      <c r="A986" s="68">
        <v>994.0</v>
      </c>
      <c r="B986" s="68"/>
      <c r="C986" s="68"/>
      <c r="D986" s="69" t="str">
        <f>CONCATENATE(PROPER('DASMA INFO'!$G986),", ",PROPER('DASMA INFO'!$E986)," ",PROPER('DASMA INFO'!$F986),"."," (",UPPER('DASMA INFO'!$H986),")")</f>
        <v>,  . ()</v>
      </c>
      <c r="E986" s="70"/>
      <c r="F986" s="70"/>
      <c r="G986" s="70"/>
      <c r="H986" s="69"/>
      <c r="I986" s="105">
        <v>0.12</v>
      </c>
      <c r="J986" s="106">
        <v>1000.0</v>
      </c>
      <c r="K986" s="73"/>
      <c r="L986" s="73"/>
      <c r="M986" s="73"/>
      <c r="N986" s="74"/>
    </row>
    <row r="987" ht="30.0" hidden="1" customHeight="1">
      <c r="A987" s="68">
        <v>995.0</v>
      </c>
      <c r="B987" s="68"/>
      <c r="C987" s="68"/>
      <c r="D987" s="69" t="str">
        <f>CONCATENATE(PROPER('DASMA INFO'!$G987),", ",PROPER('DASMA INFO'!$E987)," ",PROPER('DASMA INFO'!$F987),"."," (",UPPER('DASMA INFO'!$H987),")")</f>
        <v>,  . ()</v>
      </c>
      <c r="E987" s="70"/>
      <c r="F987" s="70"/>
      <c r="G987" s="70"/>
      <c r="H987" s="69"/>
      <c r="I987" s="105">
        <v>0.12</v>
      </c>
      <c r="J987" s="106">
        <v>1000.0</v>
      </c>
      <c r="K987" s="73"/>
      <c r="L987" s="73"/>
      <c r="M987" s="73"/>
      <c r="N987" s="74"/>
    </row>
    <row r="988" ht="30.0" hidden="1" customHeight="1">
      <c r="A988" s="68">
        <v>996.0</v>
      </c>
      <c r="B988" s="68"/>
      <c r="C988" s="68"/>
      <c r="D988" s="69" t="str">
        <f>CONCATENATE(PROPER('DASMA INFO'!$G988),", ",PROPER('DASMA INFO'!$E988)," ",PROPER('DASMA INFO'!$F988),"."," (",UPPER('DASMA INFO'!$H988),")")</f>
        <v>,  . ()</v>
      </c>
      <c r="E988" s="70"/>
      <c r="F988" s="70"/>
      <c r="G988" s="70"/>
      <c r="H988" s="69"/>
      <c r="I988" s="105">
        <v>0.12</v>
      </c>
      <c r="J988" s="106">
        <v>1000.0</v>
      </c>
      <c r="K988" s="73"/>
      <c r="L988" s="73"/>
      <c r="M988" s="73"/>
      <c r="N988" s="74"/>
    </row>
    <row r="989" ht="30.0" hidden="1" customHeight="1">
      <c r="A989" s="68">
        <v>997.0</v>
      </c>
      <c r="B989" s="68"/>
      <c r="C989" s="68"/>
      <c r="D989" s="69" t="str">
        <f>CONCATENATE(PROPER('DASMA INFO'!$G989),", ",PROPER('DASMA INFO'!$E989)," ",PROPER('DASMA INFO'!$F989),"."," (",UPPER('DASMA INFO'!$H989),")")</f>
        <v>,  . ()</v>
      </c>
      <c r="E989" s="70"/>
      <c r="F989" s="70"/>
      <c r="G989" s="70"/>
      <c r="H989" s="69"/>
      <c r="I989" s="105">
        <v>0.12</v>
      </c>
      <c r="J989" s="106">
        <v>1000.0</v>
      </c>
      <c r="K989" s="73"/>
      <c r="L989" s="73"/>
      <c r="M989" s="73"/>
      <c r="N989" s="74"/>
    </row>
    <row r="990" ht="30.0" hidden="1" customHeight="1">
      <c r="A990" s="68">
        <v>998.0</v>
      </c>
      <c r="B990" s="68"/>
      <c r="C990" s="68"/>
      <c r="D990" s="69" t="str">
        <f>CONCATENATE(PROPER('DASMA INFO'!$G990),", ",PROPER('DASMA INFO'!$E990)," ",PROPER('DASMA INFO'!$F990),"."," (",UPPER('DASMA INFO'!$H990),")")</f>
        <v>,  . ()</v>
      </c>
      <c r="E990" s="70"/>
      <c r="F990" s="70"/>
      <c r="G990" s="70"/>
      <c r="H990" s="69"/>
      <c r="I990" s="105">
        <v>0.12</v>
      </c>
      <c r="J990" s="106">
        <v>1000.0</v>
      </c>
      <c r="K990" s="73"/>
      <c r="L990" s="73"/>
      <c r="M990" s="73"/>
      <c r="N990" s="74"/>
    </row>
    <row r="991" ht="30.0" hidden="1" customHeight="1">
      <c r="A991" s="68">
        <v>999.0</v>
      </c>
      <c r="B991" s="68"/>
      <c r="C991" s="68"/>
      <c r="D991" s="69" t="str">
        <f>CONCATENATE(PROPER('DASMA INFO'!$G991),", ",PROPER('DASMA INFO'!$E991)," ",PROPER('DASMA INFO'!$F991),"."," (",UPPER('DASMA INFO'!$H991),")")</f>
        <v>,  . ()</v>
      </c>
      <c r="E991" s="70"/>
      <c r="F991" s="70"/>
      <c r="G991" s="70"/>
      <c r="H991" s="69"/>
      <c r="I991" s="105">
        <v>0.12</v>
      </c>
      <c r="J991" s="106">
        <v>1000.0</v>
      </c>
      <c r="K991" s="73"/>
      <c r="L991" s="73"/>
      <c r="M991" s="73"/>
      <c r="N991" s="74"/>
    </row>
    <row r="992" ht="30.0" hidden="1" customHeight="1">
      <c r="A992" s="68">
        <v>1000.0</v>
      </c>
      <c r="B992" s="68"/>
      <c r="C992" s="68"/>
      <c r="D992" s="69" t="str">
        <f>CONCATENATE(PROPER('DASMA INFO'!$G992),", ",PROPER('DASMA INFO'!$E992)," ",PROPER('DASMA INFO'!$F992),"."," (",UPPER('DASMA INFO'!$H992),")")</f>
        <v>,  . ()</v>
      </c>
      <c r="E992" s="70"/>
      <c r="F992" s="70"/>
      <c r="G992" s="70"/>
      <c r="H992" s="69"/>
      <c r="I992" s="105">
        <v>0.12</v>
      </c>
      <c r="J992" s="106">
        <v>1000.0</v>
      </c>
      <c r="K992" s="73"/>
      <c r="L992" s="73"/>
      <c r="M992" s="73"/>
      <c r="N992" s="74"/>
    </row>
    <row r="993" ht="30.0" hidden="1" customHeight="1">
      <c r="A993" s="68">
        <v>1001.0</v>
      </c>
      <c r="B993" s="68"/>
      <c r="C993" s="68"/>
      <c r="D993" s="69" t="str">
        <f>CONCATENATE(PROPER('DASMA INFO'!$G993),", ",PROPER('DASMA INFO'!$E993)," ",PROPER('DASMA INFO'!$F993),"."," (",UPPER('DASMA INFO'!$H993),")")</f>
        <v>,  . ()</v>
      </c>
      <c r="E993" s="70"/>
      <c r="F993" s="70"/>
      <c r="G993" s="70"/>
      <c r="H993" s="69"/>
      <c r="I993" s="105">
        <v>0.12</v>
      </c>
      <c r="J993" s="106">
        <v>1000.0</v>
      </c>
      <c r="K993" s="73"/>
      <c r="L993" s="73"/>
      <c r="M993" s="73"/>
      <c r="N993" s="74"/>
    </row>
    <row r="994" ht="30.0" hidden="1" customHeight="1">
      <c r="A994" s="68">
        <v>1002.0</v>
      </c>
      <c r="B994" s="68"/>
      <c r="C994" s="68"/>
      <c r="D994" s="69" t="str">
        <f>CONCATENATE(PROPER('DASMA INFO'!$G994),", ",PROPER('DASMA INFO'!$E994)," ",PROPER('DASMA INFO'!$F994),"."," (",UPPER('DASMA INFO'!$H994),")")</f>
        <v>,  . ()</v>
      </c>
      <c r="E994" s="70"/>
      <c r="F994" s="70"/>
      <c r="G994" s="70"/>
      <c r="H994" s="69"/>
      <c r="I994" s="105">
        <v>0.12</v>
      </c>
      <c r="J994" s="106">
        <v>1000.0</v>
      </c>
      <c r="K994" s="73"/>
      <c r="L994" s="73"/>
      <c r="M994" s="73"/>
      <c r="N994" s="74"/>
    </row>
    <row r="995" ht="30.0" hidden="1" customHeight="1">
      <c r="A995" s="68">
        <v>1003.0</v>
      </c>
      <c r="B995" s="68"/>
      <c r="C995" s="68"/>
      <c r="D995" s="69" t="str">
        <f>CONCATENATE(PROPER('DASMA INFO'!$G995),", ",PROPER('DASMA INFO'!$E995)," ",PROPER('DASMA INFO'!$F995),"."," (",UPPER('DASMA INFO'!$H995),")")</f>
        <v>Urmatam, Rosalino C. ()</v>
      </c>
      <c r="E995" s="70" t="s">
        <v>2171</v>
      </c>
      <c r="F995" s="70" t="s">
        <v>318</v>
      </c>
      <c r="G995" s="70" t="s">
        <v>2172</v>
      </c>
      <c r="H995" s="69"/>
      <c r="I995" s="105">
        <v>0.12</v>
      </c>
      <c r="J995" s="106">
        <v>1000.0</v>
      </c>
      <c r="K995" s="73"/>
      <c r="L995" s="73"/>
      <c r="M995" s="73"/>
      <c r="N995" s="74"/>
    </row>
    <row r="996" ht="30.0" hidden="1" customHeight="1">
      <c r="A996" s="68">
        <v>1004.0</v>
      </c>
      <c r="B996" s="68"/>
      <c r="C996" s="68"/>
      <c r="D996" s="69" t="str">
        <f>CONCATENATE(PROPER('DASMA INFO'!$G996),", ",PROPER('DASMA INFO'!$E996)," ",PROPER('DASMA INFO'!$F996),"."," (",UPPER('DASMA INFO'!$H996),")")</f>
        <v>,  . ()</v>
      </c>
      <c r="E996" s="70"/>
      <c r="F996" s="70"/>
      <c r="G996" s="70"/>
      <c r="H996" s="69"/>
      <c r="I996" s="105">
        <v>0.12</v>
      </c>
      <c r="J996" s="106">
        <v>1000.0</v>
      </c>
      <c r="K996" s="73"/>
      <c r="L996" s="73"/>
      <c r="M996" s="73"/>
      <c r="N996" s="74"/>
    </row>
    <row r="997" ht="30.0" hidden="1" customHeight="1">
      <c r="A997" s="68">
        <v>1005.0</v>
      </c>
      <c r="B997" s="68"/>
      <c r="C997" s="68"/>
      <c r="D997" s="69" t="str">
        <f>CONCATENATE(PROPER('DASMA INFO'!$G997),", ",PROPER('DASMA INFO'!$E997)," ",PROPER('DASMA INFO'!$F997),"."," (",UPPER('DASMA INFO'!$H997),")")</f>
        <v>Manansala, Ace Joshua . ()</v>
      </c>
      <c r="E997" s="70" t="s">
        <v>2173</v>
      </c>
      <c r="F997" s="70"/>
      <c r="G997" s="70" t="s">
        <v>2174</v>
      </c>
      <c r="H997" s="69"/>
      <c r="I997" s="105">
        <v>0.12</v>
      </c>
      <c r="J997" s="106">
        <v>1000.0</v>
      </c>
      <c r="K997" s="73"/>
      <c r="L997" s="73"/>
      <c r="M997" s="73"/>
      <c r="N997" s="74"/>
    </row>
    <row r="998" ht="30.0" hidden="1" customHeight="1">
      <c r="A998" s="68">
        <v>1006.0</v>
      </c>
      <c r="B998" s="68"/>
      <c r="C998" s="68"/>
      <c r="D998" s="69" t="str">
        <f>CONCATENATE(PROPER('DASMA INFO'!$G998),", ",PROPER('DASMA INFO'!$E998)," ",PROPER('DASMA INFO'!$F998),"."," (",UPPER('DASMA INFO'!$H998),")")</f>
        <v>,  . ()</v>
      </c>
      <c r="E998" s="70"/>
      <c r="F998" s="70"/>
      <c r="G998" s="70"/>
      <c r="H998" s="69"/>
      <c r="I998" s="105">
        <v>0.12</v>
      </c>
      <c r="J998" s="106">
        <v>1000.0</v>
      </c>
      <c r="K998" s="73"/>
      <c r="L998" s="73"/>
      <c r="M998" s="73"/>
      <c r="N998" s="74"/>
    </row>
    <row r="999" ht="30.0" hidden="1" customHeight="1">
      <c r="A999" s="68">
        <v>1007.0</v>
      </c>
      <c r="B999" s="68"/>
      <c r="C999" s="68"/>
      <c r="D999" s="69" t="str">
        <f>CONCATENATE(PROPER('DASMA INFO'!$G999),", ",PROPER('DASMA INFO'!$E999)," ",PROPER('DASMA INFO'!$F999),"."," (",UPPER('DASMA INFO'!$H999),")")</f>
        <v>Perlado, Joselito C. ()</v>
      </c>
      <c r="E999" s="70" t="s">
        <v>315</v>
      </c>
      <c r="F999" s="70" t="s">
        <v>318</v>
      </c>
      <c r="G999" s="70" t="s">
        <v>2175</v>
      </c>
      <c r="H999" s="69"/>
      <c r="I999" s="105">
        <v>0.12</v>
      </c>
      <c r="J999" s="106">
        <v>1000.0</v>
      </c>
      <c r="K999" s="73"/>
      <c r="L999" s="73"/>
      <c r="M999" s="73"/>
      <c r="N999" s="74"/>
    </row>
    <row r="1000" ht="30.0" hidden="1" customHeight="1">
      <c r="A1000" s="68">
        <v>1008.0</v>
      </c>
      <c r="B1000" s="68"/>
      <c r="C1000" s="68"/>
      <c r="D1000" s="69" t="str">
        <f>CONCATENATE(PROPER('DASMA INFO'!$G1000),", ",PROPER('DASMA INFO'!$E1000)," ",PROPER('DASMA INFO'!$F1000),"."," (",UPPER('DASMA INFO'!$H1000),")")</f>
        <v>Moreno, Aillene D. ()</v>
      </c>
      <c r="E1000" s="70" t="s">
        <v>143</v>
      </c>
      <c r="F1000" s="70" t="s">
        <v>1078</v>
      </c>
      <c r="G1000" s="70" t="s">
        <v>144</v>
      </c>
      <c r="H1000" s="69"/>
      <c r="I1000" s="92">
        <v>0.05</v>
      </c>
      <c r="J1000" s="93">
        <v>1000.0</v>
      </c>
      <c r="K1000" s="73" t="s">
        <v>2176</v>
      </c>
      <c r="L1000" s="73"/>
      <c r="M1000" s="73"/>
      <c r="N1000" s="74"/>
    </row>
    <row r="1001" ht="30.0" hidden="1" customHeight="1">
      <c r="A1001" s="68">
        <v>1009.0</v>
      </c>
      <c r="B1001" s="68"/>
      <c r="C1001" s="68"/>
      <c r="D1001" s="69" t="str">
        <f>CONCATENATE(PROPER('DASMA INFO'!$G1001),", ",PROPER('DASMA INFO'!$E1001)," ",PROPER('DASMA INFO'!$F1001),"."," (",UPPER('DASMA INFO'!$H1001),")")</f>
        <v>Dela Cruz, Rolando . ()</v>
      </c>
      <c r="E1001" s="70" t="s">
        <v>337</v>
      </c>
      <c r="F1001" s="70"/>
      <c r="G1001" s="70" t="s">
        <v>636</v>
      </c>
      <c r="H1001" s="69"/>
      <c r="I1001" s="105">
        <v>0.12</v>
      </c>
      <c r="J1001" s="106">
        <v>1000.0</v>
      </c>
      <c r="K1001" s="73"/>
      <c r="L1001" s="73"/>
      <c r="M1001" s="73"/>
      <c r="N1001" s="74"/>
    </row>
    <row r="1002" ht="30.0" hidden="1" customHeight="1">
      <c r="A1002" s="68">
        <v>1010.0</v>
      </c>
      <c r="B1002" s="68"/>
      <c r="C1002" s="68"/>
      <c r="D1002" s="69" t="str">
        <f>CONCATENATE(PROPER('DASMA INFO'!$G1002),", ",PROPER('DASMA INFO'!$E1002)," ",PROPER('DASMA INFO'!$F1002),"."," (",UPPER('DASMA INFO'!$H1002),")")</f>
        <v>Dela Cruz, Marilou . ()</v>
      </c>
      <c r="E1002" s="70" t="s">
        <v>538</v>
      </c>
      <c r="F1002" s="70"/>
      <c r="G1002" s="70" t="s">
        <v>636</v>
      </c>
      <c r="H1002" s="69"/>
      <c r="I1002" s="105">
        <v>0.12</v>
      </c>
      <c r="J1002" s="106">
        <v>1000.0</v>
      </c>
      <c r="K1002" s="73"/>
      <c r="L1002" s="73"/>
      <c r="M1002" s="73"/>
      <c r="N1002" s="74"/>
    </row>
    <row r="1003" ht="30.0" hidden="1" customHeight="1">
      <c r="A1003" s="68">
        <v>1011.0</v>
      </c>
      <c r="B1003" s="68"/>
      <c r="C1003" s="68"/>
      <c r="D1003" s="69" t="str">
        <f>CONCATENATE(PROPER('DASMA INFO'!$G1003),", ",PROPER('DASMA INFO'!$E1003)," ",PROPER('DASMA INFO'!$F1003),"."," (",UPPER('DASMA INFO'!$H1003),")")</f>
        <v>,  . ()</v>
      </c>
      <c r="E1003" s="70"/>
      <c r="F1003" s="70"/>
      <c r="G1003" s="70"/>
      <c r="H1003" s="69"/>
      <c r="I1003" s="105">
        <v>0.12</v>
      </c>
      <c r="J1003" s="106">
        <v>1000.0</v>
      </c>
      <c r="K1003" s="73"/>
      <c r="L1003" s="73"/>
      <c r="M1003" s="73"/>
      <c r="N1003" s="74"/>
    </row>
    <row r="1004" ht="30.0" hidden="1" customHeight="1">
      <c r="A1004" s="68">
        <v>1012.0</v>
      </c>
      <c r="B1004" s="68"/>
      <c r="C1004" s="68"/>
      <c r="D1004" s="69" t="str">
        <f>CONCATENATE(PROPER('DASMA INFO'!$G1004),", ",PROPER('DASMA INFO'!$E1004)," ",PROPER('DASMA INFO'!$F1004),"."," (",UPPER('DASMA INFO'!$H1004),")")</f>
        <v>Guerrero, Noralyn C. ()</v>
      </c>
      <c r="E1004" s="70" t="s">
        <v>2177</v>
      </c>
      <c r="F1004" s="70" t="s">
        <v>318</v>
      </c>
      <c r="G1004" s="70" t="s">
        <v>2178</v>
      </c>
      <c r="H1004" s="69"/>
      <c r="I1004" s="105">
        <v>0.12</v>
      </c>
      <c r="J1004" s="106">
        <v>1000.0</v>
      </c>
      <c r="K1004" s="73"/>
      <c r="L1004" s="73"/>
      <c r="M1004" s="73"/>
      <c r="N1004" s="74"/>
    </row>
    <row r="1005" ht="30.0" hidden="1" customHeight="1">
      <c r="A1005" s="68">
        <v>1013.0</v>
      </c>
      <c r="B1005" s="68"/>
      <c r="C1005" s="68"/>
      <c r="D1005" s="69" t="str">
        <f>CONCATENATE(PROPER('DASMA INFO'!$G1005),", ",PROPER('DASMA INFO'!$E1005)," ",PROPER('DASMA INFO'!$F1005),"."," (",UPPER('DASMA INFO'!$H1005),")")</f>
        <v>Inbok, Park . ()</v>
      </c>
      <c r="E1005" s="70" t="s">
        <v>2179</v>
      </c>
      <c r="F1005" s="70"/>
      <c r="G1005" s="69" t="s">
        <v>2180</v>
      </c>
      <c r="H1005" s="69"/>
      <c r="I1005" s="105">
        <v>0.12</v>
      </c>
      <c r="J1005" s="106">
        <v>1000.0</v>
      </c>
      <c r="K1005" s="73"/>
      <c r="L1005" s="73"/>
      <c r="M1005" s="73"/>
      <c r="N1005" s="74"/>
    </row>
    <row r="1006" ht="30.0" hidden="1" customHeight="1">
      <c r="A1006" s="68">
        <v>1014.0</v>
      </c>
      <c r="B1006" s="68"/>
      <c r="C1006" s="68"/>
      <c r="D1006" s="69" t="str">
        <f>CONCATENATE(PROPER('DASMA INFO'!$G1006),", ",PROPER('DASMA INFO'!$E1006)," ",PROPER('DASMA INFO'!$F1006),"."," (",UPPER('DASMA INFO'!$H1006),")")</f>
        <v>,  . ()</v>
      </c>
      <c r="E1006" s="70"/>
      <c r="F1006" s="70"/>
      <c r="G1006" s="69"/>
      <c r="H1006" s="69"/>
      <c r="I1006" s="105">
        <v>0.12</v>
      </c>
      <c r="J1006" s="106">
        <v>1000.0</v>
      </c>
      <c r="K1006" s="73"/>
      <c r="L1006" s="73"/>
      <c r="M1006" s="73"/>
      <c r="N1006" s="74"/>
    </row>
    <row r="1007" ht="30.0" hidden="1" customHeight="1">
      <c r="A1007" s="68">
        <v>1015.0</v>
      </c>
      <c r="B1007" s="68"/>
      <c r="C1007" s="68"/>
      <c r="D1007" s="69" t="str">
        <f>CONCATENATE(PROPER('DASMA INFO'!$G1007),", ",PROPER('DASMA INFO'!$E1007)," ",PROPER('DASMA INFO'!$F1007),"."," (",UPPER('DASMA INFO'!$H1007),")")</f>
        <v>,  . ()</v>
      </c>
      <c r="E1007" s="70"/>
      <c r="F1007" s="70"/>
      <c r="G1007" s="69"/>
      <c r="H1007" s="69"/>
      <c r="I1007" s="105">
        <v>0.12</v>
      </c>
      <c r="J1007" s="106">
        <v>1000.0</v>
      </c>
      <c r="K1007" s="73"/>
      <c r="L1007" s="73"/>
      <c r="M1007" s="73"/>
      <c r="N1007" s="74"/>
    </row>
    <row r="1008" ht="30.0" hidden="1" customHeight="1">
      <c r="A1008" s="68">
        <v>1016.0</v>
      </c>
      <c r="B1008" s="68"/>
      <c r="C1008" s="68"/>
      <c r="D1008" s="69" t="str">
        <f>CONCATENATE(PROPER('DASMA INFO'!$G1008),", ",PROPER('DASMA INFO'!$E1008)," ",PROPER('DASMA INFO'!$F1008),"."," (",UPPER('DASMA INFO'!$H1008),")")</f>
        <v>Corder, John . ()</v>
      </c>
      <c r="E1008" s="70" t="s">
        <v>1303</v>
      </c>
      <c r="F1008" s="70"/>
      <c r="G1008" s="69" t="s">
        <v>2181</v>
      </c>
      <c r="H1008" s="69"/>
      <c r="I1008" s="105">
        <v>0.12</v>
      </c>
      <c r="J1008" s="106">
        <v>1000.0</v>
      </c>
      <c r="K1008" s="73"/>
      <c r="L1008" s="73"/>
      <c r="M1008" s="73"/>
      <c r="N1008" s="74"/>
    </row>
    <row r="1009" ht="30.0" hidden="1" customHeight="1">
      <c r="A1009" s="68">
        <v>1017.0</v>
      </c>
      <c r="B1009" s="68"/>
      <c r="C1009" s="68"/>
      <c r="D1009" s="69" t="str">
        <f>CONCATENATE(PROPER('DASMA INFO'!$G1009),", ",PROPER('DASMA INFO'!$E1009)," ",PROPER('DASMA INFO'!$F1009),"."," (",UPPER('DASMA INFO'!$H1009),")")</f>
        <v>Geovani, Sedan . ()</v>
      </c>
      <c r="E1009" s="70" t="s">
        <v>2182</v>
      </c>
      <c r="F1009" s="70"/>
      <c r="G1009" s="69" t="s">
        <v>2183</v>
      </c>
      <c r="H1009" s="69"/>
      <c r="I1009" s="105">
        <v>0.12</v>
      </c>
      <c r="J1009" s="106">
        <v>1000.0</v>
      </c>
      <c r="K1009" s="73"/>
      <c r="L1009" s="73"/>
      <c r="M1009" s="73"/>
      <c r="N1009" s="74"/>
    </row>
    <row r="1010" ht="30.0" hidden="1" customHeight="1">
      <c r="A1010" s="68">
        <v>1018.0</v>
      </c>
      <c r="B1010" s="68"/>
      <c r="C1010" s="68"/>
      <c r="D1010" s="69" t="str">
        <f>CONCATENATE(PROPER('DASMA INFO'!$G1010),", ",PROPER('DASMA INFO'!$E1010)," ",PROPER('DASMA INFO'!$F1010),"."," (",UPPER('DASMA INFO'!$H1010),")")</f>
        <v>Calar, Susan . ()</v>
      </c>
      <c r="E1010" s="70" t="s">
        <v>225</v>
      </c>
      <c r="F1010" s="70"/>
      <c r="G1010" s="69" t="s">
        <v>2184</v>
      </c>
      <c r="H1010" s="69"/>
      <c r="I1010" s="105">
        <v>0.12</v>
      </c>
      <c r="J1010" s="106">
        <v>1000.0</v>
      </c>
      <c r="K1010" s="73"/>
      <c r="L1010" s="73"/>
      <c r="M1010" s="73"/>
      <c r="N1010" s="74"/>
    </row>
    <row r="1011" ht="30.0" hidden="1" customHeight="1">
      <c r="A1011" s="68">
        <v>1019.0</v>
      </c>
      <c r="B1011" s="68"/>
      <c r="C1011" s="68"/>
      <c r="D1011" s="69" t="str">
        <f>CONCATENATE(PROPER('DASMA INFO'!$G1011),", ",PROPER('DASMA INFO'!$E1011)," ",PROPER('DASMA INFO'!$F1011),"."," (",UPPER('DASMA INFO'!$H1011),")")</f>
        <v>Boregon, Haide P. ()</v>
      </c>
      <c r="E1011" s="70" t="s">
        <v>170</v>
      </c>
      <c r="F1011" s="70" t="s">
        <v>513</v>
      </c>
      <c r="G1011" s="70" t="s">
        <v>171</v>
      </c>
      <c r="H1011" s="69"/>
      <c r="I1011" s="92">
        <v>0.05</v>
      </c>
      <c r="J1011" s="93">
        <v>1000.0</v>
      </c>
      <c r="K1011" s="73" t="s">
        <v>2185</v>
      </c>
      <c r="L1011" s="73"/>
      <c r="M1011" s="73"/>
      <c r="N1011" s="74"/>
    </row>
    <row r="1012" ht="30.0" hidden="1" customHeight="1">
      <c r="A1012" s="68">
        <v>1020.0</v>
      </c>
      <c r="B1012" s="68"/>
      <c r="C1012" s="68"/>
      <c r="D1012" s="69" t="str">
        <f>CONCATENATE(PROPER('DASMA INFO'!$G1012),", ",PROPER('DASMA INFO'!$E1012)," ",PROPER('DASMA INFO'!$F1012),"."," (",UPPER('DASMA INFO'!$H1012),")")</f>
        <v>Villanueva, Leilani . ()</v>
      </c>
      <c r="E1012" s="70" t="s">
        <v>1252</v>
      </c>
      <c r="F1012" s="70"/>
      <c r="G1012" s="70" t="s">
        <v>454</v>
      </c>
      <c r="H1012" s="69"/>
      <c r="I1012" s="105">
        <v>0.12</v>
      </c>
      <c r="J1012" s="106">
        <v>1000.0</v>
      </c>
      <c r="K1012" s="73"/>
      <c r="L1012" s="73"/>
      <c r="M1012" s="73"/>
      <c r="N1012" s="74"/>
    </row>
    <row r="1013" ht="30.0" hidden="1" customHeight="1">
      <c r="A1013" s="68">
        <v>1021.0</v>
      </c>
      <c r="B1013" s="68"/>
      <c r="C1013" s="68"/>
      <c r="D1013" s="69" t="str">
        <f>CONCATENATE(PROPER('DASMA INFO'!$G1013),", ",PROPER('DASMA INFO'!$E1013)," ",PROPER('DASMA INFO'!$F1013),"."," (",UPPER('DASMA INFO'!$H1013),")")</f>
        <v>Francisco, Jenelyn . ()</v>
      </c>
      <c r="E1013" s="70" t="s">
        <v>1854</v>
      </c>
      <c r="F1013" s="70"/>
      <c r="G1013" s="70" t="s">
        <v>509</v>
      </c>
      <c r="H1013" s="69"/>
      <c r="I1013" s="105">
        <v>0.12</v>
      </c>
      <c r="J1013" s="106">
        <v>1000.0</v>
      </c>
      <c r="K1013" s="73"/>
      <c r="L1013" s="73"/>
      <c r="M1013" s="73"/>
      <c r="N1013" s="74"/>
    </row>
    <row r="1014" ht="30.0" hidden="1" customHeight="1">
      <c r="A1014" s="68">
        <v>1022.0</v>
      </c>
      <c r="B1014" s="68"/>
      <c r="C1014" s="68"/>
      <c r="D1014" s="69" t="str">
        <f>CONCATENATE(PROPER('DASMA INFO'!$G1014),", ",PROPER('DASMA INFO'!$E1014)," ",PROPER('DASMA INFO'!$F1014),"."," (",UPPER('DASMA INFO'!$H1014),")")</f>
        <v>Cena, Bridget L. ()</v>
      </c>
      <c r="E1014" s="70" t="s">
        <v>2186</v>
      </c>
      <c r="F1014" s="70" t="s">
        <v>648</v>
      </c>
      <c r="G1014" s="70" t="s">
        <v>2187</v>
      </c>
      <c r="H1014" s="69"/>
      <c r="I1014" s="92">
        <v>0.05</v>
      </c>
      <c r="J1014" s="93">
        <v>1000.0</v>
      </c>
      <c r="K1014" s="73" t="s">
        <v>50</v>
      </c>
      <c r="L1014" s="73"/>
      <c r="M1014" s="73"/>
      <c r="N1014" s="74"/>
    </row>
    <row r="1015" ht="30.0" hidden="1" customHeight="1">
      <c r="A1015" s="68">
        <v>1023.0</v>
      </c>
      <c r="B1015" s="68"/>
      <c r="C1015" s="68"/>
      <c r="D1015" s="69" t="str">
        <f>CONCATENATE(PROPER('DASMA INFO'!$G1015),", ",PROPER('DASMA INFO'!$E1015)," ",PROPER('DASMA INFO'!$F1015),"."," (",UPPER('DASMA INFO'!$H1015),")")</f>
        <v>,  . ()</v>
      </c>
      <c r="E1015" s="70"/>
      <c r="F1015" s="70"/>
      <c r="G1015" s="70"/>
      <c r="H1015" s="69"/>
      <c r="I1015" s="105">
        <v>0.12</v>
      </c>
      <c r="J1015" s="106">
        <v>1000.0</v>
      </c>
      <c r="K1015" s="73"/>
      <c r="L1015" s="73"/>
      <c r="M1015" s="73"/>
      <c r="N1015" s="74"/>
    </row>
    <row r="1016" ht="30.0" hidden="1" customHeight="1">
      <c r="A1016" s="68">
        <v>1024.0</v>
      </c>
      <c r="B1016" s="68"/>
      <c r="C1016" s="68"/>
      <c r="D1016" s="69" t="str">
        <f>CONCATENATE(PROPER('DASMA INFO'!$G1016),", ",PROPER('DASMA INFO'!$E1016)," ",PROPER('DASMA INFO'!$F1016),"."," (",UPPER('DASMA INFO'!$H1016),")")</f>
        <v>David, Janley . ()</v>
      </c>
      <c r="E1016" s="70" t="s">
        <v>2188</v>
      </c>
      <c r="F1016" s="70"/>
      <c r="G1016" s="70" t="s">
        <v>1840</v>
      </c>
      <c r="H1016" s="69"/>
      <c r="I1016" s="105">
        <v>0.12</v>
      </c>
      <c r="J1016" s="106">
        <v>1000.0</v>
      </c>
      <c r="K1016" s="73"/>
      <c r="L1016" s="73"/>
      <c r="M1016" s="73"/>
      <c r="N1016" s="74"/>
    </row>
    <row r="1017" ht="30.0" hidden="1" customHeight="1">
      <c r="A1017" s="68">
        <v>1025.0</v>
      </c>
      <c r="B1017" s="68"/>
      <c r="C1017" s="68"/>
      <c r="D1017" s="69" t="str">
        <f>CONCATENATE(PROPER('DASMA INFO'!$G1017),", ",PROPER('DASMA INFO'!$E1017)," ",PROPER('DASMA INFO'!$F1017),"."," (",UPPER('DASMA INFO'!$H1017),")")</f>
        <v>Dela Torre, Myrna . ()</v>
      </c>
      <c r="E1017" s="70" t="s">
        <v>586</v>
      </c>
      <c r="F1017" s="70"/>
      <c r="G1017" s="70" t="s">
        <v>2189</v>
      </c>
      <c r="H1017" s="69"/>
      <c r="I1017" s="105">
        <v>0.12</v>
      </c>
      <c r="J1017" s="106">
        <v>1000.0</v>
      </c>
      <c r="K1017" s="73"/>
      <c r="L1017" s="73"/>
      <c r="M1017" s="73"/>
      <c r="N1017" s="74"/>
    </row>
    <row r="1018" ht="30.0" hidden="1" customHeight="1">
      <c r="A1018" s="68">
        <v>1026.0</v>
      </c>
      <c r="B1018" s="68"/>
      <c r="C1018" s="68"/>
      <c r="D1018" s="69" t="str">
        <f>CONCATENATE(PROPER('DASMA INFO'!$G1018),", ",PROPER('DASMA INFO'!$E1018)," ",PROPER('DASMA INFO'!$F1018),"."," (",UPPER('DASMA INFO'!$H1018),")")</f>
        <v>Mina, Gina May . ()</v>
      </c>
      <c r="E1018" s="70" t="s">
        <v>2190</v>
      </c>
      <c r="F1018" s="70"/>
      <c r="G1018" s="70" t="s">
        <v>2191</v>
      </c>
      <c r="H1018" s="69"/>
      <c r="I1018" s="105">
        <v>0.12</v>
      </c>
      <c r="J1018" s="106">
        <v>1000.0</v>
      </c>
      <c r="K1018" s="73"/>
      <c r="L1018" s="73"/>
      <c r="M1018" s="73"/>
      <c r="N1018" s="74"/>
    </row>
    <row r="1019" ht="30.0" hidden="1" customHeight="1">
      <c r="A1019" s="68">
        <v>1027.0</v>
      </c>
      <c r="B1019" s="68"/>
      <c r="C1019" s="68"/>
      <c r="D1019" s="69" t="str">
        <f>CONCATENATE(PROPER('DASMA INFO'!$G1019),", ",PROPER('DASMA INFO'!$E1019)," ",PROPER('DASMA INFO'!$F1019),"."," (",UPPER('DASMA INFO'!$H1019),")")</f>
        <v>Bunag, Joyce Ann . ()</v>
      </c>
      <c r="E1019" s="70" t="s">
        <v>2192</v>
      </c>
      <c r="F1019" s="70"/>
      <c r="G1019" s="70" t="s">
        <v>2193</v>
      </c>
      <c r="H1019" s="69"/>
      <c r="I1019" s="105">
        <v>0.12</v>
      </c>
      <c r="J1019" s="106">
        <v>1000.0</v>
      </c>
      <c r="K1019" s="73"/>
      <c r="L1019" s="73"/>
      <c r="M1019" s="73"/>
      <c r="N1019" s="74"/>
    </row>
    <row r="1020" ht="30.0" hidden="1" customHeight="1">
      <c r="A1020" s="68">
        <v>1028.0</v>
      </c>
      <c r="B1020" s="68"/>
      <c r="C1020" s="68"/>
      <c r="D1020" s="69" t="str">
        <f>CONCATENATE(PROPER('DASMA INFO'!$G1020),", ",PROPER('DASMA INFO'!$E1020)," ",PROPER('DASMA INFO'!$F1020),"."," (",UPPER('DASMA INFO'!$H1020),")")</f>
        <v>Santiago, Arlene . ()</v>
      </c>
      <c r="E1020" s="70" t="s">
        <v>1568</v>
      </c>
      <c r="F1020" s="70"/>
      <c r="G1020" s="70" t="s">
        <v>948</v>
      </c>
      <c r="H1020" s="69"/>
      <c r="I1020" s="105">
        <v>0.12</v>
      </c>
      <c r="J1020" s="106">
        <v>1000.0</v>
      </c>
      <c r="K1020" s="73"/>
      <c r="L1020" s="73"/>
      <c r="M1020" s="73"/>
      <c r="N1020" s="74"/>
    </row>
    <row r="1021" ht="30.0" hidden="1" customHeight="1">
      <c r="A1021" s="68">
        <v>1029.0</v>
      </c>
      <c r="B1021" s="68"/>
      <c r="C1021" s="68"/>
      <c r="D1021" s="69" t="str">
        <f>CONCATENATE(PROPER('DASMA INFO'!$G1021),", ",PROPER('DASMA INFO'!$E1021)," ",PROPER('DASMA INFO'!$F1021),"."," (",UPPER('DASMA INFO'!$H1021),")")</f>
        <v>Montenegro, Elaine . ()</v>
      </c>
      <c r="E1021" s="70" t="s">
        <v>2194</v>
      </c>
      <c r="F1021" s="70"/>
      <c r="G1021" s="70" t="s">
        <v>2195</v>
      </c>
      <c r="H1021" s="69"/>
      <c r="I1021" s="105">
        <v>0.12</v>
      </c>
      <c r="J1021" s="106">
        <v>1000.0</v>
      </c>
      <c r="K1021" s="73"/>
      <c r="L1021" s="73"/>
      <c r="M1021" s="73"/>
      <c r="N1021" s="74"/>
    </row>
    <row r="1022" ht="30.0" hidden="1" customHeight="1">
      <c r="A1022" s="68">
        <v>1030.0</v>
      </c>
      <c r="B1022" s="68"/>
      <c r="C1022" s="68"/>
      <c r="D1022" s="69" t="str">
        <f>CONCATENATE(PROPER('DASMA INFO'!$G1022),", ",PROPER('DASMA INFO'!$E1022)," ",PROPER('DASMA INFO'!$F1022),"."," (",UPPER('DASMA INFO'!$H1022),")")</f>
        <v>Vasquez, Efren R. ()</v>
      </c>
      <c r="E1022" s="70" t="s">
        <v>1013</v>
      </c>
      <c r="F1022" s="70" t="s">
        <v>260</v>
      </c>
      <c r="G1022" s="70" t="s">
        <v>1094</v>
      </c>
      <c r="H1022" s="69"/>
      <c r="I1022" s="105">
        <v>0.12</v>
      </c>
      <c r="J1022" s="106">
        <v>1000.0</v>
      </c>
      <c r="K1022" s="73"/>
      <c r="L1022" s="73"/>
      <c r="M1022" s="73"/>
      <c r="N1022" s="74"/>
    </row>
    <row r="1023" ht="30.0" hidden="1" customHeight="1">
      <c r="A1023" s="68">
        <v>1031.0</v>
      </c>
      <c r="B1023" s="68"/>
      <c r="C1023" s="68"/>
      <c r="D1023" s="69" t="str">
        <f>CONCATENATE(PROPER('DASMA INFO'!$G1023),", ",PROPER('DASMA INFO'!$E1023)," ",PROPER('DASMA INFO'!$F1023),"."," (",UPPER('DASMA INFO'!$H1023),")")</f>
        <v>Ana, Mary Grace N. ()</v>
      </c>
      <c r="E1023" s="70" t="s">
        <v>474</v>
      </c>
      <c r="F1023" s="70" t="s">
        <v>1154</v>
      </c>
      <c r="G1023" s="70" t="s">
        <v>70</v>
      </c>
      <c r="H1023" s="70"/>
      <c r="I1023" s="105">
        <v>0.12</v>
      </c>
      <c r="J1023" s="106">
        <v>1000.0</v>
      </c>
      <c r="K1023" s="73" t="s">
        <v>1144</v>
      </c>
      <c r="L1023" s="73"/>
      <c r="M1023" s="73"/>
      <c r="N1023" s="74"/>
    </row>
    <row r="1024" ht="30.0" hidden="1" customHeight="1">
      <c r="A1024" s="68">
        <v>1032.0</v>
      </c>
      <c r="B1024" s="68"/>
      <c r="C1024" s="68"/>
      <c r="D1024" s="69" t="str">
        <f>CONCATENATE(PROPER('DASMA INFO'!$G1024),", ",PROPER('DASMA INFO'!$E1024)," ",PROPER('DASMA INFO'!$F1024),"."," (",UPPER('DASMA INFO'!$H1024),")")</f>
        <v>Andrade, Shiela . ()</v>
      </c>
      <c r="E1024" s="70" t="s">
        <v>974</v>
      </c>
      <c r="F1024" s="70"/>
      <c r="G1024" s="70" t="s">
        <v>1209</v>
      </c>
      <c r="H1024" s="70"/>
      <c r="I1024" s="105">
        <v>0.12</v>
      </c>
      <c r="J1024" s="106">
        <v>1000.0</v>
      </c>
      <c r="K1024" s="73"/>
      <c r="L1024" s="73"/>
      <c r="M1024" s="73"/>
      <c r="N1024" s="74"/>
    </row>
    <row r="1025" ht="30.0" hidden="1" customHeight="1">
      <c r="A1025" s="68">
        <v>1033.0</v>
      </c>
      <c r="B1025" s="68"/>
      <c r="C1025" s="68"/>
      <c r="D1025" s="69" t="str">
        <f>CONCATENATE(PROPER('DASMA INFO'!$G1025),", ",PROPER('DASMA INFO'!$E1025)," ",PROPER('DASMA INFO'!$F1025),"."," (",UPPER('DASMA INFO'!$H1025),")")</f>
        <v>Pularon, Christopher . ()</v>
      </c>
      <c r="E1025" s="70" t="s">
        <v>1101</v>
      </c>
      <c r="F1025" s="70"/>
      <c r="G1025" s="70" t="s">
        <v>2196</v>
      </c>
      <c r="H1025" s="70"/>
      <c r="I1025" s="105">
        <v>0.12</v>
      </c>
      <c r="J1025" s="106">
        <v>1000.0</v>
      </c>
      <c r="K1025" s="73"/>
      <c r="L1025" s="73"/>
      <c r="M1025" s="73"/>
      <c r="N1025" s="74"/>
    </row>
    <row r="1026" ht="30.0" hidden="1" customHeight="1">
      <c r="A1026" s="68">
        <v>1034.0</v>
      </c>
      <c r="B1026" s="68"/>
      <c r="C1026" s="68"/>
      <c r="D1026" s="69" t="str">
        <f>CONCATENATE(PROPER('DASMA INFO'!$G1026),", ",PROPER('DASMA INFO'!$E1026)," ",PROPER('DASMA INFO'!$F1026),"."," (",UPPER('DASMA INFO'!$H1026),")")</f>
        <v>Tan, Adella . ()</v>
      </c>
      <c r="E1026" s="70" t="s">
        <v>2197</v>
      </c>
      <c r="F1026" s="70"/>
      <c r="G1026" s="70" t="s">
        <v>422</v>
      </c>
      <c r="H1026" s="70"/>
      <c r="I1026" s="105">
        <v>0.12</v>
      </c>
      <c r="J1026" s="106">
        <v>1000.0</v>
      </c>
      <c r="K1026" s="73"/>
      <c r="L1026" s="73"/>
      <c r="M1026" s="73"/>
      <c r="N1026" s="74"/>
    </row>
    <row r="1027" ht="30.0" hidden="1" customHeight="1">
      <c r="A1027" s="68">
        <v>1035.0</v>
      </c>
      <c r="B1027" s="68"/>
      <c r="C1027" s="68"/>
      <c r="D1027" s="69" t="str">
        <f>CONCATENATE(PROPER('DASMA INFO'!$G1027),", ",PROPER('DASMA INFO'!$E1027)," ",PROPER('DASMA INFO'!$F1027),"."," (",UPPER('DASMA INFO'!$H1027),")")</f>
        <v>Grande, Rosh . ()</v>
      </c>
      <c r="E1027" s="70" t="s">
        <v>2198</v>
      </c>
      <c r="F1027" s="70"/>
      <c r="G1027" s="70" t="s">
        <v>2199</v>
      </c>
      <c r="H1027" s="70"/>
      <c r="I1027" s="105">
        <v>0.12</v>
      </c>
      <c r="J1027" s="106">
        <v>1000.0</v>
      </c>
      <c r="K1027" s="73"/>
      <c r="L1027" s="73"/>
      <c r="M1027" s="73"/>
      <c r="N1027" s="74"/>
    </row>
    <row r="1028" ht="30.0" hidden="1" customHeight="1">
      <c r="A1028" s="68">
        <v>1036.0</v>
      </c>
      <c r="B1028" s="68"/>
      <c r="C1028" s="68"/>
      <c r="D1028" s="69" t="str">
        <f>CONCATENATE(PROPER('DASMA INFO'!$G1028),", ",PROPER('DASMA INFO'!$E1028)," ",PROPER('DASMA INFO'!$F1028),"."," (",UPPER('DASMA INFO'!$H1028),")")</f>
        <v>Bolanos, Alexis C. ()</v>
      </c>
      <c r="E1028" s="70" t="s">
        <v>2200</v>
      </c>
      <c r="F1028" s="70" t="s">
        <v>318</v>
      </c>
      <c r="G1028" s="70" t="s">
        <v>2201</v>
      </c>
      <c r="H1028" s="69"/>
      <c r="I1028" s="105">
        <v>0.12</v>
      </c>
      <c r="J1028" s="106">
        <v>1000.0</v>
      </c>
      <c r="K1028" s="73" t="s">
        <v>2202</v>
      </c>
      <c r="L1028" s="73"/>
      <c r="M1028" s="73"/>
      <c r="N1028" s="74"/>
    </row>
    <row r="1029" ht="30.0" hidden="1" customHeight="1">
      <c r="A1029" s="68">
        <v>1037.0</v>
      </c>
      <c r="B1029" s="68"/>
      <c r="C1029" s="68"/>
      <c r="D1029" s="69" t="str">
        <f>CONCATENATE(PROPER('DASMA INFO'!$G1029),", ",PROPER('DASMA INFO'!$E1029)," ",PROPER('DASMA INFO'!$F1029),"."," (",UPPER('DASMA INFO'!$H1029),")")</f>
        <v>Manahan, Norma . ()</v>
      </c>
      <c r="E1029" s="70" t="s">
        <v>2203</v>
      </c>
      <c r="F1029" s="70"/>
      <c r="G1029" s="70" t="s">
        <v>1442</v>
      </c>
      <c r="H1029" s="69"/>
      <c r="I1029" s="105">
        <v>0.12</v>
      </c>
      <c r="J1029" s="106">
        <v>1000.0</v>
      </c>
      <c r="K1029" s="73"/>
      <c r="L1029" s="73"/>
      <c r="M1029" s="73"/>
      <c r="N1029" s="74"/>
    </row>
    <row r="1030" ht="30.0" hidden="1" customHeight="1">
      <c r="A1030" s="68">
        <v>1038.0</v>
      </c>
      <c r="B1030" s="68"/>
      <c r="C1030" s="68"/>
      <c r="D1030" s="69" t="str">
        <f>CONCATENATE(PROPER('DASMA INFO'!$G1030),", ",PROPER('DASMA INFO'!$E1030)," ",PROPER('DASMA INFO'!$F1030),"."," (",UPPER('DASMA INFO'!$H1030),")")</f>
        <v>Nisperos, Plenty . ()</v>
      </c>
      <c r="E1030" s="70" t="s">
        <v>2204</v>
      </c>
      <c r="F1030" s="70"/>
      <c r="G1030" s="70" t="s">
        <v>2205</v>
      </c>
      <c r="H1030" s="69"/>
      <c r="I1030" s="105">
        <v>0.12</v>
      </c>
      <c r="J1030" s="106">
        <v>1000.0</v>
      </c>
      <c r="K1030" s="73"/>
      <c r="L1030" s="73"/>
      <c r="M1030" s="73"/>
      <c r="N1030" s="74"/>
    </row>
    <row r="1031" ht="30.0" hidden="1" customHeight="1">
      <c r="A1031" s="68">
        <v>1039.0</v>
      </c>
      <c r="B1031" s="68"/>
      <c r="C1031" s="68"/>
      <c r="D1031" s="69" t="str">
        <f>CONCATENATE(PROPER('DASMA INFO'!$G1031),", ",PROPER('DASMA INFO'!$E1031)," ",PROPER('DASMA INFO'!$F1031),"."," (",UPPER('DASMA INFO'!$H1031),")")</f>
        <v>Baculpo, Roselle . ()</v>
      </c>
      <c r="E1031" s="70" t="s">
        <v>131</v>
      </c>
      <c r="F1031" s="70"/>
      <c r="G1031" s="70" t="s">
        <v>1049</v>
      </c>
      <c r="H1031" s="69"/>
      <c r="I1031" s="105">
        <v>0.12</v>
      </c>
      <c r="J1031" s="106">
        <v>1000.0</v>
      </c>
      <c r="K1031" s="73"/>
      <c r="L1031" s="73"/>
      <c r="M1031" s="73"/>
      <c r="N1031" s="74"/>
    </row>
    <row r="1032" ht="30.0" hidden="1" customHeight="1">
      <c r="A1032" s="68">
        <v>1040.0</v>
      </c>
      <c r="B1032" s="68"/>
      <c r="C1032" s="68"/>
      <c r="D1032" s="69" t="str">
        <f>CONCATENATE(PROPER('DASMA INFO'!$G1032),", ",PROPER('DASMA INFO'!$E1032)," ",PROPER('DASMA INFO'!$F1032),"."," (",UPPER('DASMA INFO'!$H1032),")")</f>
        <v>Tijones, Arlene A. ()</v>
      </c>
      <c r="E1032" s="70" t="s">
        <v>1568</v>
      </c>
      <c r="F1032" s="70" t="s">
        <v>427</v>
      </c>
      <c r="G1032" s="70" t="s">
        <v>2206</v>
      </c>
      <c r="H1032" s="69"/>
      <c r="I1032" s="105">
        <v>0.12</v>
      </c>
      <c r="J1032" s="106">
        <v>1000.0</v>
      </c>
      <c r="K1032" s="73"/>
      <c r="L1032" s="73"/>
      <c r="M1032" s="73"/>
      <c r="N1032" s="74"/>
    </row>
    <row r="1033" ht="30.0" hidden="1" customHeight="1">
      <c r="A1033" s="68">
        <v>1041.0</v>
      </c>
      <c r="B1033" s="68"/>
      <c r="C1033" s="68"/>
      <c r="D1033" s="69" t="str">
        <f>CONCATENATE(PROPER('DASMA INFO'!$G1033),", ",PROPER('DASMA INFO'!$E1033)," ",PROPER('DASMA INFO'!$F1033),"."," (",UPPER('DASMA INFO'!$H1033),")")</f>
        <v>Amorin, Ponciano F. ()</v>
      </c>
      <c r="E1033" s="70" t="s">
        <v>2207</v>
      </c>
      <c r="F1033" s="70" t="s">
        <v>1738</v>
      </c>
      <c r="G1033" s="70" t="s">
        <v>85</v>
      </c>
      <c r="H1033" s="69"/>
      <c r="I1033" s="105">
        <v>0.05</v>
      </c>
      <c r="J1033" s="106">
        <v>1000.0</v>
      </c>
      <c r="K1033" s="73" t="s">
        <v>1053</v>
      </c>
      <c r="L1033" s="73"/>
      <c r="M1033" s="73"/>
      <c r="N1033" s="74"/>
    </row>
    <row r="1034" ht="30.0" hidden="1" customHeight="1">
      <c r="A1034" s="68">
        <v>1042.0</v>
      </c>
      <c r="B1034" s="68"/>
      <c r="C1034" s="68"/>
      <c r="D1034" s="69" t="str">
        <f>CONCATENATE(PROPER('DASMA INFO'!$G1034),", ",PROPER('DASMA INFO'!$E1034)," ",PROPER('DASMA INFO'!$F1034),"."," (",UPPER('DASMA INFO'!$H1034),")")</f>
        <v>Rana, Mary Grace S. ()</v>
      </c>
      <c r="E1034" s="70" t="s">
        <v>474</v>
      </c>
      <c r="F1034" s="70" t="s">
        <v>342</v>
      </c>
      <c r="G1034" s="70" t="s">
        <v>2208</v>
      </c>
      <c r="H1034" s="70"/>
      <c r="I1034" s="105">
        <v>0.12</v>
      </c>
      <c r="J1034" s="106">
        <v>1000.0</v>
      </c>
      <c r="K1034" s="73"/>
      <c r="L1034" s="73"/>
      <c r="M1034" s="73"/>
      <c r="N1034" s="74"/>
    </row>
    <row r="1035" ht="30.0" hidden="1" customHeight="1">
      <c r="A1035" s="68">
        <v>1043.0</v>
      </c>
      <c r="B1035" s="68"/>
      <c r="C1035" s="68"/>
      <c r="D1035" s="69" t="str">
        <f>CONCATENATE(PROPER('DASMA INFO'!$G1035),", ",PROPER('DASMA INFO'!$E1035)," ",PROPER('DASMA INFO'!$F1035),"."," (",UPPER('DASMA INFO'!$H1035),")")</f>
        <v>Costelo, Marites . ()</v>
      </c>
      <c r="E1035" s="70" t="s">
        <v>892</v>
      </c>
      <c r="F1035" s="70"/>
      <c r="G1035" s="70" t="s">
        <v>2209</v>
      </c>
      <c r="H1035" s="70"/>
      <c r="I1035" s="105">
        <v>0.12</v>
      </c>
      <c r="J1035" s="106">
        <v>1000.0</v>
      </c>
      <c r="K1035" s="73"/>
      <c r="L1035" s="73"/>
      <c r="M1035" s="73"/>
      <c r="N1035" s="74"/>
    </row>
    <row r="1036" ht="30.0" hidden="1" customHeight="1">
      <c r="A1036" s="68">
        <v>1044.0</v>
      </c>
      <c r="B1036" s="68"/>
      <c r="C1036" s="68"/>
      <c r="D1036" s="69" t="str">
        <f>CONCATENATE(PROPER('DASMA INFO'!$G1036),", ",PROPER('DASMA INFO'!$E1036)," ",PROPER('DASMA INFO'!$F1036),"."," (",UPPER('DASMA INFO'!$H1036),")")</f>
        <v>Ygubary, Wilma . ()</v>
      </c>
      <c r="E1036" s="70" t="s">
        <v>471</v>
      </c>
      <c r="F1036" s="70"/>
      <c r="G1036" s="70" t="s">
        <v>2210</v>
      </c>
      <c r="H1036" s="70"/>
      <c r="I1036" s="105">
        <v>0.12</v>
      </c>
      <c r="J1036" s="106">
        <v>1000.0</v>
      </c>
      <c r="K1036" s="73"/>
      <c r="L1036" s="73"/>
      <c r="M1036" s="73"/>
      <c r="N1036" s="74"/>
    </row>
    <row r="1037" ht="30.0" hidden="1" customHeight="1">
      <c r="A1037" s="68">
        <v>1045.0</v>
      </c>
      <c r="B1037" s="68"/>
      <c r="C1037" s="68"/>
      <c r="D1037" s="69" t="str">
        <f>CONCATENATE(PROPER('DASMA INFO'!$G1037),", ",PROPER('DASMA INFO'!$E1037)," ",PROPER('DASMA INFO'!$F1037),"."," (",UPPER('DASMA INFO'!$H1037),")")</f>
        <v>Gatan, Renato L. ()</v>
      </c>
      <c r="E1037" s="70" t="s">
        <v>201</v>
      </c>
      <c r="F1037" s="70" t="s">
        <v>648</v>
      </c>
      <c r="G1037" s="70" t="s">
        <v>2211</v>
      </c>
      <c r="H1037" s="69"/>
      <c r="I1037" s="92">
        <v>0.05</v>
      </c>
      <c r="J1037" s="93">
        <v>1000.0</v>
      </c>
      <c r="K1037" s="73" t="s">
        <v>2212</v>
      </c>
      <c r="L1037" s="73"/>
      <c r="M1037" s="73"/>
      <c r="N1037" s="74"/>
    </row>
    <row r="1038" ht="30.0" hidden="1" customHeight="1">
      <c r="A1038" s="68">
        <v>1046.0</v>
      </c>
      <c r="B1038" s="68"/>
      <c r="C1038" s="68"/>
      <c r="D1038" s="69" t="str">
        <f>CONCATENATE(PROPER('DASMA INFO'!$G1038),", ",PROPER('DASMA INFO'!$E1038)," ",PROPER('DASMA INFO'!$F1038),"."," (",UPPER('DASMA INFO'!$H1038),")")</f>
        <v>Garcia, Mon C. ()</v>
      </c>
      <c r="E1038" s="70" t="s">
        <v>2213</v>
      </c>
      <c r="F1038" s="70" t="s">
        <v>318</v>
      </c>
      <c r="G1038" s="70" t="s">
        <v>496</v>
      </c>
      <c r="H1038" s="69"/>
      <c r="I1038" s="105">
        <v>0.12</v>
      </c>
      <c r="J1038" s="106">
        <v>1000.0</v>
      </c>
      <c r="K1038" s="73"/>
      <c r="L1038" s="73"/>
      <c r="M1038" s="73"/>
      <c r="N1038" s="74"/>
    </row>
    <row r="1039" ht="30.0" hidden="1" customHeight="1">
      <c r="A1039" s="68">
        <v>1047.0</v>
      </c>
      <c r="B1039" s="68"/>
      <c r="C1039" s="68"/>
      <c r="D1039" s="69" t="str">
        <f>CONCATENATE(PROPER('DASMA INFO'!$G1039),", ",PROPER('DASMA INFO'!$E1039)," ",PROPER('DASMA INFO'!$F1039),"."," (",UPPER('DASMA INFO'!$H1039),")")</f>
        <v>Arellano, Tusai . ()</v>
      </c>
      <c r="E1039" s="70" t="s">
        <v>2214</v>
      </c>
      <c r="F1039" s="70"/>
      <c r="G1039" s="70" t="s">
        <v>1558</v>
      </c>
      <c r="H1039" s="69"/>
      <c r="I1039" s="105">
        <v>0.12</v>
      </c>
      <c r="J1039" s="106">
        <v>1000.0</v>
      </c>
      <c r="K1039" s="73"/>
      <c r="L1039" s="73"/>
      <c r="M1039" s="73"/>
      <c r="N1039" s="74"/>
    </row>
    <row r="1040" ht="30.0" hidden="1" customHeight="1">
      <c r="A1040" s="68">
        <v>1048.0</v>
      </c>
      <c r="B1040" s="68"/>
      <c r="C1040" s="68"/>
      <c r="D1040" s="69" t="str">
        <f>CONCATENATE(PROPER('DASMA INFO'!$G1040),", ",PROPER('DASMA INFO'!$E1040)," ",PROPER('DASMA INFO'!$F1040),"."," (",UPPER('DASMA INFO'!$H1040),")")</f>
        <v>De Leon, Edna . ()</v>
      </c>
      <c r="E1040" s="70" t="s">
        <v>527</v>
      </c>
      <c r="F1040" s="70"/>
      <c r="G1040" s="70" t="s">
        <v>1136</v>
      </c>
      <c r="H1040" s="69"/>
      <c r="I1040" s="105">
        <v>0.12</v>
      </c>
      <c r="J1040" s="106">
        <v>1000.0</v>
      </c>
      <c r="K1040" s="73"/>
      <c r="L1040" s="73"/>
      <c r="M1040" s="73"/>
      <c r="N1040" s="74"/>
    </row>
    <row r="1041" ht="30.0" hidden="1" customHeight="1">
      <c r="A1041" s="68">
        <v>1049.0</v>
      </c>
      <c r="B1041" s="68"/>
      <c r="C1041" s="68"/>
      <c r="D1041" s="69" t="str">
        <f>CONCATENATE(PROPER('DASMA INFO'!$G1041),", ",PROPER('DASMA INFO'!$E1041)," ",PROPER('DASMA INFO'!$F1041),"."," (",UPPER('DASMA INFO'!$H1041),")")</f>
        <v>Casiano, Liberty . ()</v>
      </c>
      <c r="E1041" s="70" t="s">
        <v>2215</v>
      </c>
      <c r="F1041" s="70"/>
      <c r="G1041" s="70" t="s">
        <v>2216</v>
      </c>
      <c r="H1041" s="69"/>
      <c r="I1041" s="105">
        <v>0.12</v>
      </c>
      <c r="J1041" s="106">
        <v>1000.0</v>
      </c>
      <c r="K1041" s="73"/>
      <c r="L1041" s="73"/>
      <c r="M1041" s="73"/>
      <c r="N1041" s="74"/>
    </row>
    <row r="1042" ht="30.0" hidden="1" customHeight="1">
      <c r="A1042" s="68">
        <v>1050.0</v>
      </c>
      <c r="B1042" s="68"/>
      <c r="C1042" s="68"/>
      <c r="D1042" s="69" t="str">
        <f>CONCATENATE(PROPER('DASMA INFO'!$G1042),", ",PROPER('DASMA INFO'!$E1042)," ",PROPER('DASMA INFO'!$F1042),"."," (",UPPER('DASMA INFO'!$H1042),")")</f>
        <v>Torotoro, Jonalyn . ()</v>
      </c>
      <c r="E1042" s="70" t="s">
        <v>1959</v>
      </c>
      <c r="F1042" s="70"/>
      <c r="G1042" s="69" t="s">
        <v>1960</v>
      </c>
      <c r="H1042" s="69"/>
      <c r="I1042" s="105">
        <v>0.12</v>
      </c>
      <c r="J1042" s="106">
        <v>1000.0</v>
      </c>
      <c r="K1042" s="73"/>
      <c r="L1042" s="73"/>
      <c r="M1042" s="73"/>
      <c r="N1042" s="74"/>
    </row>
    <row r="1043" ht="30.0" hidden="1" customHeight="1">
      <c r="A1043" s="68">
        <v>1051.0</v>
      </c>
      <c r="B1043" s="68"/>
      <c r="C1043" s="68"/>
      <c r="D1043" s="69" t="str">
        <f>CONCATENATE(PROPER('DASMA INFO'!$G1043),", ",PROPER('DASMA INFO'!$E1043)," ",PROPER('DASMA INFO'!$F1043),"."," (",UPPER('DASMA INFO'!$H1043),")")</f>
        <v>Cordero, Angie . ()</v>
      </c>
      <c r="E1043" s="70" t="s">
        <v>2217</v>
      </c>
      <c r="F1043" s="70"/>
      <c r="G1043" s="69" t="s">
        <v>783</v>
      </c>
      <c r="H1043" s="69"/>
      <c r="I1043" s="105">
        <v>0.12</v>
      </c>
      <c r="J1043" s="106">
        <v>1000.0</v>
      </c>
      <c r="K1043" s="73"/>
      <c r="L1043" s="73"/>
      <c r="M1043" s="73"/>
      <c r="N1043" s="74"/>
    </row>
    <row r="1044" ht="30.0" hidden="1" customHeight="1">
      <c r="A1044" s="68">
        <v>1052.0</v>
      </c>
      <c r="B1044" s="68"/>
      <c r="C1044" s="68"/>
      <c r="D1044" s="69" t="str">
        <f>CONCATENATE(PROPER('DASMA INFO'!$G1044),", ",PROPER('DASMA INFO'!$E1044)," ",PROPER('DASMA INFO'!$F1044),"."," (",UPPER('DASMA INFO'!$H1044),")")</f>
        <v>Ong, Randy M. ()</v>
      </c>
      <c r="E1044" s="70" t="s">
        <v>145</v>
      </c>
      <c r="F1044" s="70" t="s">
        <v>587</v>
      </c>
      <c r="G1044" s="70" t="s">
        <v>192</v>
      </c>
      <c r="H1044" s="69"/>
      <c r="I1044" s="92">
        <v>0.05</v>
      </c>
      <c r="J1044" s="93">
        <v>1000.0</v>
      </c>
      <c r="K1044" s="73" t="s">
        <v>2218</v>
      </c>
      <c r="L1044" s="73"/>
      <c r="M1044" s="73"/>
      <c r="N1044" s="74"/>
    </row>
    <row r="1045" ht="30.0" hidden="1" customHeight="1">
      <c r="A1045" s="68">
        <v>1053.0</v>
      </c>
      <c r="B1045" s="68"/>
      <c r="C1045" s="68"/>
      <c r="D1045" s="69" t="str">
        <f>CONCATENATE(PROPER('DASMA INFO'!$G1045),", ",PROPER('DASMA INFO'!$E1045)," ",PROPER('DASMA INFO'!$F1045),"."," (",UPPER('DASMA INFO'!$H1045),")")</f>
        <v>Manzano, Rodolfo M. ()</v>
      </c>
      <c r="E1045" s="70" t="s">
        <v>53</v>
      </c>
      <c r="F1045" s="70" t="s">
        <v>587</v>
      </c>
      <c r="G1045" s="70" t="s">
        <v>1835</v>
      </c>
      <c r="H1045" s="69"/>
      <c r="I1045" s="92">
        <v>0.05</v>
      </c>
      <c r="J1045" s="93">
        <v>1000.0</v>
      </c>
      <c r="K1045" s="73"/>
      <c r="L1045" s="73"/>
      <c r="M1045" s="73"/>
      <c r="N1045" s="74"/>
    </row>
    <row r="1046" ht="30.0" hidden="1" customHeight="1">
      <c r="A1046" s="68">
        <v>1054.0</v>
      </c>
      <c r="B1046" s="68"/>
      <c r="C1046" s="68"/>
      <c r="D1046" s="69" t="str">
        <f>CONCATENATE(PROPER('DASMA INFO'!$G1046),", ",PROPER('DASMA INFO'!$E1046)," ",PROPER('DASMA INFO'!$F1046),"."," (",UPPER('DASMA INFO'!$H1046),")")</f>
        <v>Lagrimas, Nepltalie R. ()</v>
      </c>
      <c r="E1046" s="70" t="s">
        <v>2219</v>
      </c>
      <c r="F1046" s="70" t="s">
        <v>260</v>
      </c>
      <c r="G1046" s="70" t="s">
        <v>2220</v>
      </c>
      <c r="H1046" s="69"/>
      <c r="I1046" s="105">
        <v>0.12</v>
      </c>
      <c r="J1046" s="106">
        <v>1000.0</v>
      </c>
      <c r="K1046" s="73" t="s">
        <v>968</v>
      </c>
      <c r="L1046" s="73"/>
      <c r="M1046" s="73"/>
      <c r="N1046" s="74"/>
    </row>
    <row r="1047" ht="30.0" hidden="1" customHeight="1">
      <c r="A1047" s="68">
        <v>1055.0</v>
      </c>
      <c r="B1047" s="68"/>
      <c r="C1047" s="68"/>
      <c r="D1047" s="69" t="str">
        <f>CONCATENATE(PROPER('DASMA INFO'!$G1047),", ",PROPER('DASMA INFO'!$E1047)," ",PROPER('DASMA INFO'!$F1047),"."," (",UPPER('DASMA INFO'!$H1047),")")</f>
        <v>Malayan, Sanny . ()</v>
      </c>
      <c r="E1047" s="70" t="s">
        <v>2221</v>
      </c>
      <c r="F1047" s="70"/>
      <c r="G1047" s="70" t="s">
        <v>45</v>
      </c>
      <c r="H1047" s="69"/>
      <c r="I1047" s="105">
        <v>0.12</v>
      </c>
      <c r="J1047" s="106">
        <v>1000.0</v>
      </c>
      <c r="K1047" s="73"/>
      <c r="L1047" s="73"/>
      <c r="M1047" s="73"/>
      <c r="N1047" s="74"/>
    </row>
    <row r="1048" ht="30.0" hidden="1" customHeight="1">
      <c r="A1048" s="68">
        <v>1056.0</v>
      </c>
      <c r="B1048" s="68"/>
      <c r="C1048" s="68"/>
      <c r="D1048" s="69" t="str">
        <f>CONCATENATE(PROPER('DASMA INFO'!$G1048),", ",PROPER('DASMA INFO'!$E1048)," ",PROPER('DASMA INFO'!$F1048),"."," (",UPPER('DASMA INFO'!$H1048),")")</f>
        <v>Moquiring, Socorro . ()</v>
      </c>
      <c r="E1048" s="70" t="s">
        <v>73</v>
      </c>
      <c r="F1048" s="70"/>
      <c r="G1048" s="70" t="s">
        <v>1271</v>
      </c>
      <c r="H1048" s="69"/>
      <c r="I1048" s="105">
        <v>0.12</v>
      </c>
      <c r="J1048" s="106">
        <v>1000.0</v>
      </c>
      <c r="K1048" s="73"/>
      <c r="L1048" s="73"/>
      <c r="M1048" s="73"/>
      <c r="N1048" s="74"/>
    </row>
    <row r="1049" ht="30.0" hidden="1" customHeight="1">
      <c r="A1049" s="68">
        <v>1057.0</v>
      </c>
      <c r="B1049" s="68"/>
      <c r="C1049" s="68"/>
      <c r="D1049" s="69" t="str">
        <f>CONCATENATE(PROPER('DASMA INFO'!$G1049),", ",PROPER('DASMA INFO'!$E1049)," ",PROPER('DASMA INFO'!$F1049),"."," (",UPPER('DASMA INFO'!$H1049),")")</f>
        <v>Monares, Nanette . ()</v>
      </c>
      <c r="E1049" s="70" t="s">
        <v>2222</v>
      </c>
      <c r="F1049" s="70"/>
      <c r="G1049" s="70" t="s">
        <v>2223</v>
      </c>
      <c r="H1049" s="69"/>
      <c r="I1049" s="105">
        <v>0.12</v>
      </c>
      <c r="J1049" s="106">
        <v>1000.0</v>
      </c>
      <c r="K1049" s="73"/>
      <c r="L1049" s="73"/>
      <c r="M1049" s="73"/>
      <c r="N1049" s="74"/>
    </row>
    <row r="1050" ht="30.0" hidden="1" customHeight="1">
      <c r="A1050" s="68">
        <v>1058.0</v>
      </c>
      <c r="B1050" s="68"/>
      <c r="C1050" s="68"/>
      <c r="D1050" s="69" t="str">
        <f>CONCATENATE(PROPER('DASMA INFO'!$G1050),", ",PROPER('DASMA INFO'!$E1050)," ",PROPER('DASMA INFO'!$F1050),"."," (",UPPER('DASMA INFO'!$H1050),")")</f>
        <v>Acebes, Charife . ()</v>
      </c>
      <c r="E1050" s="70" t="s">
        <v>2224</v>
      </c>
      <c r="F1050" s="70"/>
      <c r="G1050" s="70" t="s">
        <v>2225</v>
      </c>
      <c r="H1050" s="69"/>
      <c r="I1050" s="105">
        <v>0.12</v>
      </c>
      <c r="J1050" s="106">
        <v>1000.0</v>
      </c>
      <c r="K1050" s="73"/>
      <c r="L1050" s="73"/>
      <c r="M1050" s="73"/>
      <c r="N1050" s="74"/>
    </row>
    <row r="1051" ht="30.0" hidden="1" customHeight="1">
      <c r="A1051" s="68">
        <v>1059.0</v>
      </c>
      <c r="B1051" s="68"/>
      <c r="C1051" s="68"/>
      <c r="D1051" s="69" t="str">
        <f>CONCATENATE(PROPER('DASMA INFO'!$G1051),", ",PROPER('DASMA INFO'!$E1051)," ",PROPER('DASMA INFO'!$F1051),"."," (",UPPER('DASMA INFO'!$H1051),")")</f>
        <v>Birao, Dionisio A. ()</v>
      </c>
      <c r="E1051" s="70" t="s">
        <v>2226</v>
      </c>
      <c r="F1051" s="70" t="s">
        <v>427</v>
      </c>
      <c r="G1051" s="70" t="s">
        <v>2227</v>
      </c>
      <c r="H1051" s="69"/>
      <c r="I1051" s="105">
        <v>0.12</v>
      </c>
      <c r="J1051" s="106">
        <v>1000.0</v>
      </c>
      <c r="K1051" s="73"/>
      <c r="L1051" s="73"/>
      <c r="M1051" s="73"/>
      <c r="N1051" s="74"/>
    </row>
    <row r="1052" ht="30.0" hidden="1" customHeight="1">
      <c r="A1052" s="68">
        <v>1060.0</v>
      </c>
      <c r="B1052" s="68"/>
      <c r="C1052" s="68"/>
      <c r="D1052" s="69" t="str">
        <f>CONCATENATE(PROPER('DASMA INFO'!$G1052),", ",PROPER('DASMA INFO'!$E1052)," ",PROPER('DASMA INFO'!$F1052),"."," (",UPPER('DASMA INFO'!$H1052),")")</f>
        <v>Parientes, Gloria . ()</v>
      </c>
      <c r="E1052" s="70" t="s">
        <v>1566</v>
      </c>
      <c r="F1052" s="70"/>
      <c r="G1052" s="70" t="s">
        <v>2228</v>
      </c>
      <c r="H1052" s="69"/>
      <c r="I1052" s="105">
        <v>0.12</v>
      </c>
      <c r="J1052" s="106">
        <v>1000.0</v>
      </c>
      <c r="K1052" s="73"/>
      <c r="L1052" s="73"/>
      <c r="M1052" s="73"/>
      <c r="N1052" s="74"/>
    </row>
    <row r="1053" ht="30.0" hidden="1" customHeight="1">
      <c r="A1053" s="68">
        <v>1061.0</v>
      </c>
      <c r="B1053" s="68"/>
      <c r="C1053" s="68"/>
      <c r="D1053" s="69" t="str">
        <f>CONCATENATE(PROPER('DASMA INFO'!$G1053),", ",PROPER('DASMA INFO'!$E1053)," ",PROPER('DASMA INFO'!$F1053),"."," (",UPPER('DASMA INFO'!$H1053),")")</f>
        <v>Magtangob, Joel . ()</v>
      </c>
      <c r="E1053" s="70" t="s">
        <v>846</v>
      </c>
      <c r="F1053" s="70"/>
      <c r="G1053" s="70" t="s">
        <v>1580</v>
      </c>
      <c r="H1053" s="69"/>
      <c r="I1053" s="105">
        <v>0.12</v>
      </c>
      <c r="J1053" s="106">
        <v>1000.0</v>
      </c>
      <c r="K1053" s="73"/>
      <c r="L1053" s="73"/>
      <c r="M1053" s="73"/>
      <c r="N1053" s="74"/>
    </row>
    <row r="1054" ht="30.0" hidden="1" customHeight="1">
      <c r="A1054" s="68">
        <v>1062.0</v>
      </c>
      <c r="B1054" s="68"/>
      <c r="C1054" s="68"/>
      <c r="D1054" s="69" t="str">
        <f>CONCATENATE(PROPER('DASMA INFO'!$G1054),", ",PROPER('DASMA INFO'!$E1054)," ",PROPER('DASMA INFO'!$F1054),"."," (",UPPER('DASMA INFO'!$H1054),")")</f>
        <v>Valerio, Benjamin . ()</v>
      </c>
      <c r="E1054" s="70" t="s">
        <v>186</v>
      </c>
      <c r="F1054" s="70"/>
      <c r="G1054" s="70" t="s">
        <v>100</v>
      </c>
      <c r="H1054" s="69"/>
      <c r="I1054" s="105">
        <v>0.12</v>
      </c>
      <c r="J1054" s="106">
        <v>1000.0</v>
      </c>
      <c r="K1054" s="73"/>
      <c r="L1054" s="73"/>
      <c r="M1054" s="73"/>
      <c r="N1054" s="74"/>
    </row>
    <row r="1055" ht="30.0" hidden="1" customHeight="1">
      <c r="A1055" s="68">
        <v>1063.0</v>
      </c>
      <c r="B1055" s="68"/>
      <c r="C1055" s="68"/>
      <c r="D1055" s="69" t="str">
        <f>CONCATENATE(PROPER('DASMA INFO'!$G1055),", ",PROPER('DASMA INFO'!$E1055)," ",PROPER('DASMA INFO'!$F1055),"."," (",UPPER('DASMA INFO'!$H1055),")")</f>
        <v>Amoroso, Kamil Angelo . ()</v>
      </c>
      <c r="E1055" s="70" t="s">
        <v>2229</v>
      </c>
      <c r="F1055" s="70"/>
      <c r="G1055" s="70" t="s">
        <v>2230</v>
      </c>
      <c r="H1055" s="69"/>
      <c r="I1055" s="105">
        <v>0.12</v>
      </c>
      <c r="J1055" s="106">
        <v>1000.0</v>
      </c>
      <c r="K1055" s="73"/>
      <c r="L1055" s="73"/>
      <c r="M1055" s="73"/>
      <c r="N1055" s="74"/>
    </row>
    <row r="1056" ht="30.0" hidden="1" customHeight="1">
      <c r="A1056" s="68">
        <v>1064.0</v>
      </c>
      <c r="B1056" s="68"/>
      <c r="C1056" s="68"/>
      <c r="D1056" s="69" t="str">
        <f>CONCATENATE(PROPER('DASMA INFO'!$G1056),", ",PROPER('DASMA INFO'!$E1056)," ",PROPER('DASMA INFO'!$F1056),"."," (",UPPER('DASMA INFO'!$H1056),")")</f>
        <v>Candiz, Juliet . ()</v>
      </c>
      <c r="E1056" s="70" t="s">
        <v>2231</v>
      </c>
      <c r="F1056" s="70"/>
      <c r="G1056" s="70" t="s">
        <v>2232</v>
      </c>
      <c r="H1056" s="69"/>
      <c r="I1056" s="105">
        <v>0.12</v>
      </c>
      <c r="J1056" s="106">
        <v>1000.0</v>
      </c>
      <c r="K1056" s="73"/>
      <c r="L1056" s="73"/>
      <c r="M1056" s="73"/>
      <c r="N1056" s="74"/>
    </row>
    <row r="1057" ht="30.0" hidden="1" customHeight="1">
      <c r="A1057" s="68">
        <v>1065.0</v>
      </c>
      <c r="B1057" s="68"/>
      <c r="C1057" s="68"/>
      <c r="D1057" s="69" t="str">
        <f>CONCATENATE(PROPER('DASMA INFO'!$G1057),", ",PROPER('DASMA INFO'!$E1057)," ",PROPER('DASMA INFO'!$F1057),"."," (",UPPER('DASMA INFO'!$H1057),")")</f>
        <v>Lamsin, Annaliza . ()</v>
      </c>
      <c r="E1057" s="70" t="s">
        <v>1587</v>
      </c>
      <c r="F1057" s="70"/>
      <c r="G1057" s="70" t="s">
        <v>2233</v>
      </c>
      <c r="H1057" s="69"/>
      <c r="I1057" s="105">
        <v>0.12</v>
      </c>
      <c r="J1057" s="106">
        <v>1000.0</v>
      </c>
      <c r="K1057" s="73"/>
      <c r="L1057" s="73"/>
      <c r="M1057" s="73"/>
      <c r="N1057" s="74"/>
    </row>
    <row r="1058" ht="30.0" hidden="1" customHeight="1">
      <c r="A1058" s="68">
        <v>1066.0</v>
      </c>
      <c r="B1058" s="68"/>
      <c r="C1058" s="68"/>
      <c r="D1058" s="69" t="str">
        <f>CONCATENATE(PROPER('DASMA INFO'!$G1058),", ",PROPER('DASMA INFO'!$E1058)," ",PROPER('DASMA INFO'!$F1058),"."," (",UPPER('DASMA INFO'!$H1058),")")</f>
        <v>Marcelino, Nila . ()</v>
      </c>
      <c r="E1058" s="70" t="s">
        <v>2050</v>
      </c>
      <c r="F1058" s="70"/>
      <c r="G1058" s="70" t="s">
        <v>2234</v>
      </c>
      <c r="H1058" s="69"/>
      <c r="I1058" s="105">
        <v>0.12</v>
      </c>
      <c r="J1058" s="106">
        <v>1000.0</v>
      </c>
      <c r="K1058" s="73"/>
      <c r="L1058" s="73"/>
      <c r="M1058" s="73"/>
      <c r="N1058" s="74"/>
    </row>
    <row r="1059" ht="30.0" hidden="1" customHeight="1">
      <c r="A1059" s="68">
        <v>1067.0</v>
      </c>
      <c r="B1059" s="68"/>
      <c r="C1059" s="68"/>
      <c r="D1059" s="69" t="str">
        <f>CONCATENATE(PROPER('DASMA INFO'!$G1059),", ",PROPER('DASMA INFO'!$E1059)," ",PROPER('DASMA INFO'!$F1059),"."," (",UPPER('DASMA INFO'!$H1059),")")</f>
        <v>Dusaran, Ariel A. ()</v>
      </c>
      <c r="E1059" s="70" t="s">
        <v>237</v>
      </c>
      <c r="F1059" s="70" t="s">
        <v>427</v>
      </c>
      <c r="G1059" s="70" t="s">
        <v>2235</v>
      </c>
      <c r="H1059" s="69"/>
      <c r="I1059" s="105">
        <v>0.12</v>
      </c>
      <c r="J1059" s="106">
        <v>1000.0</v>
      </c>
      <c r="K1059" s="73"/>
      <c r="L1059" s="73"/>
      <c r="M1059" s="73"/>
      <c r="N1059" s="74"/>
    </row>
    <row r="1060" ht="30.0" hidden="1" customHeight="1">
      <c r="A1060" s="68">
        <v>1068.0</v>
      </c>
      <c r="B1060" s="68"/>
      <c r="C1060" s="68"/>
      <c r="D1060" s="69" t="str">
        <f>CONCATENATE(PROPER('DASMA INFO'!$G1060),", ",PROPER('DASMA INFO'!$E1060)," ",PROPER('DASMA INFO'!$F1060),"."," (",UPPER('DASMA INFO'!$H1060),")")</f>
        <v>Padala, Dyesebel L. ()</v>
      </c>
      <c r="E1060" s="70" t="s">
        <v>2236</v>
      </c>
      <c r="F1060" s="70" t="s">
        <v>648</v>
      </c>
      <c r="G1060" s="70" t="s">
        <v>2237</v>
      </c>
      <c r="H1060" s="69"/>
      <c r="I1060" s="105">
        <v>0.12</v>
      </c>
      <c r="J1060" s="106">
        <v>1000.0</v>
      </c>
      <c r="K1060" s="73" t="s">
        <v>2238</v>
      </c>
      <c r="L1060" s="73"/>
      <c r="M1060" s="73"/>
      <c r="N1060" s="74"/>
    </row>
    <row r="1061" ht="30.0" hidden="1" customHeight="1">
      <c r="A1061" s="68">
        <v>1069.0</v>
      </c>
      <c r="B1061" s="68"/>
      <c r="C1061" s="68"/>
      <c r="D1061" s="69" t="str">
        <f>CONCATENATE(PROPER('DASMA INFO'!$G1061),", ",PROPER('DASMA INFO'!$E1061)," ",PROPER('DASMA INFO'!$F1061),"."," (",UPPER('DASMA INFO'!$H1061),")")</f>
        <v>Cabug, Joseph Angelo . ()</v>
      </c>
      <c r="E1061" s="70" t="s">
        <v>2239</v>
      </c>
      <c r="F1061" s="70"/>
      <c r="G1061" s="70" t="s">
        <v>2240</v>
      </c>
      <c r="H1061" s="69"/>
      <c r="I1061" s="105">
        <v>0.12</v>
      </c>
      <c r="J1061" s="106">
        <v>1000.0</v>
      </c>
      <c r="K1061" s="73"/>
      <c r="L1061" s="73"/>
      <c r="M1061" s="73"/>
      <c r="N1061" s="74"/>
    </row>
    <row r="1062" ht="30.0" hidden="1" customHeight="1">
      <c r="A1062" s="68">
        <v>1070.0</v>
      </c>
      <c r="B1062" s="68"/>
      <c r="C1062" s="68"/>
      <c r="D1062" s="69" t="str">
        <f>CONCATENATE(PROPER('DASMA INFO'!$G1062),", ",PROPER('DASMA INFO'!$E1062)," ",PROPER('DASMA INFO'!$F1062),"."," (",UPPER('DASMA INFO'!$H1062),")")</f>
        <v>Alcaraz, Prescilla I. ()</v>
      </c>
      <c r="E1062" s="70" t="s">
        <v>2241</v>
      </c>
      <c r="F1062" s="70" t="s">
        <v>767</v>
      </c>
      <c r="G1062" s="70" t="s">
        <v>2242</v>
      </c>
      <c r="H1062" s="69"/>
      <c r="I1062" s="105">
        <v>0.12</v>
      </c>
      <c r="J1062" s="106">
        <v>1000.0</v>
      </c>
      <c r="K1062" s="73"/>
      <c r="L1062" s="73"/>
      <c r="M1062" s="73"/>
      <c r="N1062" s="74"/>
    </row>
    <row r="1063" ht="30.0" hidden="1" customHeight="1">
      <c r="A1063" s="68">
        <v>1071.0</v>
      </c>
      <c r="B1063" s="68"/>
      <c r="C1063" s="68"/>
      <c r="D1063" s="69" t="str">
        <f>CONCATENATE(PROPER('DASMA INFO'!$G1063),", ",PROPER('DASMA INFO'!$E1063)," ",PROPER('DASMA INFO'!$F1063),"."," (",UPPER('DASMA INFO'!$H1063),")")</f>
        <v>Ednaco, Asuncion . ()</v>
      </c>
      <c r="E1063" s="70" t="s">
        <v>2243</v>
      </c>
      <c r="F1063" s="70"/>
      <c r="G1063" s="70" t="s">
        <v>2244</v>
      </c>
      <c r="H1063" s="69"/>
      <c r="I1063" s="105">
        <v>0.12</v>
      </c>
      <c r="J1063" s="106">
        <v>1000.0</v>
      </c>
      <c r="K1063" s="73"/>
      <c r="L1063" s="73"/>
      <c r="M1063" s="73"/>
      <c r="N1063" s="74"/>
    </row>
    <row r="1064" ht="30.0" hidden="1" customHeight="1">
      <c r="A1064" s="68">
        <v>1072.0</v>
      </c>
      <c r="B1064" s="68"/>
      <c r="C1064" s="68"/>
      <c r="D1064" s="69" t="str">
        <f>CONCATENATE(PROPER('DASMA INFO'!$G1064),", ",PROPER('DASMA INFO'!$E1064)," ",PROPER('DASMA INFO'!$F1064),"."," (",UPPER('DASMA INFO'!$H1064),")")</f>
        <v>Rapadas, Lilia . ()</v>
      </c>
      <c r="E1064" s="70" t="s">
        <v>659</v>
      </c>
      <c r="F1064" s="70"/>
      <c r="G1064" s="70" t="s">
        <v>2245</v>
      </c>
      <c r="H1064" s="69"/>
      <c r="I1064" s="105">
        <v>0.12</v>
      </c>
      <c r="J1064" s="106">
        <v>1000.0</v>
      </c>
      <c r="K1064" s="73"/>
      <c r="L1064" s="73"/>
      <c r="M1064" s="73"/>
      <c r="N1064" s="74"/>
    </row>
    <row r="1065" ht="30.0" hidden="1" customHeight="1">
      <c r="A1065" s="68">
        <v>1073.0</v>
      </c>
      <c r="B1065" s="68"/>
      <c r="C1065" s="68"/>
      <c r="D1065" s="69" t="str">
        <f>CONCATENATE(PROPER('DASMA INFO'!$G1065),", ",PROPER('DASMA INFO'!$E1065)," ",PROPER('DASMA INFO'!$F1065),"."," (",UPPER('DASMA INFO'!$H1065),")")</f>
        <v>Nagapuji, Cariza . ()</v>
      </c>
      <c r="E1065" s="70" t="s">
        <v>2246</v>
      </c>
      <c r="F1065" s="70"/>
      <c r="G1065" s="70" t="s">
        <v>2247</v>
      </c>
      <c r="H1065" s="69"/>
      <c r="I1065" s="105">
        <v>0.12</v>
      </c>
      <c r="J1065" s="106">
        <v>1000.0</v>
      </c>
      <c r="K1065" s="73"/>
      <c r="L1065" s="73"/>
      <c r="M1065" s="73"/>
      <c r="N1065" s="74"/>
    </row>
    <row r="1066" ht="30.0" hidden="1" customHeight="1">
      <c r="A1066" s="68">
        <v>1074.0</v>
      </c>
      <c r="B1066" s="68"/>
      <c r="C1066" s="68"/>
      <c r="D1066" s="69" t="str">
        <f>CONCATENATE(PROPER('DASMA INFO'!$G1066),", ",PROPER('DASMA INFO'!$E1066)," ",PROPER('DASMA INFO'!$F1066),"."," (",UPPER('DASMA INFO'!$H1066),")")</f>
        <v>Angeles, Ren . ()</v>
      </c>
      <c r="E1066" s="70" t="s">
        <v>2248</v>
      </c>
      <c r="F1066" s="70"/>
      <c r="G1066" s="70" t="s">
        <v>202</v>
      </c>
      <c r="H1066" s="69"/>
      <c r="I1066" s="105">
        <v>0.12</v>
      </c>
      <c r="J1066" s="106">
        <v>1000.0</v>
      </c>
      <c r="K1066" s="73"/>
      <c r="L1066" s="73"/>
      <c r="M1066" s="73"/>
      <c r="N1066" s="74"/>
    </row>
    <row r="1067" ht="30.0" hidden="1" customHeight="1">
      <c r="A1067" s="68">
        <v>1075.0</v>
      </c>
      <c r="B1067" s="68"/>
      <c r="C1067" s="68"/>
      <c r="D1067" s="69" t="str">
        <f>CONCATENATE(PROPER('DASMA INFO'!$G1067),", ",PROPER('DASMA INFO'!$E1067)," ",PROPER('DASMA INFO'!$F1067),"."," (",UPPER('DASMA INFO'!$H1067),")")</f>
        <v>Hidalgo, Michael . ()</v>
      </c>
      <c r="E1067" s="70" t="s">
        <v>38</v>
      </c>
      <c r="F1067" s="70"/>
      <c r="G1067" s="70" t="s">
        <v>978</v>
      </c>
      <c r="H1067" s="69"/>
      <c r="I1067" s="105">
        <v>0.12</v>
      </c>
      <c r="J1067" s="106">
        <v>1000.0</v>
      </c>
      <c r="K1067" s="73"/>
      <c r="L1067" s="73"/>
      <c r="M1067" s="73"/>
      <c r="N1067" s="74"/>
    </row>
    <row r="1068" ht="30.0" hidden="1" customHeight="1">
      <c r="A1068" s="68">
        <v>1076.0</v>
      </c>
      <c r="B1068" s="68"/>
      <c r="C1068" s="68"/>
      <c r="D1068" s="69" t="str">
        <f>CONCATENATE(PROPER('DASMA INFO'!$G1068),", ",PROPER('DASMA INFO'!$E1068)," ",PROPER('DASMA INFO'!$F1068),"."," (",UPPER('DASMA INFO'!$H1068),")")</f>
        <v>Revillo, Henry . ()</v>
      </c>
      <c r="E1068" s="70" t="s">
        <v>2249</v>
      </c>
      <c r="F1068" s="70"/>
      <c r="G1068" s="70" t="s">
        <v>2250</v>
      </c>
      <c r="H1068" s="69"/>
      <c r="I1068" s="105">
        <v>0.12</v>
      </c>
      <c r="J1068" s="106">
        <v>1000.0</v>
      </c>
      <c r="K1068" s="73"/>
      <c r="L1068" s="73"/>
      <c r="M1068" s="73"/>
      <c r="N1068" s="74"/>
    </row>
    <row r="1069" ht="30.0" hidden="1" customHeight="1">
      <c r="A1069" s="68">
        <v>1077.0</v>
      </c>
      <c r="B1069" s="68"/>
      <c r="C1069" s="68"/>
      <c r="D1069" s="69" t="str">
        <f>CONCATENATE(PROPER('DASMA INFO'!$G1069),", ",PROPER('DASMA INFO'!$E1069)," ",PROPER('DASMA INFO'!$F1069),"."," (",UPPER('DASMA INFO'!$H1069),")")</f>
        <v>Reodique, Francia L. ()</v>
      </c>
      <c r="E1069" s="70" t="s">
        <v>2251</v>
      </c>
      <c r="F1069" s="70" t="s">
        <v>648</v>
      </c>
      <c r="G1069" s="70" t="s">
        <v>2252</v>
      </c>
      <c r="H1069" s="69"/>
      <c r="I1069" s="105">
        <v>0.12</v>
      </c>
      <c r="J1069" s="106">
        <v>1000.0</v>
      </c>
      <c r="K1069" s="73"/>
      <c r="L1069" s="73"/>
      <c r="M1069" s="73"/>
      <c r="N1069" s="74"/>
    </row>
    <row r="1070" ht="30.0" hidden="1" customHeight="1">
      <c r="A1070" s="68">
        <v>1078.0</v>
      </c>
      <c r="B1070" s="68"/>
      <c r="C1070" s="68"/>
      <c r="D1070" s="69" t="str">
        <f>CONCATENATE(PROPER('DASMA INFO'!$G1070),", ",PROPER('DASMA INFO'!$E1070)," ",PROPER('DASMA INFO'!$F1070),"."," (",UPPER('DASMA INFO'!$H1070),")")</f>
        <v>Correo, Gerry . ()</v>
      </c>
      <c r="E1070" s="70" t="s">
        <v>2253</v>
      </c>
      <c r="F1070" s="70"/>
      <c r="G1070" s="70" t="s">
        <v>2254</v>
      </c>
      <c r="H1070" s="69"/>
      <c r="I1070" s="105">
        <v>0.12</v>
      </c>
      <c r="J1070" s="106">
        <v>1000.0</v>
      </c>
      <c r="K1070" s="73"/>
      <c r="L1070" s="73"/>
      <c r="M1070" s="73"/>
      <c r="N1070" s="74"/>
    </row>
    <row r="1071" ht="30.0" hidden="1" customHeight="1">
      <c r="A1071" s="68">
        <v>1079.0</v>
      </c>
      <c r="B1071" s="68"/>
      <c r="C1071" s="68"/>
      <c r="D1071" s="69" t="str">
        <f>CONCATENATE(PROPER('DASMA INFO'!$G1071),", ",PROPER('DASMA INFO'!$E1071)," ",PROPER('DASMA INFO'!$F1071),"."," (",UPPER('DASMA INFO'!$H1071),")")</f>
        <v>Pangan, Aida K. ()</v>
      </c>
      <c r="E1071" s="70" t="s">
        <v>1593</v>
      </c>
      <c r="F1071" s="70" t="s">
        <v>2255</v>
      </c>
      <c r="G1071" s="70" t="s">
        <v>2256</v>
      </c>
      <c r="H1071" s="69"/>
      <c r="I1071" s="105">
        <v>0.12</v>
      </c>
      <c r="J1071" s="106">
        <v>1000.0</v>
      </c>
      <c r="K1071" s="73"/>
      <c r="L1071" s="73"/>
      <c r="M1071" s="73"/>
      <c r="N1071" s="74"/>
    </row>
    <row r="1072" ht="30.0" hidden="1" customHeight="1">
      <c r="A1072" s="68">
        <v>1080.0</v>
      </c>
      <c r="B1072" s="68"/>
      <c r="C1072" s="68"/>
      <c r="D1072" s="69" t="str">
        <f>CONCATENATE(PROPER('DASMA INFO'!$G1072),", ",PROPER('DASMA INFO'!$E1072)," ",PROPER('DASMA INFO'!$F1072),"."," (",UPPER('DASMA INFO'!$H1072),")")</f>
        <v>Go, Gwangsan . ()</v>
      </c>
      <c r="E1072" s="70" t="s">
        <v>2257</v>
      </c>
      <c r="F1072" s="70"/>
      <c r="G1072" s="70" t="s">
        <v>1410</v>
      </c>
      <c r="H1072" s="69"/>
      <c r="I1072" s="105">
        <v>0.12</v>
      </c>
      <c r="J1072" s="106">
        <v>1000.0</v>
      </c>
      <c r="K1072" s="73"/>
      <c r="L1072" s="73"/>
      <c r="M1072" s="73"/>
      <c r="N1072" s="74"/>
    </row>
    <row r="1073" ht="30.0" hidden="1" customHeight="1">
      <c r="A1073" s="68">
        <v>1081.0</v>
      </c>
      <c r="B1073" s="68"/>
      <c r="C1073" s="68"/>
      <c r="D1073" s="69" t="str">
        <f>CONCATENATE(PROPER('DASMA INFO'!$G1073),", ",PROPER('DASMA INFO'!$E1073)," ",PROPER('DASMA INFO'!$F1073),"."," (",UPPER('DASMA INFO'!$H1073),")")</f>
        <v>Ryou, Sang . ()</v>
      </c>
      <c r="E1073" s="70" t="s">
        <v>2258</v>
      </c>
      <c r="F1073" s="70"/>
      <c r="G1073" s="70" t="s">
        <v>2259</v>
      </c>
      <c r="H1073" s="69"/>
      <c r="I1073" s="105">
        <v>0.12</v>
      </c>
      <c r="J1073" s="106">
        <v>1000.0</v>
      </c>
      <c r="K1073" s="73"/>
      <c r="L1073" s="73"/>
      <c r="M1073" s="73"/>
      <c r="N1073" s="74"/>
    </row>
    <row r="1074" ht="30.0" hidden="1" customHeight="1">
      <c r="A1074" s="68">
        <v>1082.0</v>
      </c>
      <c r="B1074" s="68"/>
      <c r="C1074" s="68"/>
      <c r="D1074" s="69" t="str">
        <f>CONCATENATE(PROPER('DASMA INFO'!$G1074),", ",PROPER('DASMA INFO'!$E1074)," ",PROPER('DASMA INFO'!$F1074),"."," (",UPPER('DASMA INFO'!$H1074),")")</f>
        <v>Gertiza, Malou . ()</v>
      </c>
      <c r="E1074" s="70" t="s">
        <v>1106</v>
      </c>
      <c r="F1074" s="70"/>
      <c r="G1074" s="70" t="s">
        <v>2260</v>
      </c>
      <c r="H1074" s="69"/>
      <c r="I1074" s="105">
        <v>0.12</v>
      </c>
      <c r="J1074" s="106">
        <v>1000.0</v>
      </c>
      <c r="K1074" s="73"/>
      <c r="L1074" s="73"/>
      <c r="M1074" s="73"/>
      <c r="N1074" s="74"/>
    </row>
    <row r="1075" ht="30.0" hidden="1" customHeight="1">
      <c r="A1075" s="68">
        <v>1083.0</v>
      </c>
      <c r="B1075" s="68"/>
      <c r="C1075" s="68"/>
      <c r="D1075" s="69" t="str">
        <f>CONCATENATE(PROPER('DASMA INFO'!$G1075),", ",PROPER('DASMA INFO'!$E1075)," ",PROPER('DASMA INFO'!$F1075),"."," (",UPPER('DASMA INFO'!$H1075),")")</f>
        <v>Mendoza, Arvin Q. ()</v>
      </c>
      <c r="E1075" s="70" t="s">
        <v>2261</v>
      </c>
      <c r="F1075" s="70" t="s">
        <v>545</v>
      </c>
      <c r="G1075" s="70" t="s">
        <v>775</v>
      </c>
      <c r="H1075" s="69"/>
      <c r="I1075" s="92">
        <v>0.05</v>
      </c>
      <c r="J1075" s="93">
        <v>1000.0</v>
      </c>
      <c r="K1075" s="73" t="s">
        <v>50</v>
      </c>
      <c r="L1075" s="73"/>
      <c r="M1075" s="73"/>
      <c r="N1075" s="74"/>
    </row>
    <row r="1076" ht="30.0" hidden="1" customHeight="1">
      <c r="A1076" s="68">
        <v>1084.0</v>
      </c>
      <c r="B1076" s="68"/>
      <c r="C1076" s="68"/>
      <c r="D1076" s="69" t="str">
        <f>CONCATENATE(PROPER('DASMA INFO'!$G1076),", ",PROPER('DASMA INFO'!$E1076)," ",PROPER('DASMA INFO'!$F1076),"."," (",UPPER('DASMA INFO'!$H1076),")")</f>
        <v>San Pedro, Della . ()</v>
      </c>
      <c r="E1076" s="70" t="s">
        <v>2262</v>
      </c>
      <c r="F1076" s="70"/>
      <c r="G1076" s="70" t="s">
        <v>92</v>
      </c>
      <c r="H1076" s="69"/>
      <c r="I1076" s="105">
        <v>0.12</v>
      </c>
      <c r="J1076" s="106">
        <v>1000.0</v>
      </c>
      <c r="K1076" s="73"/>
      <c r="L1076" s="73"/>
      <c r="M1076" s="73"/>
      <c r="N1076" s="74"/>
    </row>
    <row r="1077" ht="30.0" hidden="1" customHeight="1">
      <c r="A1077" s="68">
        <v>1085.0</v>
      </c>
      <c r="B1077" s="68"/>
      <c r="C1077" s="68"/>
      <c r="D1077" s="69" t="str">
        <f>CONCATENATE(PROPER('DASMA INFO'!$G1077),", ",PROPER('DASMA INFO'!$E1077)," ",PROPER('DASMA INFO'!$F1077),"."," (",UPPER('DASMA INFO'!$H1077),")")</f>
        <v>De Guia, Lorna D. ()</v>
      </c>
      <c r="E1077" s="70" t="s">
        <v>276</v>
      </c>
      <c r="F1077" s="70" t="s">
        <v>1078</v>
      </c>
      <c r="G1077" s="70" t="s">
        <v>1889</v>
      </c>
      <c r="H1077" s="70"/>
      <c r="I1077" s="105">
        <v>0.12</v>
      </c>
      <c r="J1077" s="106">
        <v>1000.0</v>
      </c>
      <c r="K1077" s="73"/>
      <c r="L1077" s="73"/>
      <c r="M1077" s="73"/>
      <c r="N1077" s="74"/>
    </row>
    <row r="1078" ht="30.0" hidden="1" customHeight="1">
      <c r="A1078" s="68">
        <v>1086.0</v>
      </c>
      <c r="B1078" s="68"/>
      <c r="C1078" s="68"/>
      <c r="D1078" s="69" t="str">
        <f>CONCATENATE(PROPER('DASMA INFO'!$G1078),", ",PROPER('DASMA INFO'!$E1078)," ",PROPER('DASMA INFO'!$F1078),"."," (",UPPER('DASMA INFO'!$H1078),")")</f>
        <v>Araujo, Rene K. ()</v>
      </c>
      <c r="E1078" s="70" t="s">
        <v>2263</v>
      </c>
      <c r="F1078" s="70" t="s">
        <v>2255</v>
      </c>
      <c r="G1078" s="70" t="s">
        <v>2264</v>
      </c>
      <c r="H1078" s="69"/>
      <c r="I1078" s="105">
        <v>0.12</v>
      </c>
      <c r="J1078" s="106">
        <v>1000.0</v>
      </c>
      <c r="K1078" s="73"/>
      <c r="L1078" s="73"/>
      <c r="M1078" s="73"/>
      <c r="N1078" s="74"/>
    </row>
    <row r="1079" ht="30.0" hidden="1" customHeight="1">
      <c r="A1079" s="68">
        <v>1087.0</v>
      </c>
      <c r="B1079" s="68"/>
      <c r="C1079" s="68"/>
      <c r="D1079" s="69" t="str">
        <f>CONCATENATE(PROPER('DASMA INFO'!$G1079),", ",PROPER('DASMA INFO'!$E1079)," ",PROPER('DASMA INFO'!$F1079),"."," (",UPPER('DASMA INFO'!$H1079),")")</f>
        <v>Pineda, Sheila . ()</v>
      </c>
      <c r="E1079" s="70" t="s">
        <v>2265</v>
      </c>
      <c r="F1079" s="70"/>
      <c r="G1079" s="70" t="s">
        <v>2266</v>
      </c>
      <c r="H1079" s="69"/>
      <c r="I1079" s="105">
        <v>0.12</v>
      </c>
      <c r="J1079" s="106">
        <v>1000.0</v>
      </c>
      <c r="K1079" s="73"/>
      <c r="L1079" s="73"/>
      <c r="M1079" s="73"/>
      <c r="N1079" s="74"/>
    </row>
    <row r="1080" ht="30.0" hidden="1" customHeight="1">
      <c r="A1080" s="68">
        <v>1088.0</v>
      </c>
      <c r="B1080" s="68"/>
      <c r="C1080" s="68"/>
      <c r="D1080" s="69" t="str">
        <f>CONCATENATE(PROPER('DASMA INFO'!$G1080),", ",PROPER('DASMA INFO'!$E1080)," ",PROPER('DASMA INFO'!$F1080),"."," (",UPPER('DASMA INFO'!$H1080),")")</f>
        <v>,  . ()</v>
      </c>
      <c r="E1080" s="70"/>
      <c r="F1080" s="70"/>
      <c r="G1080" s="70"/>
      <c r="H1080" s="69"/>
      <c r="I1080" s="105">
        <v>0.12</v>
      </c>
      <c r="J1080" s="106">
        <v>1000.0</v>
      </c>
      <c r="K1080" s="73"/>
      <c r="L1080" s="73"/>
      <c r="M1080" s="73"/>
      <c r="N1080" s="74"/>
    </row>
    <row r="1081" ht="30.0" hidden="1" customHeight="1">
      <c r="A1081" s="68">
        <v>1089.0</v>
      </c>
      <c r="B1081" s="68"/>
      <c r="C1081" s="68"/>
      <c r="D1081" s="69" t="str">
        <f>CONCATENATE(PROPER('DASMA INFO'!$G1081),", ",PROPER('DASMA INFO'!$E1081)," ",PROPER('DASMA INFO'!$F1081),"."," (",UPPER('DASMA INFO'!$H1081),")")</f>
        <v>Lacoste, Maria . ()</v>
      </c>
      <c r="E1081" s="70" t="s">
        <v>640</v>
      </c>
      <c r="F1081" s="70"/>
      <c r="G1081" s="70" t="s">
        <v>2131</v>
      </c>
      <c r="H1081" s="69"/>
      <c r="I1081" s="105">
        <v>0.12</v>
      </c>
      <c r="J1081" s="106">
        <v>1000.0</v>
      </c>
      <c r="K1081" s="73"/>
      <c r="L1081" s="73"/>
      <c r="M1081" s="73"/>
      <c r="N1081" s="74"/>
    </row>
    <row r="1082" ht="30.0" hidden="1" customHeight="1">
      <c r="A1082" s="68">
        <v>1090.0</v>
      </c>
      <c r="B1082" s="68"/>
      <c r="C1082" s="68"/>
      <c r="D1082" s="69" t="str">
        <f>CONCATENATE(PROPER('DASMA INFO'!$G1082),", ",PROPER('DASMA INFO'!$E1082)," ",PROPER('DASMA INFO'!$F1082),"."," (",UPPER('DASMA INFO'!$H1082),")")</f>
        <v>Uzaraga, Lucy . ()</v>
      </c>
      <c r="E1082" s="70" t="s">
        <v>2267</v>
      </c>
      <c r="F1082" s="70"/>
      <c r="G1082" s="70" t="s">
        <v>2268</v>
      </c>
      <c r="H1082" s="69"/>
      <c r="I1082" s="105">
        <v>0.12</v>
      </c>
      <c r="J1082" s="106">
        <v>1000.0</v>
      </c>
      <c r="K1082" s="73"/>
      <c r="L1082" s="73"/>
      <c r="M1082" s="73"/>
      <c r="N1082" s="74"/>
    </row>
    <row r="1083" ht="30.0" hidden="1" customHeight="1">
      <c r="A1083" s="68">
        <v>1091.0</v>
      </c>
      <c r="B1083" s="68"/>
      <c r="C1083" s="68"/>
      <c r="D1083" s="69" t="str">
        <f>CONCATENATE(PROPER('DASMA INFO'!$G1083),", ",PROPER('DASMA INFO'!$E1083)," ",PROPER('DASMA INFO'!$F1083),"."," (",UPPER('DASMA INFO'!$H1083),")")</f>
        <v>Forfieda, Jennifer . ()</v>
      </c>
      <c r="E1083" s="70" t="s">
        <v>964</v>
      </c>
      <c r="F1083" s="70"/>
      <c r="G1083" s="70" t="s">
        <v>2269</v>
      </c>
      <c r="H1083" s="69"/>
      <c r="I1083" s="105">
        <v>0.12</v>
      </c>
      <c r="J1083" s="106">
        <v>1000.0</v>
      </c>
      <c r="K1083" s="73"/>
      <c r="L1083" s="73"/>
      <c r="M1083" s="73"/>
      <c r="N1083" s="74"/>
    </row>
    <row r="1084" ht="30.0" hidden="1" customHeight="1">
      <c r="A1084" s="68">
        <v>1092.0</v>
      </c>
      <c r="B1084" s="68"/>
      <c r="C1084" s="68"/>
      <c r="D1084" s="69" t="str">
        <f>CONCATENATE(PROPER('DASMA INFO'!$G1084),", ",PROPER('DASMA INFO'!$E1084)," ",PROPER('DASMA INFO'!$F1084),"."," (",UPPER('DASMA INFO'!$H1084),")")</f>
        <v>Bolario, Jaime T. ()</v>
      </c>
      <c r="E1084" s="70" t="s">
        <v>2063</v>
      </c>
      <c r="F1084" s="70" t="s">
        <v>752</v>
      </c>
      <c r="G1084" s="70" t="s">
        <v>2270</v>
      </c>
      <c r="H1084" s="69"/>
      <c r="I1084" s="105">
        <v>0.12</v>
      </c>
      <c r="J1084" s="106">
        <v>1000.0</v>
      </c>
      <c r="K1084" s="73" t="s">
        <v>960</v>
      </c>
      <c r="L1084" s="73"/>
      <c r="M1084" s="73"/>
      <c r="N1084" s="74"/>
    </row>
    <row r="1085" ht="30.0" hidden="1" customHeight="1">
      <c r="A1085" s="68">
        <v>1093.0</v>
      </c>
      <c r="B1085" s="68"/>
      <c r="C1085" s="68"/>
      <c r="D1085" s="69" t="str">
        <f>CONCATENATE(PROPER('DASMA INFO'!$G1085),", ",PROPER('DASMA INFO'!$E1085)," ",PROPER('DASMA INFO'!$F1085),"."," (",UPPER('DASMA INFO'!$H1085),")")</f>
        <v>Zulueta, Sergio . ()</v>
      </c>
      <c r="E1085" s="70" t="s">
        <v>2271</v>
      </c>
      <c r="F1085" s="70"/>
      <c r="G1085" s="70" t="s">
        <v>2272</v>
      </c>
      <c r="H1085" s="69"/>
      <c r="I1085" s="105">
        <v>0.12</v>
      </c>
      <c r="J1085" s="106">
        <v>1000.0</v>
      </c>
      <c r="K1085" s="73"/>
      <c r="L1085" s="73"/>
      <c r="M1085" s="73"/>
      <c r="N1085" s="74"/>
    </row>
    <row r="1086" ht="30.0" hidden="1" customHeight="1">
      <c r="A1086" s="68">
        <v>1094.0</v>
      </c>
      <c r="B1086" s="68"/>
      <c r="C1086" s="68"/>
      <c r="D1086" s="69" t="str">
        <f>CONCATENATE(PROPER('DASMA INFO'!$G1086),", ",PROPER('DASMA INFO'!$E1086)," ",PROPER('DASMA INFO'!$F1086),"."," (",UPPER('DASMA INFO'!$H1086),")")</f>
        <v>Cabug, Jon Jon . ()</v>
      </c>
      <c r="E1086" s="70" t="s">
        <v>2273</v>
      </c>
      <c r="F1086" s="70"/>
      <c r="G1086" s="70" t="s">
        <v>2240</v>
      </c>
      <c r="H1086" s="69"/>
      <c r="I1086" s="105">
        <v>0.12</v>
      </c>
      <c r="J1086" s="106">
        <v>1000.0</v>
      </c>
      <c r="K1086" s="73"/>
      <c r="L1086" s="73"/>
      <c r="M1086" s="73"/>
      <c r="N1086" s="74"/>
    </row>
    <row r="1087" ht="30.0" hidden="1" customHeight="1">
      <c r="A1087" s="68">
        <v>1095.0</v>
      </c>
      <c r="B1087" s="68"/>
      <c r="C1087" s="68"/>
      <c r="D1087" s="69" t="str">
        <f>CONCATENATE(PROPER('DASMA INFO'!$G1087),", ",PROPER('DASMA INFO'!$E1087)," ",PROPER('DASMA INFO'!$F1087),"."," (",UPPER('DASMA INFO'!$H1087),")")</f>
        <v>Narcida, Josie . ()</v>
      </c>
      <c r="E1087" s="70" t="s">
        <v>1409</v>
      </c>
      <c r="F1087" s="70"/>
      <c r="G1087" s="70" t="s">
        <v>2274</v>
      </c>
      <c r="H1087" s="69"/>
      <c r="I1087" s="105">
        <v>0.12</v>
      </c>
      <c r="J1087" s="106">
        <v>1000.0</v>
      </c>
      <c r="K1087" s="73"/>
      <c r="L1087" s="73"/>
      <c r="M1087" s="73"/>
      <c r="N1087" s="74"/>
    </row>
    <row r="1088" ht="30.0" hidden="1" customHeight="1">
      <c r="A1088" s="68">
        <v>1096.0</v>
      </c>
      <c r="B1088" s="68"/>
      <c r="C1088" s="68"/>
      <c r="D1088" s="69" t="str">
        <f>CONCATENATE(PROPER('DASMA INFO'!$G1088),", ",PROPER('DASMA INFO'!$E1088)," ",PROPER('DASMA INFO'!$F1088),"."," (",UPPER('DASMA INFO'!$H1088),")")</f>
        <v>Bungabong, Ariston C. (JR)</v>
      </c>
      <c r="E1088" s="70" t="s">
        <v>2275</v>
      </c>
      <c r="F1088" s="70" t="s">
        <v>318</v>
      </c>
      <c r="G1088" s="70" t="s">
        <v>2276</v>
      </c>
      <c r="H1088" s="70" t="s">
        <v>629</v>
      </c>
      <c r="I1088" s="105">
        <v>0.12</v>
      </c>
      <c r="J1088" s="106">
        <v>1000.0</v>
      </c>
      <c r="K1088" s="73"/>
      <c r="L1088" s="73"/>
      <c r="M1088" s="73"/>
      <c r="N1088" s="74"/>
    </row>
    <row r="1089" ht="30.0" hidden="1" customHeight="1">
      <c r="A1089" s="68">
        <v>1097.0</v>
      </c>
      <c r="B1089" s="68"/>
      <c r="C1089" s="68"/>
      <c r="D1089" s="69" t="str">
        <f>CONCATENATE(PROPER('DASMA INFO'!$G1089),", ",PROPER('DASMA INFO'!$E1089)," ",PROPER('DASMA INFO'!$F1089),"."," (",UPPER('DASMA INFO'!$H1089),")")</f>
        <v>Costelo, Herminio Baybay . ()</v>
      </c>
      <c r="E1089" s="70" t="s">
        <v>2277</v>
      </c>
      <c r="F1089" s="70"/>
      <c r="G1089" s="70" t="s">
        <v>2209</v>
      </c>
      <c r="H1089" s="69"/>
      <c r="I1089" s="105">
        <v>0.12</v>
      </c>
      <c r="J1089" s="106">
        <v>1000.0</v>
      </c>
      <c r="K1089" s="73"/>
      <c r="L1089" s="73"/>
      <c r="M1089" s="73"/>
      <c r="N1089" s="74"/>
    </row>
    <row r="1090" ht="30.0" hidden="1" customHeight="1">
      <c r="A1090" s="68">
        <v>1098.0</v>
      </c>
      <c r="B1090" s="68"/>
      <c r="C1090" s="68"/>
      <c r="D1090" s="69" t="str">
        <f>CONCATENATE(PROPER('DASMA INFO'!$G1090),", ",PROPER('DASMA INFO'!$E1090)," ",PROPER('DASMA INFO'!$F1090),"."," (",UPPER('DASMA INFO'!$H1090),")")</f>
        <v>Rellama, Jose . ()</v>
      </c>
      <c r="E1090" s="70" t="s">
        <v>303</v>
      </c>
      <c r="F1090" s="70"/>
      <c r="G1090" s="70" t="s">
        <v>2278</v>
      </c>
      <c r="H1090" s="69"/>
      <c r="I1090" s="105">
        <v>0.12</v>
      </c>
      <c r="J1090" s="106">
        <v>1000.0</v>
      </c>
      <c r="K1090" s="73"/>
      <c r="L1090" s="73"/>
      <c r="M1090" s="73"/>
      <c r="N1090" s="74"/>
    </row>
    <row r="1091" ht="30.0" hidden="1" customHeight="1">
      <c r="A1091" s="68">
        <v>1099.0</v>
      </c>
      <c r="B1091" s="68"/>
      <c r="C1091" s="68"/>
      <c r="D1091" s="69" t="str">
        <f>CONCATENATE(PROPER('DASMA INFO'!$G1091),", ",PROPER('DASMA INFO'!$E1091)," ",PROPER('DASMA INFO'!$F1091),"."," (",UPPER('DASMA INFO'!$H1091),")")</f>
        <v>Jimenez, Regie . ()</v>
      </c>
      <c r="E1091" s="70" t="s">
        <v>2279</v>
      </c>
      <c r="F1091" s="70"/>
      <c r="G1091" s="70" t="s">
        <v>520</v>
      </c>
      <c r="H1091" s="69"/>
      <c r="I1091" s="105">
        <v>0.12</v>
      </c>
      <c r="J1091" s="106">
        <v>1000.0</v>
      </c>
      <c r="K1091" s="73"/>
      <c r="L1091" s="73"/>
      <c r="M1091" s="73"/>
      <c r="N1091" s="74"/>
    </row>
    <row r="1092" ht="30.0" hidden="1" customHeight="1">
      <c r="A1092" s="68">
        <v>1100.0</v>
      </c>
      <c r="B1092" s="68"/>
      <c r="C1092" s="68"/>
      <c r="D1092" s="69" t="str">
        <f>CONCATENATE(PROPER('DASMA INFO'!$G1092),", ",PROPER('DASMA INFO'!$E1092)," ",PROPER('DASMA INFO'!$F1092),"."," (",UPPER('DASMA INFO'!$H1092),")")</f>
        <v>Tumalos, Amat . ()</v>
      </c>
      <c r="E1092" s="70" t="s">
        <v>2280</v>
      </c>
      <c r="F1092" s="70"/>
      <c r="G1092" s="70" t="s">
        <v>2281</v>
      </c>
      <c r="H1092" s="69"/>
      <c r="I1092" s="105">
        <v>0.12</v>
      </c>
      <c r="J1092" s="106">
        <v>1000.0</v>
      </c>
      <c r="K1092" s="73"/>
      <c r="L1092" s="73"/>
      <c r="M1092" s="73"/>
      <c r="N1092" s="74"/>
    </row>
    <row r="1093" ht="30.0" hidden="1" customHeight="1">
      <c r="A1093" s="68">
        <v>1101.0</v>
      </c>
      <c r="B1093" s="68"/>
      <c r="C1093" s="68"/>
      <c r="D1093" s="69" t="str">
        <f>CONCATENATE(PROPER('DASMA INFO'!$G1093),", ",PROPER('DASMA INFO'!$E1093)," ",PROPER('DASMA INFO'!$F1093),"."," (",UPPER('DASMA INFO'!$H1093),")")</f>
        <v>Sibayan, Teresa U. ()</v>
      </c>
      <c r="E1093" s="70" t="s">
        <v>1428</v>
      </c>
      <c r="F1093" s="70" t="s">
        <v>1628</v>
      </c>
      <c r="G1093" s="70" t="s">
        <v>2282</v>
      </c>
      <c r="H1093" s="69"/>
      <c r="I1093" s="105">
        <v>0.12</v>
      </c>
      <c r="J1093" s="106">
        <v>1000.0</v>
      </c>
      <c r="K1093" s="73"/>
      <c r="L1093" s="73"/>
      <c r="M1093" s="73"/>
      <c r="N1093" s="74"/>
    </row>
    <row r="1094" ht="30.0" hidden="1" customHeight="1">
      <c r="A1094" s="68">
        <v>1102.0</v>
      </c>
      <c r="B1094" s="68"/>
      <c r="C1094" s="68"/>
      <c r="D1094" s="69" t="str">
        <f>CONCATENATE(PROPER('DASMA INFO'!$G1094),", ",PROPER('DASMA INFO'!$E1094)," ",PROPER('DASMA INFO'!$F1094),"."," (",UPPER('DASMA INFO'!$H1094),")")</f>
        <v>Sibayan, Jonathan U. ()</v>
      </c>
      <c r="E1094" s="70" t="s">
        <v>311</v>
      </c>
      <c r="F1094" s="70" t="s">
        <v>1628</v>
      </c>
      <c r="G1094" s="70" t="s">
        <v>2282</v>
      </c>
      <c r="H1094" s="69"/>
      <c r="I1094" s="105">
        <v>0.12</v>
      </c>
      <c r="J1094" s="106">
        <v>1000.0</v>
      </c>
      <c r="K1094" s="73"/>
      <c r="L1094" s="73"/>
      <c r="M1094" s="73"/>
      <c r="N1094" s="74"/>
    </row>
    <row r="1095" ht="30.0" hidden="1" customHeight="1">
      <c r="A1095" s="68">
        <v>1103.0</v>
      </c>
      <c r="B1095" s="68"/>
      <c r="C1095" s="68"/>
      <c r="D1095" s="69" t="str">
        <f>CONCATENATE(PROPER('DASMA INFO'!$G1095),", ",PROPER('DASMA INFO'!$E1095)," ",PROPER('DASMA INFO'!$F1095),"."," (",UPPER('DASMA INFO'!$H1095),")")</f>
        <v>Guarino, Cherrie . ()</v>
      </c>
      <c r="E1095" s="70" t="s">
        <v>2283</v>
      </c>
      <c r="F1095" s="70"/>
      <c r="G1095" s="70" t="s">
        <v>2284</v>
      </c>
      <c r="H1095" s="69"/>
      <c r="I1095" s="105">
        <v>0.12</v>
      </c>
      <c r="J1095" s="106">
        <v>1000.0</v>
      </c>
      <c r="K1095" s="73"/>
      <c r="L1095" s="73"/>
      <c r="M1095" s="73"/>
      <c r="N1095" s="74"/>
    </row>
    <row r="1096" ht="30.0" hidden="1" customHeight="1">
      <c r="A1096" s="68">
        <v>1104.0</v>
      </c>
      <c r="B1096" s="68"/>
      <c r="C1096" s="68"/>
      <c r="D1096" s="69" t="str">
        <f>CONCATENATE(PROPER('DASMA INFO'!$G1096),", ",PROPER('DASMA INFO'!$E1096)," ",PROPER('DASMA INFO'!$F1096),"."," (",UPPER('DASMA INFO'!$H1096),")")</f>
        <v>Pura, Zenaida . ()</v>
      </c>
      <c r="E1096" s="70" t="s">
        <v>126</v>
      </c>
      <c r="F1096" s="70"/>
      <c r="G1096" s="70" t="s">
        <v>833</v>
      </c>
      <c r="H1096" s="69"/>
      <c r="I1096" s="105">
        <v>0.12</v>
      </c>
      <c r="J1096" s="106">
        <v>1000.0</v>
      </c>
      <c r="K1096" s="73"/>
      <c r="L1096" s="73"/>
      <c r="M1096" s="73"/>
      <c r="N1096" s="74"/>
    </row>
    <row r="1097" ht="30.0" hidden="1" customHeight="1">
      <c r="A1097" s="68">
        <v>1105.0</v>
      </c>
      <c r="B1097" s="68"/>
      <c r="C1097" s="68"/>
      <c r="D1097" s="69" t="str">
        <f>CONCATENATE(PROPER('DASMA INFO'!$G1097),", ",PROPER('DASMA INFO'!$E1097)," ",PROPER('DASMA INFO'!$F1097),"."," (",UPPER('DASMA INFO'!$H1097),")")</f>
        <v>Hererra, Glaiza Mae . ()</v>
      </c>
      <c r="E1097" s="70" t="s">
        <v>2285</v>
      </c>
      <c r="F1097" s="70"/>
      <c r="G1097" s="70" t="s">
        <v>2286</v>
      </c>
      <c r="H1097" s="69"/>
      <c r="I1097" s="105">
        <v>0.12</v>
      </c>
      <c r="J1097" s="106">
        <v>1000.0</v>
      </c>
      <c r="K1097" s="73"/>
      <c r="L1097" s="73"/>
      <c r="M1097" s="73"/>
      <c r="N1097" s="74"/>
    </row>
    <row r="1098" ht="30.0" hidden="1" customHeight="1">
      <c r="A1098" s="68">
        <v>1106.0</v>
      </c>
      <c r="B1098" s="68"/>
      <c r="C1098" s="68"/>
      <c r="D1098" s="69" t="str">
        <f>CONCATENATE(PROPER('DASMA INFO'!$G1098),", ",PROPER('DASMA INFO'!$E1098)," ",PROPER('DASMA INFO'!$F1098),"."," (",UPPER('DASMA INFO'!$H1098),")")</f>
        <v>,  . ()</v>
      </c>
      <c r="E1098" s="70"/>
      <c r="F1098" s="70"/>
      <c r="G1098" s="70"/>
      <c r="H1098" s="69"/>
      <c r="I1098" s="105">
        <v>0.12</v>
      </c>
      <c r="J1098" s="106">
        <v>1000.0</v>
      </c>
      <c r="K1098" s="73"/>
      <c r="L1098" s="73"/>
      <c r="M1098" s="73"/>
      <c r="N1098" s="74"/>
    </row>
    <row r="1099" ht="30.0" hidden="1" customHeight="1">
      <c r="A1099" s="68">
        <v>1107.0</v>
      </c>
      <c r="B1099" s="68"/>
      <c r="C1099" s="68"/>
      <c r="D1099" s="69" t="str">
        <f>CONCATENATE(PROPER('DASMA INFO'!$G1099),", ",PROPER('DASMA INFO'!$E1099)," ",PROPER('DASMA INFO'!$F1099),"."," (",UPPER('DASMA INFO'!$H1099),")")</f>
        <v>Mayati, Jomar . ()</v>
      </c>
      <c r="E1099" s="70" t="s">
        <v>2287</v>
      </c>
      <c r="F1099" s="70"/>
      <c r="G1099" s="70" t="s">
        <v>2288</v>
      </c>
      <c r="H1099" s="69"/>
      <c r="I1099" s="105">
        <v>0.12</v>
      </c>
      <c r="J1099" s="106">
        <v>1000.0</v>
      </c>
      <c r="K1099" s="73"/>
      <c r="L1099" s="73"/>
      <c r="M1099" s="73"/>
      <c r="N1099" s="74"/>
    </row>
    <row r="1100" ht="30.0" hidden="1" customHeight="1">
      <c r="A1100" s="68">
        <v>1108.0</v>
      </c>
      <c r="B1100" s="68"/>
      <c r="C1100" s="68"/>
      <c r="D1100" s="69" t="str">
        <f>CONCATENATE(PROPER('DASMA INFO'!$G1100),", ",PROPER('DASMA INFO'!$E1100)," ",PROPER('DASMA INFO'!$F1100),"."," (",UPPER('DASMA INFO'!$H1100),")")</f>
        <v>Estrella, Cecilia . ()</v>
      </c>
      <c r="E1100" s="70" t="s">
        <v>306</v>
      </c>
      <c r="F1100" s="70"/>
      <c r="G1100" s="70" t="s">
        <v>2289</v>
      </c>
      <c r="H1100" s="69"/>
      <c r="I1100" s="105">
        <v>0.12</v>
      </c>
      <c r="J1100" s="106">
        <v>1000.0</v>
      </c>
      <c r="K1100" s="73"/>
      <c r="L1100" s="73"/>
      <c r="M1100" s="73"/>
      <c r="N1100" s="74"/>
    </row>
    <row r="1101" ht="30.0" hidden="1" customHeight="1">
      <c r="A1101" s="68">
        <v>1109.0</v>
      </c>
      <c r="B1101" s="68"/>
      <c r="C1101" s="68"/>
      <c r="D1101" s="69" t="str">
        <f>CONCATENATE(PROPER('DASMA INFO'!$G1101),", ",PROPER('DASMA INFO'!$E1101)," ",PROPER('DASMA INFO'!$F1101),"."," (",UPPER('DASMA INFO'!$H1101),")")</f>
        <v>Luansing, Edelmar T. ()</v>
      </c>
      <c r="E1101" s="70" t="s">
        <v>2290</v>
      </c>
      <c r="F1101" s="70" t="s">
        <v>752</v>
      </c>
      <c r="G1101" s="70" t="s">
        <v>1465</v>
      </c>
      <c r="H1101" s="69"/>
      <c r="I1101" s="92">
        <v>0.05</v>
      </c>
      <c r="J1101" s="93">
        <v>1000.0</v>
      </c>
      <c r="K1101" s="73" t="s">
        <v>968</v>
      </c>
      <c r="L1101" s="73"/>
      <c r="M1101" s="73"/>
      <c r="N1101" s="74"/>
    </row>
    <row r="1102" ht="30.0" hidden="1" customHeight="1">
      <c r="A1102" s="68">
        <v>1110.0</v>
      </c>
      <c r="B1102" s="68"/>
      <c r="C1102" s="68"/>
      <c r="D1102" s="69" t="str">
        <f>CONCATENATE(PROPER('DASMA INFO'!$G1102),", ",PROPER('DASMA INFO'!$E1102)," ",PROPER('DASMA INFO'!$F1102),"."," (",UPPER('DASMA INFO'!$H1102),")")</f>
        <v>Villanueva, Gilbert . ()</v>
      </c>
      <c r="E1102" s="70" t="s">
        <v>2291</v>
      </c>
      <c r="F1102" s="70"/>
      <c r="G1102" s="70" t="s">
        <v>454</v>
      </c>
      <c r="H1102" s="69"/>
      <c r="I1102" s="105">
        <v>0.12</v>
      </c>
      <c r="J1102" s="106">
        <v>1000.0</v>
      </c>
      <c r="K1102" s="73"/>
      <c r="L1102" s="73"/>
      <c r="M1102" s="73"/>
      <c r="N1102" s="74"/>
    </row>
    <row r="1103" ht="30.0" hidden="1" customHeight="1">
      <c r="A1103" s="68">
        <v>1111.0</v>
      </c>
      <c r="B1103" s="68"/>
      <c r="C1103" s="68"/>
      <c r="D1103" s="69" t="str">
        <f>CONCATENATE(PROPER('DASMA INFO'!$G1103),", ",PROPER('DASMA INFO'!$E1103)," ",PROPER('DASMA INFO'!$F1103),"."," (",UPPER('DASMA INFO'!$H1103),")")</f>
        <v>Ednaco, Ruperto . ()</v>
      </c>
      <c r="E1103" s="70" t="s">
        <v>2292</v>
      </c>
      <c r="F1103" s="70"/>
      <c r="G1103" s="70" t="s">
        <v>2244</v>
      </c>
      <c r="H1103" s="69"/>
      <c r="I1103" s="105">
        <v>0.12</v>
      </c>
      <c r="J1103" s="106">
        <v>1000.0</v>
      </c>
      <c r="K1103" s="73"/>
      <c r="L1103" s="73"/>
      <c r="M1103" s="73"/>
      <c r="N1103" s="74"/>
    </row>
    <row r="1104" ht="30.0" hidden="1" customHeight="1">
      <c r="A1104" s="68">
        <v>1112.0</v>
      </c>
      <c r="B1104" s="68"/>
      <c r="C1104" s="68"/>
      <c r="D1104" s="69" t="str">
        <f>CONCATENATE(PROPER('DASMA INFO'!$G1104),", ",PROPER('DASMA INFO'!$E1104)," ",PROPER('DASMA INFO'!$F1104),"."," (",UPPER('DASMA INFO'!$H1104),")")</f>
        <v>Estrada, Normita P. ()</v>
      </c>
      <c r="E1104" s="70" t="s">
        <v>2101</v>
      </c>
      <c r="F1104" s="70" t="s">
        <v>513</v>
      </c>
      <c r="G1104" s="70" t="s">
        <v>2102</v>
      </c>
      <c r="H1104" s="69"/>
      <c r="I1104" s="92">
        <v>0.05</v>
      </c>
      <c r="J1104" s="93">
        <v>1000.0</v>
      </c>
      <c r="K1104" s="73" t="s">
        <v>2103</v>
      </c>
      <c r="L1104" s="73"/>
      <c r="M1104" s="73"/>
      <c r="N1104" s="74"/>
    </row>
    <row r="1105" ht="30.0" hidden="1" customHeight="1">
      <c r="A1105" s="68">
        <v>1113.0</v>
      </c>
      <c r="B1105" s="68"/>
      <c r="C1105" s="68"/>
      <c r="D1105" s="69" t="str">
        <f>CONCATENATE(PROPER('DASMA INFO'!$G1105),", ",PROPER('DASMA INFO'!$E1105)," ",PROPER('DASMA INFO'!$F1105),"."," (",UPPER('DASMA INFO'!$H1105),")")</f>
        <v>Gallardo, Reynaldo . ()</v>
      </c>
      <c r="E1105" s="70" t="s">
        <v>1028</v>
      </c>
      <c r="F1105" s="70"/>
      <c r="G1105" s="70" t="s">
        <v>1639</v>
      </c>
      <c r="H1105" s="69"/>
      <c r="I1105" s="105">
        <v>0.12</v>
      </c>
      <c r="J1105" s="106">
        <v>1000.0</v>
      </c>
      <c r="K1105" s="73"/>
      <c r="L1105" s="73"/>
      <c r="M1105" s="73"/>
      <c r="N1105" s="74"/>
    </row>
    <row r="1106" ht="30.0" hidden="1" customHeight="1">
      <c r="A1106" s="68">
        <v>1114.0</v>
      </c>
      <c r="B1106" s="68"/>
      <c r="C1106" s="68"/>
      <c r="D1106" s="69" t="str">
        <f>CONCATENATE(PROPER('DASMA INFO'!$G1106),", ",PROPER('DASMA INFO'!$E1106)," ",PROPER('DASMA INFO'!$F1106),"."," (",UPPER('DASMA INFO'!$H1106),")")</f>
        <v>Saiyot, Edwin . ()</v>
      </c>
      <c r="E1106" s="70" t="s">
        <v>424</v>
      </c>
      <c r="F1106" s="70"/>
      <c r="G1106" s="70" t="s">
        <v>2293</v>
      </c>
      <c r="H1106" s="69"/>
      <c r="I1106" s="105">
        <v>0.12</v>
      </c>
      <c r="J1106" s="106">
        <v>1000.0</v>
      </c>
      <c r="K1106" s="73"/>
      <c r="L1106" s="73"/>
      <c r="M1106" s="73"/>
      <c r="N1106" s="74"/>
    </row>
    <row r="1107" ht="30.0" hidden="1" customHeight="1">
      <c r="A1107" s="68">
        <v>1115.0</v>
      </c>
      <c r="B1107" s="68"/>
      <c r="C1107" s="68"/>
      <c r="D1107" s="69" t="str">
        <f>CONCATENATE(PROPER('DASMA INFO'!$G1107),", ",PROPER('DASMA INFO'!$E1107)," ",PROPER('DASMA INFO'!$F1107),"."," (",UPPER('DASMA INFO'!$H1107),")")</f>
        <v>Estrella, Cecilia . ()</v>
      </c>
      <c r="E1107" s="70" t="s">
        <v>306</v>
      </c>
      <c r="F1107" s="70"/>
      <c r="G1107" s="70" t="s">
        <v>2289</v>
      </c>
      <c r="H1107" s="69"/>
      <c r="I1107" s="105">
        <v>0.12</v>
      </c>
      <c r="J1107" s="106">
        <v>1000.0</v>
      </c>
      <c r="K1107" s="73"/>
      <c r="L1107" s="73"/>
      <c r="M1107" s="73"/>
      <c r="N1107" s="74"/>
    </row>
    <row r="1108" ht="30.0" hidden="1" customHeight="1">
      <c r="A1108" s="68">
        <v>1116.0</v>
      </c>
      <c r="B1108" s="68"/>
      <c r="C1108" s="68"/>
      <c r="D1108" s="69" t="str">
        <f>CONCATENATE(PROPER('DASMA INFO'!$G1108),", ",PROPER('DASMA INFO'!$E1108)," ",PROPER('DASMA INFO'!$F1108),"."," (",UPPER('DASMA INFO'!$H1108),")")</f>
        <v>Aserate, Micaela . ()</v>
      </c>
      <c r="E1108" s="70" t="s">
        <v>2294</v>
      </c>
      <c r="F1108" s="70"/>
      <c r="G1108" s="70" t="s">
        <v>2295</v>
      </c>
      <c r="H1108" s="69"/>
      <c r="I1108" s="105">
        <v>0.12</v>
      </c>
      <c r="J1108" s="106">
        <v>1000.0</v>
      </c>
      <c r="K1108" s="73"/>
      <c r="L1108" s="73"/>
      <c r="M1108" s="73"/>
      <c r="N1108" s="74"/>
    </row>
    <row r="1109" ht="30.0" hidden="1" customHeight="1">
      <c r="A1109" s="68">
        <v>1117.0</v>
      </c>
      <c r="B1109" s="68"/>
      <c r="C1109" s="68"/>
      <c r="D1109" s="69" t="str">
        <f>CONCATENATE(PROPER('DASMA INFO'!$G1109),", ",PROPER('DASMA INFO'!$E1109)," ",PROPER('DASMA INFO'!$F1109),"."," (",UPPER('DASMA INFO'!$H1109),")")</f>
        <v>Javier, Beth . ()</v>
      </c>
      <c r="E1109" s="70" t="s">
        <v>469</v>
      </c>
      <c r="F1109" s="70"/>
      <c r="G1109" s="70" t="s">
        <v>1447</v>
      </c>
      <c r="H1109" s="69"/>
      <c r="I1109" s="105">
        <v>0.12</v>
      </c>
      <c r="J1109" s="106">
        <v>1000.0</v>
      </c>
      <c r="K1109" s="73"/>
      <c r="L1109" s="73"/>
      <c r="M1109" s="73"/>
      <c r="N1109" s="74"/>
    </row>
    <row r="1110" ht="30.0" hidden="1" customHeight="1">
      <c r="A1110" s="68">
        <v>1118.0</v>
      </c>
      <c r="B1110" s="68"/>
      <c r="C1110" s="68"/>
      <c r="D1110" s="69" t="str">
        <f>CONCATENATE(PROPER('DASMA INFO'!$G1110),", ",PROPER('DASMA INFO'!$E1110)," ",PROPER('DASMA INFO'!$F1110),"."," (",UPPER('DASMA INFO'!$H1110),")")</f>
        <v>Cruz, Zeny  . ()</v>
      </c>
      <c r="E1110" s="70" t="s">
        <v>2296</v>
      </c>
      <c r="F1110" s="70"/>
      <c r="G1110" s="70" t="s">
        <v>676</v>
      </c>
      <c r="H1110" s="69"/>
      <c r="I1110" s="105">
        <v>0.12</v>
      </c>
      <c r="J1110" s="106">
        <v>1000.0</v>
      </c>
      <c r="K1110" s="73"/>
      <c r="L1110" s="73"/>
      <c r="M1110" s="73"/>
      <c r="N1110" s="74"/>
    </row>
    <row r="1111" ht="30.0" hidden="1" customHeight="1">
      <c r="A1111" s="68">
        <v>1119.0</v>
      </c>
      <c r="B1111" s="68"/>
      <c r="C1111" s="68"/>
      <c r="D1111" s="69" t="str">
        <f>CONCATENATE(PROPER('DASMA INFO'!$G1111),", ",PROPER('DASMA INFO'!$E1111)," ",PROPER('DASMA INFO'!$F1111),"."," (",UPPER('DASMA INFO'!$H1111),")")</f>
        <v>,  . ()</v>
      </c>
      <c r="E1111" s="70"/>
      <c r="F1111" s="70"/>
      <c r="G1111" s="70"/>
      <c r="H1111" s="69"/>
      <c r="I1111" s="105">
        <v>0.12</v>
      </c>
      <c r="J1111" s="106">
        <v>1000.0</v>
      </c>
      <c r="K1111" s="73"/>
      <c r="L1111" s="73"/>
      <c r="M1111" s="73"/>
      <c r="N1111" s="74"/>
    </row>
    <row r="1112" ht="30.0" hidden="1" customHeight="1">
      <c r="A1112" s="68">
        <v>1120.0</v>
      </c>
      <c r="B1112" s="68"/>
      <c r="C1112" s="68"/>
      <c r="D1112" s="69" t="str">
        <f>CONCATENATE(PROPER('DASMA INFO'!$G1112),", ",PROPER('DASMA INFO'!$E1112)," ",PROPER('DASMA INFO'!$F1112),"."," (",UPPER('DASMA INFO'!$H1112),")")</f>
        <v>Cruz, Eveleyn . ()</v>
      </c>
      <c r="E1112" s="70" t="s">
        <v>2297</v>
      </c>
      <c r="F1112" s="70"/>
      <c r="G1112" s="70" t="s">
        <v>676</v>
      </c>
      <c r="H1112" s="69"/>
      <c r="I1112" s="105">
        <v>0.12</v>
      </c>
      <c r="J1112" s="106">
        <v>1000.0</v>
      </c>
      <c r="K1112" s="73"/>
      <c r="L1112" s="73"/>
      <c r="M1112" s="73"/>
      <c r="N1112" s="74"/>
    </row>
    <row r="1113" ht="30.0" hidden="1" customHeight="1">
      <c r="A1113" s="68">
        <v>1121.0</v>
      </c>
      <c r="B1113" s="68"/>
      <c r="C1113" s="68"/>
      <c r="D1113" s="69" t="str">
        <f>CONCATENATE(PROPER('DASMA INFO'!$G1113),", ",PROPER('DASMA INFO'!$E1113)," ",PROPER('DASMA INFO'!$F1113),"."," (",UPPER('DASMA INFO'!$H1113),")")</f>
        <v>Perez, Rosie . ()</v>
      </c>
      <c r="E1113" s="70" t="s">
        <v>235</v>
      </c>
      <c r="F1113" s="70"/>
      <c r="G1113" s="70" t="s">
        <v>236</v>
      </c>
      <c r="H1113" s="69"/>
      <c r="I1113" s="105">
        <v>0.05</v>
      </c>
      <c r="J1113" s="106">
        <v>1000.0</v>
      </c>
      <c r="K1113" s="73" t="s">
        <v>50</v>
      </c>
      <c r="L1113" s="73"/>
      <c r="M1113" s="73"/>
      <c r="N1113" s="74" t="s">
        <v>2298</v>
      </c>
    </row>
    <row r="1114" ht="30.0" hidden="1" customHeight="1">
      <c r="A1114" s="68">
        <v>1122.0</v>
      </c>
      <c r="B1114" s="68"/>
      <c r="C1114" s="68"/>
      <c r="D1114" s="69" t="str">
        <f>CONCATENATE(PROPER('DASMA INFO'!$G1114),", ",PROPER('DASMA INFO'!$E1114)," ",PROPER('DASMA INFO'!$F1114),"."," (",UPPER('DASMA INFO'!$H1114),")")</f>
        <v>Ragala, Zaldy . ()</v>
      </c>
      <c r="E1114" s="70" t="s">
        <v>2299</v>
      </c>
      <c r="F1114" s="70"/>
      <c r="G1114" s="70" t="s">
        <v>2300</v>
      </c>
      <c r="H1114" s="69"/>
      <c r="I1114" s="105">
        <v>0.12</v>
      </c>
      <c r="J1114" s="106">
        <v>1000.0</v>
      </c>
      <c r="K1114" s="73"/>
      <c r="L1114" s="73"/>
      <c r="M1114" s="73"/>
      <c r="N1114" s="74"/>
    </row>
    <row r="1115" ht="30.0" hidden="1" customHeight="1">
      <c r="A1115" s="68">
        <v>1123.0</v>
      </c>
      <c r="B1115" s="68"/>
      <c r="C1115" s="68"/>
      <c r="D1115" s="69" t="str">
        <f>CONCATENATE(PROPER('DASMA INFO'!$G1115),", ",PROPER('DASMA INFO'!$E1115)," ",PROPER('DASMA INFO'!$F1115),"."," (",UPPER('DASMA INFO'!$H1115),")")</f>
        <v>Hayag, Edmundo . ()</v>
      </c>
      <c r="E1115" s="70" t="s">
        <v>2301</v>
      </c>
      <c r="F1115" s="70"/>
      <c r="G1115" s="70" t="s">
        <v>2302</v>
      </c>
      <c r="H1115" s="69"/>
      <c r="I1115" s="105">
        <v>0.12</v>
      </c>
      <c r="J1115" s="106">
        <v>1000.0</v>
      </c>
      <c r="K1115" s="73"/>
      <c r="L1115" s="73"/>
      <c r="M1115" s="73"/>
      <c r="N1115" s="74"/>
    </row>
    <row r="1116" ht="30.0" hidden="1" customHeight="1">
      <c r="A1116" s="68">
        <v>1124.0</v>
      </c>
      <c r="B1116" s="68"/>
      <c r="C1116" s="68"/>
      <c r="D1116" s="69" t="str">
        <f>CONCATENATE(PROPER('DASMA INFO'!$G1116),", ",PROPER('DASMA INFO'!$E1116)," ",PROPER('DASMA INFO'!$F1116),"."," (",UPPER('DASMA INFO'!$H1116),")")</f>
        <v>Dara, Jonalyn . ()</v>
      </c>
      <c r="E1116" s="70" t="s">
        <v>1959</v>
      </c>
      <c r="F1116" s="70"/>
      <c r="G1116" s="70" t="s">
        <v>2303</v>
      </c>
      <c r="H1116" s="69"/>
      <c r="I1116" s="105">
        <v>0.12</v>
      </c>
      <c r="J1116" s="106">
        <v>1000.0</v>
      </c>
      <c r="K1116" s="73"/>
      <c r="L1116" s="73"/>
      <c r="M1116" s="73"/>
      <c r="N1116" s="74"/>
    </row>
    <row r="1117" ht="30.0" hidden="1" customHeight="1">
      <c r="A1117" s="68">
        <v>1125.0</v>
      </c>
      <c r="B1117" s="68"/>
      <c r="C1117" s="68"/>
      <c r="D1117" s="69" t="str">
        <f>CONCATENATE(PROPER('DASMA INFO'!$G1117),", ",PROPER('DASMA INFO'!$E1117)," ",PROPER('DASMA INFO'!$F1117),"."," (",UPPER('DASMA INFO'!$H1117),")")</f>
        <v>Tablang, Rowena R. ()</v>
      </c>
      <c r="E1117" s="70" t="s">
        <v>284</v>
      </c>
      <c r="F1117" s="70" t="s">
        <v>260</v>
      </c>
      <c r="G1117" s="70" t="s">
        <v>1374</v>
      </c>
      <c r="H1117" s="69"/>
      <c r="I1117" s="92">
        <v>0.05</v>
      </c>
      <c r="J1117" s="93">
        <v>1000.0</v>
      </c>
      <c r="K1117" s="73" t="s">
        <v>2304</v>
      </c>
      <c r="L1117" s="73"/>
      <c r="M1117" s="73"/>
      <c r="N1117" s="74"/>
    </row>
    <row r="1118" ht="30.0" hidden="1" customHeight="1">
      <c r="A1118" s="68">
        <v>1126.0</v>
      </c>
      <c r="B1118" s="68"/>
      <c r="C1118" s="68"/>
      <c r="D1118" s="69" t="str">
        <f>CONCATENATE(PROPER('DASMA INFO'!$G1118),", ",PROPER('DASMA INFO'!$E1118)," ",PROPER('DASMA INFO'!$F1118),"."," (",UPPER('DASMA INFO'!$H1118),")")</f>
        <v>Francisco, Nikko . ()</v>
      </c>
      <c r="E1118" s="70" t="s">
        <v>2305</v>
      </c>
      <c r="F1118" s="70"/>
      <c r="G1118" s="70" t="s">
        <v>509</v>
      </c>
      <c r="H1118" s="69"/>
      <c r="I1118" s="105">
        <v>0.12</v>
      </c>
      <c r="J1118" s="106">
        <v>1000.0</v>
      </c>
      <c r="K1118" s="73"/>
      <c r="L1118" s="73"/>
      <c r="M1118" s="73"/>
      <c r="N1118" s="74"/>
    </row>
    <row r="1119" ht="30.0" hidden="1" customHeight="1">
      <c r="A1119" s="68">
        <v>1127.0</v>
      </c>
      <c r="B1119" s="68"/>
      <c r="C1119" s="68"/>
      <c r="D1119" s="69" t="str">
        <f>CONCATENATE(PROPER('DASMA INFO'!$G1119),", ",PROPER('DASMA INFO'!$E1119)," ",PROPER('DASMA INFO'!$F1119),"."," (",UPPER('DASMA INFO'!$H1119),")")</f>
        <v>Mabeza, Jhoanna A. ()</v>
      </c>
      <c r="E1119" s="70" t="s">
        <v>2306</v>
      </c>
      <c r="F1119" s="70" t="s">
        <v>427</v>
      </c>
      <c r="G1119" s="70" t="s">
        <v>35</v>
      </c>
      <c r="H1119" s="69"/>
      <c r="I1119" s="92">
        <v>0.05</v>
      </c>
      <c r="J1119" s="93">
        <v>1000.0</v>
      </c>
      <c r="K1119" s="73" t="s">
        <v>2307</v>
      </c>
      <c r="L1119" s="73"/>
      <c r="M1119" s="73"/>
      <c r="N1119" s="74"/>
    </row>
    <row r="1120" ht="30.0" hidden="1" customHeight="1">
      <c r="A1120" s="68">
        <v>1128.0</v>
      </c>
      <c r="B1120" s="68"/>
      <c r="C1120" s="68"/>
      <c r="D1120" s="69" t="str">
        <f>CONCATENATE(PROPER('DASMA INFO'!$G1120),", ",PROPER('DASMA INFO'!$E1120)," ",PROPER('DASMA INFO'!$F1120),"."," (",UPPER('DASMA INFO'!$H1120),")")</f>
        <v>Diolata, Leonila A. ()</v>
      </c>
      <c r="E1120" s="70" t="s">
        <v>2308</v>
      </c>
      <c r="F1120" s="70" t="s">
        <v>427</v>
      </c>
      <c r="G1120" s="70" t="s">
        <v>2309</v>
      </c>
      <c r="H1120" s="69"/>
      <c r="I1120" s="105">
        <v>0.12</v>
      </c>
      <c r="J1120" s="106">
        <v>1000.0</v>
      </c>
      <c r="K1120" s="73" t="s">
        <v>1017</v>
      </c>
      <c r="L1120" s="73"/>
      <c r="M1120" s="73"/>
      <c r="N1120" s="74"/>
    </row>
    <row r="1121" ht="30.0" hidden="1" customHeight="1">
      <c r="A1121" s="68">
        <v>1129.0</v>
      </c>
      <c r="B1121" s="68"/>
      <c r="C1121" s="68"/>
      <c r="D1121" s="69" t="str">
        <f>CONCATENATE(PROPER('DASMA INFO'!$G1121),", ",PROPER('DASMA INFO'!$E1121)," ",PROPER('DASMA INFO'!$F1121),"."," (",UPPER('DASMA INFO'!$H1121),")")</f>
        <v>Mojado, Mario . ()</v>
      </c>
      <c r="E1121" s="70" t="s">
        <v>1254</v>
      </c>
      <c r="F1121" s="70"/>
      <c r="G1121" s="70" t="s">
        <v>2310</v>
      </c>
      <c r="H1121" s="69"/>
      <c r="I1121" s="105">
        <v>0.12</v>
      </c>
      <c r="J1121" s="106">
        <v>1000.0</v>
      </c>
      <c r="K1121" s="73"/>
      <c r="L1121" s="73"/>
      <c r="M1121" s="73"/>
      <c r="N1121" s="74"/>
    </row>
    <row r="1122" ht="30.0" hidden="1" customHeight="1">
      <c r="A1122" s="68">
        <v>1130.0</v>
      </c>
      <c r="B1122" s="68"/>
      <c r="C1122" s="68"/>
      <c r="D1122" s="69" t="str">
        <f>CONCATENATE(PROPER('DASMA INFO'!$G1122),", ",PROPER('DASMA INFO'!$E1122)," ",PROPER('DASMA INFO'!$F1122),"."," (",UPPER('DASMA INFO'!$H1122),")")</f>
        <v>Rechirei, Rogelio . ()</v>
      </c>
      <c r="E1122" s="70" t="s">
        <v>747</v>
      </c>
      <c r="F1122" s="69"/>
      <c r="G1122" s="70" t="s">
        <v>748</v>
      </c>
      <c r="H1122" s="69"/>
      <c r="I1122" s="105">
        <v>0.12</v>
      </c>
      <c r="J1122" s="106">
        <v>1000.0</v>
      </c>
      <c r="K1122" s="73"/>
      <c r="L1122" s="73"/>
      <c r="M1122" s="73"/>
      <c r="N1122" s="74"/>
    </row>
    <row r="1123" ht="30.0" hidden="1" customHeight="1">
      <c r="A1123" s="68">
        <v>1131.0</v>
      </c>
      <c r="B1123" s="68"/>
      <c r="C1123" s="68"/>
      <c r="D1123" s="69" t="str">
        <f>CONCATENATE(PROPER('DASMA INFO'!$G1123),", ",PROPER('DASMA INFO'!$E1123)," ",PROPER('DASMA INFO'!$F1123),"."," (",UPPER('DASMA INFO'!$H1123),")")</f>
        <v>Pera, Deserie R. ()</v>
      </c>
      <c r="E1123" s="70" t="s">
        <v>2311</v>
      </c>
      <c r="F1123" s="70" t="s">
        <v>260</v>
      </c>
      <c r="G1123" s="70" t="s">
        <v>224</v>
      </c>
      <c r="H1123" s="69"/>
      <c r="I1123" s="105">
        <v>0.12</v>
      </c>
      <c r="J1123" s="106">
        <v>1000.0</v>
      </c>
      <c r="K1123" s="73" t="s">
        <v>1596</v>
      </c>
      <c r="L1123" s="73"/>
      <c r="M1123" s="73"/>
      <c r="N1123" s="74"/>
    </row>
    <row r="1124" ht="30.0" hidden="1" customHeight="1">
      <c r="A1124" s="68">
        <v>1132.0</v>
      </c>
      <c r="B1124" s="68"/>
      <c r="C1124" s="68"/>
      <c r="D1124" s="69" t="str">
        <f>CONCATENATE(PROPER('DASMA INFO'!$G1124),", ",PROPER('DASMA INFO'!$E1124)," ",PROPER('DASMA INFO'!$F1124),"."," (",UPPER('DASMA INFO'!$H1124),")")</f>
        <v>Sayapal, Liza . ()</v>
      </c>
      <c r="E1124" s="70" t="s">
        <v>1677</v>
      </c>
      <c r="F1124" s="69"/>
      <c r="G1124" s="70" t="s">
        <v>2312</v>
      </c>
      <c r="H1124" s="69"/>
      <c r="I1124" s="105">
        <v>0.12</v>
      </c>
      <c r="J1124" s="106">
        <v>1000.0</v>
      </c>
      <c r="K1124" s="73"/>
      <c r="L1124" s="73"/>
      <c r="M1124" s="73"/>
      <c r="N1124" s="74"/>
    </row>
    <row r="1125" ht="30.0" hidden="1" customHeight="1">
      <c r="A1125" s="68">
        <v>1133.0</v>
      </c>
      <c r="B1125" s="68"/>
      <c r="C1125" s="68"/>
      <c r="D1125" s="69" t="str">
        <f>CONCATENATE(PROPER('DASMA INFO'!$G1125),", ",PROPER('DASMA INFO'!$E1125)," ",PROPER('DASMA INFO'!$F1125),"."," (",UPPER('DASMA INFO'!$H1125),")")</f>
        <v>Baes, Paul B. ()</v>
      </c>
      <c r="E1125" s="70" t="s">
        <v>207</v>
      </c>
      <c r="F1125" s="70" t="s">
        <v>627</v>
      </c>
      <c r="G1125" s="70" t="s">
        <v>208</v>
      </c>
      <c r="H1125" s="69"/>
      <c r="I1125" s="92">
        <v>0.05</v>
      </c>
      <c r="J1125" s="93">
        <v>1000.0</v>
      </c>
      <c r="K1125" s="73" t="s">
        <v>968</v>
      </c>
      <c r="L1125" s="73"/>
      <c r="M1125" s="73"/>
      <c r="N1125" s="74"/>
    </row>
    <row r="1126" ht="30.0" hidden="1" customHeight="1">
      <c r="A1126" s="68">
        <v>1134.0</v>
      </c>
      <c r="B1126" s="68"/>
      <c r="C1126" s="68"/>
      <c r="D1126" s="69" t="str">
        <f>CONCATENATE(PROPER('DASMA INFO'!$G1126),", ",PROPER('DASMA INFO'!$E1126)," ",PROPER('DASMA INFO'!$F1126),"."," (",UPPER('DASMA INFO'!$H1126),")")</f>
        <v>Romo, Eden . ()</v>
      </c>
      <c r="E1126" s="70" t="s">
        <v>866</v>
      </c>
      <c r="F1126" s="70"/>
      <c r="G1126" s="70" t="s">
        <v>2313</v>
      </c>
      <c r="H1126" s="69"/>
      <c r="I1126" s="105">
        <v>0.12</v>
      </c>
      <c r="J1126" s="106">
        <v>1000.0</v>
      </c>
      <c r="K1126" s="73"/>
      <c r="L1126" s="73"/>
      <c r="M1126" s="73"/>
      <c r="N1126" s="74"/>
    </row>
    <row r="1127" ht="30.0" hidden="1" customHeight="1">
      <c r="A1127" s="68">
        <v>1135.0</v>
      </c>
      <c r="B1127" s="68"/>
      <c r="C1127" s="68"/>
      <c r="D1127" s="69" t="str">
        <f>CONCATENATE(PROPER('DASMA INFO'!$G1127),", ",PROPER('DASMA INFO'!$E1127)," ",PROPER('DASMA INFO'!$F1127),"."," (",UPPER('DASMA INFO'!$H1127),")")</f>
        <v>Garreon, Maribeth . ()</v>
      </c>
      <c r="E1127" s="70" t="s">
        <v>1326</v>
      </c>
      <c r="F1127" s="70"/>
      <c r="G1127" s="70" t="s">
        <v>2314</v>
      </c>
      <c r="H1127" s="69"/>
      <c r="I1127" s="105">
        <v>0.12</v>
      </c>
      <c r="J1127" s="106">
        <v>1000.0</v>
      </c>
      <c r="K1127" s="73"/>
      <c r="L1127" s="73"/>
      <c r="M1127" s="73"/>
      <c r="N1127" s="74"/>
    </row>
    <row r="1128" ht="30.0" hidden="1" customHeight="1">
      <c r="A1128" s="68">
        <v>1136.0</v>
      </c>
      <c r="B1128" s="68"/>
      <c r="C1128" s="68"/>
      <c r="D1128" s="69" t="str">
        <f>CONCATENATE(PROPER('DASMA INFO'!$G1128),", ",PROPER('DASMA INFO'!$E1128)," ",PROPER('DASMA INFO'!$F1128),"."," (",UPPER('DASMA INFO'!$H1128),")")</f>
        <v>Movillon, Ma Sherryl L. ()</v>
      </c>
      <c r="E1128" s="70" t="s">
        <v>2315</v>
      </c>
      <c r="F1128" s="70" t="s">
        <v>648</v>
      </c>
      <c r="G1128" s="70" t="s">
        <v>136</v>
      </c>
      <c r="H1128" s="69"/>
      <c r="I1128" s="92">
        <v>0.05</v>
      </c>
      <c r="J1128" s="93">
        <v>1000.0</v>
      </c>
      <c r="K1128" s="73" t="s">
        <v>2316</v>
      </c>
      <c r="L1128" s="73"/>
      <c r="M1128" s="73"/>
      <c r="N1128" s="74"/>
    </row>
    <row r="1129" ht="30.0" hidden="1" customHeight="1">
      <c r="A1129" s="68">
        <v>1137.0</v>
      </c>
      <c r="B1129" s="68"/>
      <c r="C1129" s="68"/>
      <c r="D1129" s="69" t="str">
        <f>CONCATENATE(PROPER('DASMA INFO'!$G1129),", ",PROPER('DASMA INFO'!$E1129)," ",PROPER('DASMA INFO'!$F1129),"."," (",UPPER('DASMA INFO'!$H1129),")")</f>
        <v>Velazco, Lourdes . ()</v>
      </c>
      <c r="E1129" s="70" t="s">
        <v>2317</v>
      </c>
      <c r="F1129" s="69"/>
      <c r="G1129" s="70" t="s">
        <v>2318</v>
      </c>
      <c r="H1129" s="69"/>
      <c r="I1129" s="105">
        <v>0.12</v>
      </c>
      <c r="J1129" s="106">
        <v>1000.0</v>
      </c>
      <c r="K1129" s="73"/>
      <c r="L1129" s="73"/>
      <c r="M1129" s="73"/>
      <c r="N1129" s="74"/>
    </row>
    <row r="1130" ht="30.0" hidden="1" customHeight="1">
      <c r="A1130" s="68">
        <v>1138.0</v>
      </c>
      <c r="B1130" s="68"/>
      <c r="C1130" s="68"/>
      <c r="D1130" s="69" t="str">
        <f>CONCATENATE(PROPER('DASMA INFO'!$G1130),", ",PROPER('DASMA INFO'!$E1130)," ",PROPER('DASMA INFO'!$F1130),"."," (",UPPER('DASMA INFO'!$H1130),")")</f>
        <v>Navarra, Renato . ()</v>
      </c>
      <c r="E1130" s="70" t="s">
        <v>201</v>
      </c>
      <c r="F1130" s="69"/>
      <c r="G1130" s="70" t="s">
        <v>2319</v>
      </c>
      <c r="H1130" s="69"/>
      <c r="I1130" s="105">
        <v>0.12</v>
      </c>
      <c r="J1130" s="106">
        <v>1000.0</v>
      </c>
      <c r="K1130" s="73"/>
      <c r="L1130" s="73"/>
      <c r="M1130" s="73"/>
      <c r="N1130" s="74"/>
    </row>
    <row r="1131" ht="30.0" hidden="1" customHeight="1">
      <c r="A1131" s="68">
        <v>1139.0</v>
      </c>
      <c r="B1131" s="68"/>
      <c r="C1131" s="68"/>
      <c r="D1131" s="69" t="str">
        <f>CONCATENATE(PROPER('DASMA INFO'!$G1131),", ",PROPER('DASMA INFO'!$E1131)," ",PROPER('DASMA INFO'!$F1131),"."," (",UPPER('DASMA INFO'!$H1131),")")</f>
        <v>L, Ma Emelda S. ()</v>
      </c>
      <c r="E1131" s="70" t="s">
        <v>2320</v>
      </c>
      <c r="F1131" s="70" t="s">
        <v>342</v>
      </c>
      <c r="G1131" s="70" t="s">
        <v>648</v>
      </c>
      <c r="H1131" s="69"/>
      <c r="I1131" s="105">
        <v>0.12</v>
      </c>
      <c r="J1131" s="106">
        <v>1000.0</v>
      </c>
      <c r="K1131" s="73"/>
      <c r="L1131" s="73"/>
      <c r="M1131" s="73"/>
      <c r="N1131" s="74"/>
    </row>
    <row r="1132" ht="30.0" hidden="1" customHeight="1">
      <c r="A1132" s="68">
        <v>1140.0</v>
      </c>
      <c r="B1132" s="68"/>
      <c r="C1132" s="68"/>
      <c r="D1132" s="69" t="str">
        <f>CONCATENATE(PROPER('DASMA INFO'!$G1132),", ",PROPER('DASMA INFO'!$E1132)," ",PROPER('DASMA INFO'!$F1132),"."," (",UPPER('DASMA INFO'!$H1132),")")</f>
        <v>Serrano, Rebecca . ()</v>
      </c>
      <c r="E1132" s="70" t="s">
        <v>1537</v>
      </c>
      <c r="F1132" s="70"/>
      <c r="G1132" s="70" t="s">
        <v>2321</v>
      </c>
      <c r="H1132" s="69"/>
      <c r="I1132" s="105">
        <v>0.12</v>
      </c>
      <c r="J1132" s="106">
        <v>1000.0</v>
      </c>
      <c r="K1132" s="73"/>
      <c r="L1132" s="73"/>
      <c r="M1132" s="73"/>
      <c r="N1132" s="74"/>
    </row>
    <row r="1133" ht="30.0" hidden="1" customHeight="1">
      <c r="A1133" s="68">
        <v>1141.0</v>
      </c>
      <c r="B1133" s="68"/>
      <c r="C1133" s="68"/>
      <c r="D1133" s="69" t="str">
        <f>CONCATENATE(PROPER('DASMA INFO'!$G1133),", ",PROPER('DASMA INFO'!$E1133)," ",PROPER('DASMA INFO'!$F1133),"."," (",UPPER('DASMA INFO'!$H1133),")")</f>
        <v>Awarez, Arabel . ()</v>
      </c>
      <c r="E1133" s="70" t="s">
        <v>2322</v>
      </c>
      <c r="F1133" s="70"/>
      <c r="G1133" s="70" t="s">
        <v>2323</v>
      </c>
      <c r="H1133" s="69"/>
      <c r="I1133" s="105">
        <v>0.12</v>
      </c>
      <c r="J1133" s="106">
        <v>1000.0</v>
      </c>
      <c r="K1133" s="73"/>
      <c r="L1133" s="73"/>
      <c r="M1133" s="73"/>
      <c r="N1133" s="74"/>
    </row>
    <row r="1134" ht="30.0" hidden="1" customHeight="1">
      <c r="A1134" s="68">
        <v>1142.0</v>
      </c>
      <c r="B1134" s="68"/>
      <c r="C1134" s="68"/>
      <c r="D1134" s="69" t="str">
        <f>CONCATENATE(PROPER('DASMA INFO'!$G1134),", ",PROPER('DASMA INFO'!$E1134)," ",PROPER('DASMA INFO'!$F1134),"."," (",UPPER('DASMA INFO'!$H1134),")")</f>
        <v>Abarro, Rommel . ()</v>
      </c>
      <c r="E1134" s="70" t="s">
        <v>977</v>
      </c>
      <c r="F1134" s="70"/>
      <c r="G1134" s="70" t="s">
        <v>2324</v>
      </c>
      <c r="H1134" s="69"/>
      <c r="I1134" s="105">
        <v>0.12</v>
      </c>
      <c r="J1134" s="106">
        <v>1000.0</v>
      </c>
      <c r="K1134" s="73"/>
      <c r="L1134" s="73"/>
      <c r="M1134" s="73"/>
      <c r="N1134" s="74"/>
    </row>
    <row r="1135" ht="30.0" hidden="1" customHeight="1">
      <c r="A1135" s="68">
        <v>1143.0</v>
      </c>
      <c r="B1135" s="68"/>
      <c r="C1135" s="68"/>
      <c r="D1135" s="69" t="str">
        <f>CONCATENATE(PROPER('DASMA INFO'!$G1135),", ",PROPER('DASMA INFO'!$E1135)," ",PROPER('DASMA INFO'!$F1135),"."," (",UPPER('DASMA INFO'!$H1135),")")</f>
        <v>Pera, Deserie . ()</v>
      </c>
      <c r="E1135" s="70" t="s">
        <v>2311</v>
      </c>
      <c r="F1135" s="70"/>
      <c r="G1135" s="70" t="s">
        <v>224</v>
      </c>
      <c r="H1135" s="69"/>
      <c r="I1135" s="105">
        <v>0.12</v>
      </c>
      <c r="J1135" s="106">
        <v>1000.0</v>
      </c>
      <c r="K1135" s="73"/>
      <c r="L1135" s="73"/>
      <c r="M1135" s="73"/>
      <c r="N1135" s="74"/>
    </row>
    <row r="1136" ht="30.0" hidden="1" customHeight="1">
      <c r="A1136" s="68">
        <v>1144.0</v>
      </c>
      <c r="B1136" s="68"/>
      <c r="C1136" s="68"/>
      <c r="D1136" s="69" t="str">
        <f>CONCATENATE(PROPER('DASMA INFO'!$G1136),", ",PROPER('DASMA INFO'!$E1136)," ",PROPER('DASMA INFO'!$F1136),"."," (",UPPER('DASMA INFO'!$H1136),")")</f>
        <v>,  . ()</v>
      </c>
      <c r="E1136" s="70"/>
      <c r="F1136" s="70"/>
      <c r="G1136" s="70"/>
      <c r="H1136" s="69"/>
      <c r="I1136" s="105">
        <v>0.12</v>
      </c>
      <c r="J1136" s="106">
        <v>1000.0</v>
      </c>
      <c r="K1136" s="73"/>
      <c r="L1136" s="73"/>
      <c r="M1136" s="73"/>
      <c r="N1136" s="74"/>
    </row>
    <row r="1137" ht="30.0" hidden="1" customHeight="1">
      <c r="A1137" s="68">
        <v>1145.0</v>
      </c>
      <c r="B1137" s="68"/>
      <c r="C1137" s="68"/>
      <c r="D1137" s="69" t="str">
        <f>CONCATENATE(PROPER('DASMA INFO'!$G1137),", ",PROPER('DASMA INFO'!$E1137)," ",PROPER('DASMA INFO'!$F1137),"."," (",UPPER('DASMA INFO'!$H1137),")")</f>
        <v>Nanquil, Shiela Mae . ()</v>
      </c>
      <c r="E1137" s="70" t="s">
        <v>2325</v>
      </c>
      <c r="F1137" s="70"/>
      <c r="G1137" s="70" t="s">
        <v>2326</v>
      </c>
      <c r="H1137" s="69"/>
      <c r="I1137" s="105">
        <v>0.12</v>
      </c>
      <c r="J1137" s="106">
        <v>1000.0</v>
      </c>
      <c r="K1137" s="73"/>
      <c r="L1137" s="73"/>
      <c r="M1137" s="73"/>
      <c r="N1137" s="74"/>
    </row>
    <row r="1138" ht="30.0" hidden="1" customHeight="1">
      <c r="A1138" s="68">
        <v>1146.0</v>
      </c>
      <c r="B1138" s="68"/>
      <c r="C1138" s="68"/>
      <c r="D1138" s="69" t="str">
        <f>CONCATENATE(PROPER('DASMA INFO'!$G1138),", ",PROPER('DASMA INFO'!$E1138)," ",PROPER('DASMA INFO'!$F1138),"."," (",UPPER('DASMA INFO'!$H1138),")")</f>
        <v>,  . ()</v>
      </c>
      <c r="E1138" s="70"/>
      <c r="F1138" s="70"/>
      <c r="G1138" s="70"/>
      <c r="H1138" s="69"/>
      <c r="I1138" s="105">
        <v>0.12</v>
      </c>
      <c r="J1138" s="106">
        <v>1000.0</v>
      </c>
      <c r="K1138" s="73"/>
      <c r="L1138" s="73"/>
      <c r="M1138" s="73"/>
      <c r="N1138" s="74"/>
    </row>
    <row r="1139" ht="30.0" hidden="1" customHeight="1">
      <c r="A1139" s="68">
        <v>1147.0</v>
      </c>
      <c r="B1139" s="68"/>
      <c r="C1139" s="68"/>
      <c r="D1139" s="69" t="str">
        <f>CONCATENATE(PROPER('DASMA INFO'!$G1139),", ",PROPER('DASMA INFO'!$E1139)," ",PROPER('DASMA INFO'!$F1139),"."," (",UPPER('DASMA INFO'!$H1139),")")</f>
        <v>,  . ()</v>
      </c>
      <c r="E1139" s="70"/>
      <c r="F1139" s="70"/>
      <c r="G1139" s="70"/>
      <c r="H1139" s="69"/>
      <c r="I1139" s="105">
        <v>0.12</v>
      </c>
      <c r="J1139" s="106">
        <v>1000.0</v>
      </c>
      <c r="K1139" s="73"/>
      <c r="L1139" s="73"/>
      <c r="M1139" s="73"/>
      <c r="N1139" s="74"/>
    </row>
    <row r="1140" ht="30.0" hidden="1" customHeight="1">
      <c r="A1140" s="68">
        <v>1148.0</v>
      </c>
      <c r="B1140" s="68"/>
      <c r="C1140" s="68"/>
      <c r="D1140" s="69" t="str">
        <f>CONCATENATE(PROPER('DASMA INFO'!$G1140),", ",PROPER('DASMA INFO'!$E1140)," ",PROPER('DASMA INFO'!$F1140),"."," (",UPPER('DASMA INFO'!$H1140),")")</f>
        <v>Nanquil, Essie . ()</v>
      </c>
      <c r="E1140" s="70" t="s">
        <v>2327</v>
      </c>
      <c r="F1140" s="70"/>
      <c r="G1140" s="70" t="s">
        <v>2326</v>
      </c>
      <c r="H1140" s="69"/>
      <c r="I1140" s="105">
        <v>0.12</v>
      </c>
      <c r="J1140" s="106">
        <v>1000.0</v>
      </c>
      <c r="K1140" s="73"/>
      <c r="L1140" s="73"/>
      <c r="M1140" s="73"/>
      <c r="N1140" s="74"/>
    </row>
    <row r="1141" ht="30.0" hidden="1" customHeight="1">
      <c r="A1141" s="68">
        <v>1149.0</v>
      </c>
      <c r="B1141" s="68"/>
      <c r="C1141" s="68"/>
      <c r="D1141" s="69" t="str">
        <f>CONCATENATE(PROPER('DASMA INFO'!$G1141),", ",PROPER('DASMA INFO'!$E1141)," ",PROPER('DASMA INFO'!$F1141),"."," (",UPPER('DASMA INFO'!$H1141),")")</f>
        <v>Camarador, Leonila . ()</v>
      </c>
      <c r="E1141" s="70" t="s">
        <v>2308</v>
      </c>
      <c r="F1141" s="70"/>
      <c r="G1141" s="70" t="s">
        <v>2328</v>
      </c>
      <c r="H1141" s="69"/>
      <c r="I1141" s="105">
        <v>0.12</v>
      </c>
      <c r="J1141" s="106">
        <v>1000.0</v>
      </c>
      <c r="K1141" s="73"/>
      <c r="L1141" s="73"/>
      <c r="M1141" s="73"/>
      <c r="N1141" s="74"/>
    </row>
    <row r="1142" ht="30.0" hidden="1" customHeight="1">
      <c r="A1142" s="68">
        <v>1150.0</v>
      </c>
      <c r="B1142" s="68"/>
      <c r="C1142" s="68"/>
      <c r="D1142" s="69" t="str">
        <f>CONCATENATE(PROPER('DASMA INFO'!$G1142),", ",PROPER('DASMA INFO'!$E1142)," ",PROPER('DASMA INFO'!$F1142),"."," (",UPPER('DASMA INFO'!$H1142),")")</f>
        <v>Forfieda, Jobanil . ()</v>
      </c>
      <c r="E1142" s="70" t="s">
        <v>2329</v>
      </c>
      <c r="F1142" s="69"/>
      <c r="G1142" s="70" t="s">
        <v>2269</v>
      </c>
      <c r="H1142" s="69"/>
      <c r="I1142" s="105">
        <v>0.12</v>
      </c>
      <c r="J1142" s="106">
        <v>1000.0</v>
      </c>
      <c r="K1142" s="73"/>
      <c r="L1142" s="73"/>
      <c r="M1142" s="73"/>
      <c r="N1142" s="74"/>
    </row>
    <row r="1143" ht="30.0" hidden="1" customHeight="1">
      <c r="A1143" s="68">
        <v>1151.0</v>
      </c>
      <c r="B1143" s="68"/>
      <c r="C1143" s="68"/>
      <c r="D1143" s="69" t="str">
        <f>CONCATENATE(PROPER('DASMA INFO'!$G1143),", ",PROPER('DASMA INFO'!$E1143)," ",PROPER('DASMA INFO'!$F1143),"."," (",UPPER('DASMA INFO'!$H1143),")")</f>
        <v>Fabula, Choi . ()</v>
      </c>
      <c r="E1143" s="70" t="s">
        <v>2330</v>
      </c>
      <c r="F1143" s="69"/>
      <c r="G1143" s="70" t="s">
        <v>2331</v>
      </c>
      <c r="H1143" s="69"/>
      <c r="I1143" s="105">
        <v>0.12</v>
      </c>
      <c r="J1143" s="106">
        <v>1000.0</v>
      </c>
      <c r="K1143" s="73"/>
      <c r="L1143" s="73"/>
      <c r="M1143" s="73"/>
      <c r="N1143" s="74"/>
    </row>
    <row r="1144" ht="30.0" hidden="1" customHeight="1">
      <c r="A1144" s="68">
        <v>1152.0</v>
      </c>
      <c r="B1144" s="68"/>
      <c r="C1144" s="68"/>
      <c r="D1144" s="69" t="str">
        <f>CONCATENATE(PROPER('DASMA INFO'!$G1144),", ",PROPER('DASMA INFO'!$E1144)," ",PROPER('DASMA INFO'!$F1144),"."," (",UPPER('DASMA INFO'!$H1144),")")</f>
        <v>Valencia, Danilo . ()</v>
      </c>
      <c r="E1144" s="70" t="s">
        <v>251</v>
      </c>
      <c r="F1144" s="69"/>
      <c r="G1144" s="70" t="s">
        <v>898</v>
      </c>
      <c r="H1144" s="69"/>
      <c r="I1144" s="105">
        <v>0.12</v>
      </c>
      <c r="J1144" s="106">
        <v>1000.0</v>
      </c>
      <c r="K1144" s="73"/>
      <c r="L1144" s="73"/>
      <c r="M1144" s="73"/>
      <c r="N1144" s="74"/>
    </row>
    <row r="1145" ht="30.0" hidden="1" customHeight="1">
      <c r="A1145" s="68">
        <v>1153.0</v>
      </c>
      <c r="B1145" s="68"/>
      <c r="C1145" s="68"/>
      <c r="D1145" s="69" t="str">
        <f>CONCATENATE(PROPER('DASMA INFO'!$G1145),", ",PROPER('DASMA INFO'!$E1145)," ",PROPER('DASMA INFO'!$F1145),"."," (",UPPER('DASMA INFO'!$H1145),")")</f>
        <v>Fernandez, Geraldine . ()</v>
      </c>
      <c r="E1145" s="70" t="s">
        <v>1175</v>
      </c>
      <c r="F1145" s="69"/>
      <c r="G1145" s="70" t="s">
        <v>762</v>
      </c>
      <c r="H1145" s="69"/>
      <c r="I1145" s="105">
        <v>0.12</v>
      </c>
      <c r="J1145" s="106">
        <v>1000.0</v>
      </c>
      <c r="K1145" s="73"/>
      <c r="L1145" s="73"/>
      <c r="M1145" s="73"/>
      <c r="N1145" s="74"/>
    </row>
    <row r="1146" ht="30.0" hidden="1" customHeight="1">
      <c r="A1146" s="68">
        <v>1154.0</v>
      </c>
      <c r="B1146" s="68"/>
      <c r="C1146" s="68"/>
      <c r="D1146" s="69" t="str">
        <f>CONCATENATE(PROPER('DASMA INFO'!$G1146),", ",PROPER('DASMA INFO'!$E1146)," ",PROPER('DASMA INFO'!$F1146),"."," (",UPPER('DASMA INFO'!$H1146),")")</f>
        <v>Nanqul, Shiela . ()</v>
      </c>
      <c r="E1146" s="70" t="s">
        <v>974</v>
      </c>
      <c r="F1146" s="69"/>
      <c r="G1146" s="70" t="s">
        <v>2332</v>
      </c>
      <c r="H1146" s="69"/>
      <c r="I1146" s="105">
        <v>0.12</v>
      </c>
      <c r="J1146" s="106">
        <v>1000.0</v>
      </c>
      <c r="K1146" s="73"/>
      <c r="L1146" s="73"/>
      <c r="M1146" s="73"/>
      <c r="N1146" s="74"/>
    </row>
    <row r="1147" ht="30.0" hidden="1" customHeight="1">
      <c r="A1147" s="68">
        <v>1155.0</v>
      </c>
      <c r="B1147" s="68"/>
      <c r="C1147" s="68"/>
      <c r="D1147" s="69" t="str">
        <f>CONCATENATE(PROPER('DASMA INFO'!$G1147),", ",PROPER('DASMA INFO'!$E1147)," ",PROPER('DASMA INFO'!$F1147),"."," (",UPPER('DASMA INFO'!$H1147),")")</f>
        <v>Mallari, Gharol . ()</v>
      </c>
      <c r="E1147" s="70" t="s">
        <v>2333</v>
      </c>
      <c r="F1147" s="69"/>
      <c r="G1147" s="70" t="s">
        <v>2334</v>
      </c>
      <c r="H1147" s="69"/>
      <c r="I1147" s="105">
        <v>0.12</v>
      </c>
      <c r="J1147" s="106">
        <v>1000.0</v>
      </c>
      <c r="K1147" s="73"/>
      <c r="L1147" s="73"/>
      <c r="M1147" s="73"/>
      <c r="N1147" s="74"/>
    </row>
    <row r="1148" ht="30.0" hidden="1" customHeight="1">
      <c r="A1148" s="68">
        <v>1156.0</v>
      </c>
      <c r="B1148" s="68"/>
      <c r="C1148" s="68"/>
      <c r="D1148" s="69" t="str">
        <f>CONCATENATE(PROPER('DASMA INFO'!$G1148),", ",PROPER('DASMA INFO'!$E1148)," ",PROPER('DASMA INFO'!$F1148),"."," (",UPPER('DASMA INFO'!$H1148),")")</f>
        <v>Cabugao, Felipe C. (JR)</v>
      </c>
      <c r="E1148" s="70" t="s">
        <v>184</v>
      </c>
      <c r="F1148" s="70" t="s">
        <v>318</v>
      </c>
      <c r="G1148" s="70" t="s">
        <v>185</v>
      </c>
      <c r="H1148" s="70" t="s">
        <v>629</v>
      </c>
      <c r="I1148" s="105">
        <v>0.05</v>
      </c>
      <c r="J1148" s="106">
        <v>1000.0</v>
      </c>
      <c r="K1148" s="73" t="s">
        <v>2335</v>
      </c>
      <c r="L1148" s="73" t="s">
        <v>808</v>
      </c>
      <c r="M1148" s="73">
        <v>2022.0</v>
      </c>
      <c r="N1148" s="74"/>
    </row>
    <row r="1149" ht="30.0" hidden="1" customHeight="1">
      <c r="A1149" s="68">
        <v>1157.0</v>
      </c>
      <c r="B1149" s="68"/>
      <c r="C1149" s="68"/>
      <c r="D1149" s="69" t="str">
        <f>CONCATENATE(PROPER('DASMA INFO'!$G1149),", ",PROPER('DASMA INFO'!$E1149)," ",PROPER('DASMA INFO'!$F1149),"."," (",UPPER('DASMA INFO'!$H1149),")")</f>
        <v>Abadier, Benjamin . ()</v>
      </c>
      <c r="E1149" s="70" t="s">
        <v>186</v>
      </c>
      <c r="F1149" s="69"/>
      <c r="G1149" s="70" t="s">
        <v>187</v>
      </c>
      <c r="H1149" s="69"/>
      <c r="I1149" s="105">
        <v>0.12</v>
      </c>
      <c r="J1149" s="106">
        <v>1000.0</v>
      </c>
      <c r="K1149" s="73"/>
      <c r="L1149" s="73"/>
      <c r="M1149" s="73"/>
      <c r="N1149" s="74"/>
    </row>
    <row r="1150" ht="30.0" hidden="1" customHeight="1">
      <c r="A1150" s="68">
        <v>1158.0</v>
      </c>
      <c r="B1150" s="68"/>
      <c r="C1150" s="68"/>
      <c r="D1150" s="69" t="str">
        <f>CONCATENATE(PROPER('DASMA INFO'!$G1150),", ",PROPER('DASMA INFO'!$E1150)," ",PROPER('DASMA INFO'!$F1150),"."," (",UPPER('DASMA INFO'!$H1150),")")</f>
        <v>Marin, John . ()</v>
      </c>
      <c r="E1150" s="70" t="s">
        <v>1303</v>
      </c>
      <c r="F1150" s="69"/>
      <c r="G1150" s="70" t="s">
        <v>2336</v>
      </c>
      <c r="H1150" s="69"/>
      <c r="I1150" s="105">
        <v>0.12</v>
      </c>
      <c r="J1150" s="106">
        <v>1000.0</v>
      </c>
      <c r="K1150" s="73"/>
      <c r="L1150" s="73"/>
      <c r="M1150" s="73"/>
      <c r="N1150" s="74"/>
    </row>
    <row r="1151" ht="30.0" hidden="1" customHeight="1">
      <c r="A1151" s="68">
        <v>1159.0</v>
      </c>
      <c r="B1151" s="68"/>
      <c r="C1151" s="68"/>
      <c r="D1151" s="69" t="str">
        <f>CONCATENATE(PROPER('DASMA INFO'!$G1151),", ",PROPER('DASMA INFO'!$E1151)," ",PROPER('DASMA INFO'!$F1151),"."," (",UPPER('DASMA INFO'!$H1151),")")</f>
        <v>Peria, Ronnie E. ()</v>
      </c>
      <c r="E1151" s="70" t="s">
        <v>249</v>
      </c>
      <c r="F1151" s="70" t="s">
        <v>299</v>
      </c>
      <c r="G1151" s="70" t="s">
        <v>250</v>
      </c>
      <c r="H1151" s="69"/>
      <c r="I1151" s="92">
        <v>0.05</v>
      </c>
      <c r="J1151" s="93">
        <v>3000.0</v>
      </c>
      <c r="K1151" s="73" t="s">
        <v>2337</v>
      </c>
      <c r="L1151" s="73"/>
      <c r="M1151" s="73"/>
      <c r="N1151" s="74"/>
    </row>
    <row r="1152" ht="30.0" hidden="1" customHeight="1">
      <c r="A1152" s="68">
        <v>1160.0</v>
      </c>
      <c r="B1152" s="68"/>
      <c r="C1152" s="68"/>
      <c r="D1152" s="69" t="str">
        <f>CONCATENATE(PROPER('DASMA INFO'!$G1152),", ",PROPER('DASMA INFO'!$E1152)," ",PROPER('DASMA INFO'!$F1152),"."," (",UPPER('DASMA INFO'!$H1152),")")</f>
        <v>Bautista, Shela . ()</v>
      </c>
      <c r="E1152" s="70" t="s">
        <v>2338</v>
      </c>
      <c r="F1152" s="70"/>
      <c r="G1152" s="70" t="s">
        <v>275</v>
      </c>
      <c r="H1152" s="69"/>
      <c r="I1152" s="105">
        <v>0.12</v>
      </c>
      <c r="J1152" s="106">
        <v>1000.0</v>
      </c>
      <c r="K1152" s="73"/>
      <c r="L1152" s="73"/>
      <c r="M1152" s="73"/>
      <c r="N1152" s="74"/>
    </row>
    <row r="1153" ht="30.0" hidden="1" customHeight="1">
      <c r="A1153" s="68">
        <v>1161.0</v>
      </c>
      <c r="B1153" s="68"/>
      <c r="C1153" s="68"/>
      <c r="D1153" s="69" t="str">
        <f>CONCATENATE(PROPER('DASMA INFO'!$G1153),", ",PROPER('DASMA INFO'!$E1153)," ",PROPER('DASMA INFO'!$F1153),"."," (",UPPER('DASMA INFO'!$H1153),")")</f>
        <v>Tanyamor, Sherilyn . ()</v>
      </c>
      <c r="E1153" s="70" t="s">
        <v>2339</v>
      </c>
      <c r="F1153" s="70"/>
      <c r="G1153" s="70" t="s">
        <v>2340</v>
      </c>
      <c r="H1153" s="69"/>
      <c r="I1153" s="105">
        <v>0.12</v>
      </c>
      <c r="J1153" s="106">
        <v>1000.0</v>
      </c>
      <c r="K1153" s="73"/>
      <c r="L1153" s="73"/>
      <c r="M1153" s="73"/>
      <c r="N1153" s="74"/>
    </row>
    <row r="1154" ht="30.0" hidden="1" customHeight="1">
      <c r="A1154" s="68">
        <v>1162.0</v>
      </c>
      <c r="B1154" s="68"/>
      <c r="C1154" s="68"/>
      <c r="D1154" s="69" t="str">
        <f>CONCATENATE(PROPER('DASMA INFO'!$G1154),", ",PROPER('DASMA INFO'!$E1154)," ",PROPER('DASMA INFO'!$F1154),"."," (",UPPER('DASMA INFO'!$H1154),")")</f>
        <v>Bernardino, Joan F. ()</v>
      </c>
      <c r="E1154" s="70" t="s">
        <v>130</v>
      </c>
      <c r="F1154" s="70" t="s">
        <v>1738</v>
      </c>
      <c r="G1154" s="70" t="s">
        <v>129</v>
      </c>
      <c r="H1154" s="69"/>
      <c r="I1154" s="92">
        <v>0.05</v>
      </c>
      <c r="J1154" s="93">
        <v>1000.0</v>
      </c>
      <c r="K1154" s="73" t="s">
        <v>2152</v>
      </c>
      <c r="L1154" s="73"/>
      <c r="M1154" s="73"/>
      <c r="N1154" s="74" t="s">
        <v>2341</v>
      </c>
    </row>
    <row r="1155" ht="30.0" hidden="1" customHeight="1">
      <c r="A1155" s="68">
        <v>1163.0</v>
      </c>
      <c r="B1155" s="68"/>
      <c r="C1155" s="68"/>
      <c r="D1155" s="69" t="str">
        <f>CONCATENATE(PROPER('DASMA INFO'!$G1155),", ",PROPER('DASMA INFO'!$E1155)," ",PROPER('DASMA INFO'!$F1155),"."," (",UPPER('DASMA INFO'!$H1155),")")</f>
        <v>Garcia, Ruth Joy . ()</v>
      </c>
      <c r="E1155" s="70" t="s">
        <v>2342</v>
      </c>
      <c r="F1155" s="70"/>
      <c r="G1155" s="70" t="s">
        <v>496</v>
      </c>
      <c r="H1155" s="69"/>
      <c r="I1155" s="105">
        <v>0.12</v>
      </c>
      <c r="J1155" s="106">
        <v>1000.0</v>
      </c>
      <c r="K1155" s="73"/>
      <c r="L1155" s="73"/>
      <c r="M1155" s="73"/>
      <c r="N1155" s="74"/>
    </row>
    <row r="1156" ht="30.0" hidden="1" customHeight="1">
      <c r="A1156" s="68">
        <v>1164.0</v>
      </c>
      <c r="B1156" s="68"/>
      <c r="C1156" s="68"/>
      <c r="D1156" s="69" t="str">
        <f>CONCATENATE(PROPER('DASMA INFO'!$G1156),", ",PROPER('DASMA INFO'!$E1156)," ",PROPER('DASMA INFO'!$F1156),"."," (",UPPER('DASMA INFO'!$H1156),")")</f>
        <v>Cuya, Noel . ()</v>
      </c>
      <c r="E1156" s="70" t="s">
        <v>784</v>
      </c>
      <c r="F1156" s="70"/>
      <c r="G1156" s="70" t="s">
        <v>2343</v>
      </c>
      <c r="H1156" s="69"/>
      <c r="I1156" s="105">
        <v>0.12</v>
      </c>
      <c r="J1156" s="106">
        <v>1000.0</v>
      </c>
      <c r="K1156" s="73"/>
      <c r="L1156" s="73"/>
      <c r="M1156" s="73"/>
      <c r="N1156" s="74"/>
    </row>
    <row r="1157" ht="30.0" hidden="1" customHeight="1">
      <c r="A1157" s="68">
        <v>1165.0</v>
      </c>
      <c r="B1157" s="68"/>
      <c r="C1157" s="68"/>
      <c r="D1157" s="69" t="str">
        <f>CONCATENATE(PROPER('DASMA INFO'!$G1157),", ",PROPER('DASMA INFO'!$E1157)," ",PROPER('DASMA INFO'!$F1157),"."," (",UPPER('DASMA INFO'!$H1157),")")</f>
        <v>Meneses, Tomas . ()</v>
      </c>
      <c r="E1157" s="70" t="s">
        <v>2344</v>
      </c>
      <c r="F1157" s="70"/>
      <c r="G1157" s="70" t="s">
        <v>2345</v>
      </c>
      <c r="H1157" s="69"/>
      <c r="I1157" s="105">
        <v>0.12</v>
      </c>
      <c r="J1157" s="106">
        <v>1000.0</v>
      </c>
      <c r="K1157" s="73"/>
      <c r="L1157" s="73"/>
      <c r="M1157" s="73"/>
      <c r="N1157" s="74"/>
    </row>
    <row r="1158" ht="30.0" hidden="1" customHeight="1">
      <c r="A1158" s="68">
        <v>1166.0</v>
      </c>
      <c r="B1158" s="68"/>
      <c r="C1158" s="68"/>
      <c r="D1158" s="69" t="str">
        <f>CONCATENATE(PROPER('DASMA INFO'!$G1158),", ",PROPER('DASMA INFO'!$E1158)," ",PROPER('DASMA INFO'!$F1158),"."," (",UPPER('DASMA INFO'!$H1158),")")</f>
        <v>Sayam, Ali . ()</v>
      </c>
      <c r="E1158" s="70" t="s">
        <v>2346</v>
      </c>
      <c r="F1158" s="70"/>
      <c r="G1158" s="70" t="s">
        <v>2347</v>
      </c>
      <c r="H1158" s="69"/>
      <c r="I1158" s="105">
        <v>0.12</v>
      </c>
      <c r="J1158" s="106">
        <v>1000.0</v>
      </c>
      <c r="K1158" s="73"/>
      <c r="L1158" s="73"/>
      <c r="M1158" s="73"/>
      <c r="N1158" s="74"/>
    </row>
    <row r="1159" ht="30.0" hidden="1" customHeight="1">
      <c r="A1159" s="68">
        <v>1167.0</v>
      </c>
      <c r="B1159" s="68"/>
      <c r="C1159" s="68"/>
      <c r="D1159" s="69" t="str">
        <f>CONCATENATE(PROPER('DASMA INFO'!$G1159),", ",PROPER('DASMA INFO'!$E1159)," ",PROPER('DASMA INFO'!$F1159),"."," (",UPPER('DASMA INFO'!$H1159),")")</f>
        <v>Yabut, Flocerfida . ()</v>
      </c>
      <c r="E1159" s="70" t="s">
        <v>2348</v>
      </c>
      <c r="F1159" s="70"/>
      <c r="G1159" s="70" t="s">
        <v>810</v>
      </c>
      <c r="H1159" s="69"/>
      <c r="I1159" s="105">
        <v>0.12</v>
      </c>
      <c r="J1159" s="106">
        <v>1000.0</v>
      </c>
      <c r="K1159" s="73"/>
      <c r="L1159" s="73"/>
      <c r="M1159" s="73"/>
      <c r="N1159" s="74"/>
    </row>
    <row r="1160" ht="30.0" hidden="1" customHeight="1">
      <c r="A1160" s="68">
        <v>1168.0</v>
      </c>
      <c r="B1160" s="68"/>
      <c r="C1160" s="68"/>
      <c r="D1160" s="69" t="str">
        <f>CONCATENATE(PROPER('DASMA INFO'!$G1160),", ",PROPER('DASMA INFO'!$E1160)," ",PROPER('DASMA INFO'!$F1160),"."," (",UPPER('DASMA INFO'!$H1160),")")</f>
        <v>Gerance, Erlinda . ()</v>
      </c>
      <c r="E1160" s="70" t="s">
        <v>1533</v>
      </c>
      <c r="F1160" s="70"/>
      <c r="G1160" s="70" t="s">
        <v>2349</v>
      </c>
      <c r="H1160" s="69"/>
      <c r="I1160" s="105">
        <v>0.12</v>
      </c>
      <c r="J1160" s="106">
        <v>1000.0</v>
      </c>
      <c r="K1160" s="73"/>
      <c r="L1160" s="73"/>
      <c r="M1160" s="73"/>
      <c r="N1160" s="74"/>
    </row>
    <row r="1161" ht="30.0" hidden="1" customHeight="1">
      <c r="A1161" s="68">
        <v>1169.0</v>
      </c>
      <c r="B1161" s="68"/>
      <c r="C1161" s="68"/>
      <c r="D1161" s="69" t="str">
        <f>CONCATENATE(PROPER('DASMA INFO'!$G1161),", ",PROPER('DASMA INFO'!$E1161)," ",PROPER('DASMA INFO'!$F1161),"."," (",UPPER('DASMA INFO'!$H1161),")")</f>
        <v>Ujike, Celina . ()</v>
      </c>
      <c r="E1161" s="70" t="s">
        <v>2350</v>
      </c>
      <c r="F1161" s="69"/>
      <c r="G1161" s="70" t="s">
        <v>2351</v>
      </c>
      <c r="H1161" s="69"/>
      <c r="I1161" s="105">
        <v>0.12</v>
      </c>
      <c r="J1161" s="106">
        <v>1000.0</v>
      </c>
      <c r="K1161" s="73"/>
      <c r="L1161" s="73"/>
      <c r="M1161" s="73"/>
      <c r="N1161" s="74"/>
    </row>
    <row r="1162" ht="30.0" hidden="1" customHeight="1">
      <c r="A1162" s="68">
        <v>1170.0</v>
      </c>
      <c r="B1162" s="68"/>
      <c r="C1162" s="68"/>
      <c r="D1162" s="69" t="str">
        <f>CONCATENATE(PROPER('DASMA INFO'!$G1162),", ",PROPER('DASMA INFO'!$E1162)," ",PROPER('DASMA INFO'!$F1162),"."," (",UPPER('DASMA INFO'!$H1162),")")</f>
        <v>Venua, Cora . ()</v>
      </c>
      <c r="E1162" s="70" t="s">
        <v>2352</v>
      </c>
      <c r="F1162" s="69"/>
      <c r="G1162" s="70" t="s">
        <v>2353</v>
      </c>
      <c r="H1162" s="69"/>
      <c r="I1162" s="105">
        <v>0.12</v>
      </c>
      <c r="J1162" s="106">
        <v>1000.0</v>
      </c>
      <c r="K1162" s="73" t="s">
        <v>2354</v>
      </c>
      <c r="L1162" s="73"/>
      <c r="M1162" s="73"/>
      <c r="N1162" s="74"/>
    </row>
    <row r="1163" ht="30.0" hidden="1" customHeight="1">
      <c r="A1163" s="68">
        <v>1171.0</v>
      </c>
      <c r="B1163" s="68"/>
      <c r="C1163" s="68"/>
      <c r="D1163" s="69" t="str">
        <f>CONCATENATE(PROPER('DASMA INFO'!$G1163),", ",PROPER('DASMA INFO'!$E1163)," ",PROPER('DASMA INFO'!$F1163),"."," (",UPPER('DASMA INFO'!$H1163),")")</f>
        <v>Cruz, Alther . ()</v>
      </c>
      <c r="E1163" s="70" t="s">
        <v>2355</v>
      </c>
      <c r="F1163" s="69"/>
      <c r="G1163" s="70" t="s">
        <v>676</v>
      </c>
      <c r="H1163" s="69"/>
      <c r="I1163" s="105">
        <v>0.12</v>
      </c>
      <c r="J1163" s="106">
        <v>1000.0</v>
      </c>
      <c r="K1163" s="73"/>
      <c r="L1163" s="73"/>
      <c r="M1163" s="73"/>
      <c r="N1163" s="74"/>
    </row>
    <row r="1164" ht="30.0" hidden="1" customHeight="1">
      <c r="A1164" s="68">
        <v>1172.0</v>
      </c>
      <c r="B1164" s="68"/>
      <c r="C1164" s="68"/>
      <c r="D1164" s="69" t="str">
        <f>CONCATENATE(PROPER('DASMA INFO'!$G1164),", ",PROPER('DASMA INFO'!$E1164)," ",PROPER('DASMA INFO'!$F1164),"."," (",UPPER('DASMA INFO'!$H1164),")")</f>
        <v>Maruta, Shinji . ()</v>
      </c>
      <c r="E1164" s="70" t="s">
        <v>240</v>
      </c>
      <c r="F1164" s="69"/>
      <c r="G1164" s="70" t="s">
        <v>239</v>
      </c>
      <c r="H1164" s="69"/>
      <c r="I1164" s="92">
        <v>0.05</v>
      </c>
      <c r="J1164" s="93">
        <v>1000.0</v>
      </c>
      <c r="K1164" s="73" t="s">
        <v>2356</v>
      </c>
      <c r="L1164" s="73"/>
      <c r="M1164" s="73"/>
      <c r="N1164" s="74"/>
    </row>
    <row r="1165" ht="30.0" hidden="1" customHeight="1">
      <c r="A1165" s="68">
        <v>1173.0</v>
      </c>
      <c r="B1165" s="68"/>
      <c r="C1165" s="68"/>
      <c r="D1165" s="69" t="str">
        <f>CONCATENATE(PROPER('DASMA INFO'!$G1165),", ",PROPER('DASMA INFO'!$E1165)," ",PROPER('DASMA INFO'!$F1165),"."," (",UPPER('DASMA INFO'!$H1165),")")</f>
        <v>Parojinoe, Rubilyn . ()</v>
      </c>
      <c r="E1165" s="70" t="s">
        <v>2357</v>
      </c>
      <c r="F1165" s="69"/>
      <c r="G1165" s="70" t="s">
        <v>2358</v>
      </c>
      <c r="H1165" s="69"/>
      <c r="I1165" s="105">
        <v>0.12</v>
      </c>
      <c r="J1165" s="106">
        <v>1000.0</v>
      </c>
      <c r="K1165" s="73"/>
      <c r="L1165" s="73"/>
      <c r="M1165" s="73"/>
      <c r="N1165" s="74"/>
    </row>
    <row r="1166" ht="30.0" hidden="1" customHeight="1">
      <c r="A1166" s="68">
        <v>1174.0</v>
      </c>
      <c r="B1166" s="68"/>
      <c r="C1166" s="68"/>
      <c r="D1166" s="69" t="str">
        <f>CONCATENATE(PROPER('DASMA INFO'!$G1166),", ",PROPER('DASMA INFO'!$E1166)," ",PROPER('DASMA INFO'!$F1166),"."," (",UPPER('DASMA INFO'!$H1166),")")</f>
        <v>Caringal, Aprille . ()</v>
      </c>
      <c r="E1166" s="70" t="s">
        <v>1785</v>
      </c>
      <c r="F1166" s="69"/>
      <c r="G1166" s="70" t="s">
        <v>1786</v>
      </c>
      <c r="H1166" s="69"/>
      <c r="I1166" s="105">
        <v>0.12</v>
      </c>
      <c r="J1166" s="106">
        <v>1000.0</v>
      </c>
      <c r="K1166" s="73"/>
      <c r="L1166" s="73"/>
      <c r="M1166" s="73"/>
      <c r="N1166" s="74"/>
    </row>
    <row r="1167" ht="30.0" hidden="1" customHeight="1">
      <c r="A1167" s="68">
        <v>1175.0</v>
      </c>
      <c r="B1167" s="68"/>
      <c r="C1167" s="68"/>
      <c r="D1167" s="69" t="str">
        <f>CONCATENATE(PROPER('DASMA INFO'!$G1167),", ",PROPER('DASMA INFO'!$E1167)," ",PROPER('DASMA INFO'!$F1167),"."," (",UPPER('DASMA INFO'!$H1167),")")</f>
        <v>Supremo, Paeng . ()</v>
      </c>
      <c r="E1167" s="70" t="s">
        <v>2359</v>
      </c>
      <c r="F1167" s="69"/>
      <c r="G1167" s="70" t="s">
        <v>2360</v>
      </c>
      <c r="H1167" s="69"/>
      <c r="I1167" s="105">
        <v>0.12</v>
      </c>
      <c r="J1167" s="106">
        <v>1000.0</v>
      </c>
      <c r="K1167" s="73"/>
      <c r="L1167" s="73"/>
      <c r="M1167" s="73"/>
      <c r="N1167" s="74"/>
    </row>
    <row r="1168" ht="30.0" hidden="1" customHeight="1">
      <c r="A1168" s="68">
        <v>1176.0</v>
      </c>
      <c r="B1168" s="68"/>
      <c r="C1168" s="68"/>
      <c r="D1168" s="69" t="str">
        <f>CONCATENATE(PROPER('DASMA INFO'!$G1168),", ",PROPER('DASMA INFO'!$E1168)," ",PROPER('DASMA INFO'!$F1168),"."," (",UPPER('DASMA INFO'!$H1168),")")</f>
        <v>Aurelo, Nancy . ()</v>
      </c>
      <c r="E1168" s="70" t="s">
        <v>849</v>
      </c>
      <c r="F1168" s="69"/>
      <c r="G1168" s="70" t="s">
        <v>2361</v>
      </c>
      <c r="H1168" s="69"/>
      <c r="I1168" s="105">
        <v>0.12</v>
      </c>
      <c r="J1168" s="106">
        <v>1000.0</v>
      </c>
      <c r="K1168" s="73"/>
      <c r="L1168" s="73"/>
      <c r="M1168" s="73"/>
      <c r="N1168" s="74"/>
    </row>
    <row r="1169" ht="30.0" hidden="1" customHeight="1">
      <c r="A1169" s="68">
        <v>1177.0</v>
      </c>
      <c r="B1169" s="68"/>
      <c r="C1169" s="68"/>
      <c r="D1169" s="69" t="str">
        <f>CONCATENATE(PROPER('DASMA INFO'!$G1169),", ",PROPER('DASMA INFO'!$E1169)," ",PROPER('DASMA INFO'!$F1169),"."," (",UPPER('DASMA INFO'!$H1169),")")</f>
        <v>Baes, Paul . ()</v>
      </c>
      <c r="E1169" s="70" t="s">
        <v>207</v>
      </c>
      <c r="F1169" s="69"/>
      <c r="G1169" s="70" t="s">
        <v>208</v>
      </c>
      <c r="H1169" s="69"/>
      <c r="I1169" s="105">
        <v>0.12</v>
      </c>
      <c r="J1169" s="106">
        <v>1000.0</v>
      </c>
      <c r="K1169" s="73"/>
      <c r="L1169" s="73"/>
      <c r="M1169" s="73"/>
      <c r="N1169" s="74"/>
    </row>
    <row r="1170" ht="30.0" hidden="1" customHeight="1">
      <c r="A1170" s="68">
        <v>1178.0</v>
      </c>
      <c r="B1170" s="68"/>
      <c r="C1170" s="68"/>
      <c r="D1170" s="69" t="str">
        <f>CONCATENATE(PROPER('DASMA INFO'!$G1170),", ",PROPER('DASMA INFO'!$E1170)," ",PROPER('DASMA INFO'!$F1170),"."," (",UPPER('DASMA INFO'!$H1170),")")</f>
        <v>Narciso, Clodualdo . ()</v>
      </c>
      <c r="E1170" s="70" t="s">
        <v>2362</v>
      </c>
      <c r="F1170" s="69"/>
      <c r="G1170" s="70" t="s">
        <v>2363</v>
      </c>
      <c r="H1170" s="69"/>
      <c r="I1170" s="105">
        <v>0.12</v>
      </c>
      <c r="J1170" s="106">
        <v>1000.0</v>
      </c>
      <c r="K1170" s="73"/>
      <c r="L1170" s="73"/>
      <c r="M1170" s="73"/>
      <c r="N1170" s="74"/>
    </row>
    <row r="1171" ht="30.0" hidden="1" customHeight="1">
      <c r="A1171" s="68">
        <v>1179.0</v>
      </c>
      <c r="B1171" s="68"/>
      <c r="C1171" s="68"/>
      <c r="D1171" s="69" t="str">
        <f>CONCATENATE(PROPER('DASMA INFO'!$G1171),", ",PROPER('DASMA INFO'!$E1171)," ",PROPER('DASMA INFO'!$F1171),"."," (",UPPER('DASMA INFO'!$H1171),")")</f>
        <v>Macabente, Rosalinda . ()</v>
      </c>
      <c r="E1171" s="70" t="s">
        <v>940</v>
      </c>
      <c r="F1171" s="69"/>
      <c r="G1171" s="70" t="s">
        <v>2364</v>
      </c>
      <c r="H1171" s="69"/>
      <c r="I1171" s="105">
        <v>0.12</v>
      </c>
      <c r="J1171" s="106">
        <v>1000.0</v>
      </c>
      <c r="K1171" s="73"/>
      <c r="L1171" s="73"/>
      <c r="M1171" s="73"/>
      <c r="N1171" s="74"/>
    </row>
    <row r="1172" ht="30.0" hidden="1" customHeight="1">
      <c r="A1172" s="68">
        <v>1180.0</v>
      </c>
      <c r="B1172" s="68"/>
      <c r="C1172" s="68"/>
      <c r="D1172" s="69" t="str">
        <f>CONCATENATE(PROPER('DASMA INFO'!$G1172),", ",PROPER('DASMA INFO'!$E1172)," ",PROPER('DASMA INFO'!$F1172),"."," (",UPPER('DASMA INFO'!$H1172),")")</f>
        <v>,  . ()</v>
      </c>
      <c r="E1172" s="70"/>
      <c r="F1172" s="69"/>
      <c r="G1172" s="70"/>
      <c r="H1172" s="69"/>
      <c r="I1172" s="105">
        <v>0.12</v>
      </c>
      <c r="J1172" s="106">
        <v>1000.0</v>
      </c>
      <c r="K1172" s="73"/>
      <c r="L1172" s="73"/>
      <c r="M1172" s="73"/>
      <c r="N1172" s="74"/>
    </row>
    <row r="1173" ht="30.0" hidden="1" customHeight="1">
      <c r="A1173" s="68">
        <v>1181.0</v>
      </c>
      <c r="B1173" s="68"/>
      <c r="C1173" s="68"/>
      <c r="D1173" s="69" t="str">
        <f>CONCATENATE(PROPER('DASMA INFO'!$G1173),", ",PROPER('DASMA INFO'!$E1173)," ",PROPER('DASMA INFO'!$F1173),"."," (",UPPER('DASMA INFO'!$H1173),")")</f>
        <v>Montenegro, Pamela . ()</v>
      </c>
      <c r="E1173" s="70" t="s">
        <v>630</v>
      </c>
      <c r="F1173" s="69"/>
      <c r="G1173" s="70" t="s">
        <v>2195</v>
      </c>
      <c r="H1173" s="69"/>
      <c r="I1173" s="92">
        <v>0.05</v>
      </c>
      <c r="J1173" s="93">
        <v>1000.0</v>
      </c>
      <c r="K1173" s="73" t="s">
        <v>2365</v>
      </c>
      <c r="L1173" s="73"/>
      <c r="M1173" s="73"/>
      <c r="N1173" s="74"/>
    </row>
    <row r="1174" ht="30.0" hidden="1" customHeight="1">
      <c r="A1174" s="68">
        <v>1182.0</v>
      </c>
      <c r="B1174" s="68"/>
      <c r="C1174" s="68"/>
      <c r="D1174" s="69" t="str">
        <f>CONCATENATE(PROPER('DASMA INFO'!$G1174),", ",PROPER('DASMA INFO'!$E1174)," ",PROPER('DASMA INFO'!$F1174),"."," (",UPPER('DASMA INFO'!$H1174),")")</f>
        <v>Guzman, Kose . ()</v>
      </c>
      <c r="E1174" s="70" t="s">
        <v>2366</v>
      </c>
      <c r="F1174" s="69"/>
      <c r="G1174" s="70" t="s">
        <v>1229</v>
      </c>
      <c r="H1174" s="69"/>
      <c r="I1174" s="105">
        <v>0.12</v>
      </c>
      <c r="J1174" s="106">
        <v>1000.0</v>
      </c>
      <c r="K1174" s="73"/>
      <c r="L1174" s="73"/>
      <c r="M1174" s="73"/>
      <c r="N1174" s="74"/>
    </row>
    <row r="1175" ht="30.0" hidden="1" customHeight="1">
      <c r="A1175" s="68">
        <v>1183.0</v>
      </c>
      <c r="B1175" s="68"/>
      <c r="C1175" s="68"/>
      <c r="D1175" s="69" t="str">
        <f>CONCATENATE(PROPER('DASMA INFO'!$G1175),", ",PROPER('DASMA INFO'!$E1175)," ",PROPER('DASMA INFO'!$F1175),"."," (",UPPER('DASMA INFO'!$H1175),")")</f>
        <v>Bangilan, Lourdes . ()</v>
      </c>
      <c r="E1175" s="70" t="s">
        <v>2317</v>
      </c>
      <c r="F1175" s="69"/>
      <c r="G1175" s="70" t="s">
        <v>2367</v>
      </c>
      <c r="H1175" s="69"/>
      <c r="I1175" s="105">
        <v>0.12</v>
      </c>
      <c r="J1175" s="106">
        <v>1000.0</v>
      </c>
      <c r="K1175" s="73"/>
      <c r="L1175" s="73"/>
      <c r="M1175" s="73"/>
      <c r="N1175" s="74"/>
    </row>
    <row r="1176" ht="30.0" hidden="1" customHeight="1">
      <c r="A1176" s="68">
        <v>1184.0</v>
      </c>
      <c r="B1176" s="68"/>
      <c r="C1176" s="68"/>
      <c r="D1176" s="69" t="str">
        <f>CONCATENATE(PROPER('DASMA INFO'!$G1176),", ",PROPER('DASMA INFO'!$E1176)," ",PROPER('DASMA INFO'!$F1176),"."," (",UPPER('DASMA INFO'!$H1176),")")</f>
        <v>Rosatase, Roy . ()</v>
      </c>
      <c r="E1176" s="70" t="s">
        <v>2368</v>
      </c>
      <c r="F1176" s="69"/>
      <c r="G1176" s="70" t="s">
        <v>2369</v>
      </c>
      <c r="H1176" s="69"/>
      <c r="I1176" s="105">
        <v>0.12</v>
      </c>
      <c r="J1176" s="106">
        <v>1000.0</v>
      </c>
      <c r="K1176" s="73"/>
      <c r="L1176" s="73"/>
      <c r="M1176" s="73"/>
      <c r="N1176" s="74"/>
    </row>
    <row r="1177" ht="30.0" hidden="1" customHeight="1">
      <c r="A1177" s="68">
        <v>1185.0</v>
      </c>
      <c r="B1177" s="68"/>
      <c r="C1177" s="68"/>
      <c r="D1177" s="69" t="str">
        <f>CONCATENATE(PROPER('DASMA INFO'!$G1177),", ",PROPER('DASMA INFO'!$E1177)," ",PROPER('DASMA INFO'!$F1177),"."," (",UPPER('DASMA INFO'!$H1177),")")</f>
        <v>Paguibitan, Ma Klariz . ()</v>
      </c>
      <c r="E1177" s="70" t="s">
        <v>2370</v>
      </c>
      <c r="F1177" s="69"/>
      <c r="G1177" s="70" t="s">
        <v>2371</v>
      </c>
      <c r="H1177" s="69"/>
      <c r="I1177" s="105">
        <v>0.12</v>
      </c>
      <c r="J1177" s="106">
        <v>1000.0</v>
      </c>
      <c r="K1177" s="73"/>
      <c r="L1177" s="73"/>
      <c r="M1177" s="73"/>
      <c r="N1177" s="74"/>
    </row>
    <row r="1178" ht="30.0" hidden="1" customHeight="1">
      <c r="A1178" s="68">
        <v>1186.0</v>
      </c>
      <c r="B1178" s="68"/>
      <c r="C1178" s="68"/>
      <c r="D1178" s="69" t="str">
        <f>CONCATENATE(PROPER('DASMA INFO'!$G1178),", ",PROPER('DASMA INFO'!$E1178)," ",PROPER('DASMA INFO'!$F1178),"."," (",UPPER('DASMA INFO'!$H1178),")")</f>
        <v>Beltran, Louie . ()</v>
      </c>
      <c r="E1178" s="70" t="s">
        <v>1647</v>
      </c>
      <c r="F1178" s="69"/>
      <c r="G1178" s="70" t="s">
        <v>2372</v>
      </c>
      <c r="H1178" s="69"/>
      <c r="I1178" s="105">
        <v>0.12</v>
      </c>
      <c r="J1178" s="106">
        <v>1000.0</v>
      </c>
      <c r="K1178" s="73"/>
      <c r="L1178" s="73"/>
      <c r="M1178" s="73"/>
      <c r="N1178" s="74"/>
    </row>
    <row r="1179" ht="30.0" hidden="1" customHeight="1">
      <c r="A1179" s="68">
        <v>1187.0</v>
      </c>
      <c r="B1179" s="68"/>
      <c r="C1179" s="68"/>
      <c r="D1179" s="69" t="str">
        <f>CONCATENATE(PROPER('DASMA INFO'!$G1179),", ",PROPER('DASMA INFO'!$E1179)," ",PROPER('DASMA INFO'!$F1179),"."," (",UPPER('DASMA INFO'!$H1179),")")</f>
        <v>Tolentino, Dennis R. ()</v>
      </c>
      <c r="E1179" s="70" t="s">
        <v>497</v>
      </c>
      <c r="F1179" s="70" t="s">
        <v>260</v>
      </c>
      <c r="G1179" s="70" t="s">
        <v>206</v>
      </c>
      <c r="H1179" s="69"/>
      <c r="I1179" s="105">
        <v>0.12</v>
      </c>
      <c r="J1179" s="106">
        <v>1000.0</v>
      </c>
      <c r="K1179" s="73"/>
      <c r="L1179" s="73"/>
      <c r="M1179" s="73"/>
      <c r="N1179" s="74"/>
    </row>
    <row r="1180" ht="30.0" hidden="1" customHeight="1">
      <c r="A1180" s="68">
        <v>1188.0</v>
      </c>
      <c r="B1180" s="68"/>
      <c r="C1180" s="68"/>
      <c r="D1180" s="69" t="str">
        <f>CONCATENATE(PROPER('DASMA INFO'!$G1180),", ",PROPER('DASMA INFO'!$E1180)," ",PROPER('DASMA INFO'!$F1180),"."," (",UPPER('DASMA INFO'!$H1180),")")</f>
        <v>Loyola, Rannier . ()</v>
      </c>
      <c r="E1180" s="70" t="s">
        <v>2373</v>
      </c>
      <c r="F1180" s="70"/>
      <c r="G1180" s="70" t="s">
        <v>2062</v>
      </c>
      <c r="H1180" s="69"/>
      <c r="I1180" s="105">
        <v>0.12</v>
      </c>
      <c r="J1180" s="106">
        <v>1000.0</v>
      </c>
      <c r="K1180" s="73"/>
      <c r="L1180" s="73"/>
      <c r="M1180" s="73"/>
      <c r="N1180" s="74"/>
    </row>
    <row r="1181" ht="30.0" hidden="1" customHeight="1">
      <c r="A1181" s="68">
        <v>1189.0</v>
      </c>
      <c r="B1181" s="68"/>
      <c r="C1181" s="68"/>
      <c r="D1181" s="69" t="str">
        <f>CONCATENATE(PROPER('DASMA INFO'!$G1181),", ",PROPER('DASMA INFO'!$E1181)," ",PROPER('DASMA INFO'!$F1181),"."," (",UPPER('DASMA INFO'!$H1181),")")</f>
        <v>Baron, Cita . ()</v>
      </c>
      <c r="E1181" s="70" t="s">
        <v>2374</v>
      </c>
      <c r="F1181" s="70"/>
      <c r="G1181" s="70" t="s">
        <v>2375</v>
      </c>
      <c r="H1181" s="69"/>
      <c r="I1181" s="105">
        <v>0.12</v>
      </c>
      <c r="J1181" s="106">
        <v>1000.0</v>
      </c>
      <c r="K1181" s="73"/>
      <c r="L1181" s="73"/>
      <c r="M1181" s="73"/>
      <c r="N1181" s="74"/>
    </row>
    <row r="1182" ht="30.0" hidden="1" customHeight="1">
      <c r="A1182" s="68">
        <v>1190.0</v>
      </c>
      <c r="B1182" s="68"/>
      <c r="C1182" s="68"/>
      <c r="D1182" s="69" t="str">
        <f>CONCATENATE(PROPER('DASMA INFO'!$G1182),", ",PROPER('DASMA INFO'!$E1182)," ",PROPER('DASMA INFO'!$F1182),"."," (",UPPER('DASMA INFO'!$H1182),")")</f>
        <v>Flonencio, Filin . ()</v>
      </c>
      <c r="E1182" s="70" t="s">
        <v>2376</v>
      </c>
      <c r="F1182" s="70"/>
      <c r="G1182" s="70" t="s">
        <v>2377</v>
      </c>
      <c r="H1182" s="69"/>
      <c r="I1182" s="105">
        <v>0.12</v>
      </c>
      <c r="J1182" s="106">
        <v>1000.0</v>
      </c>
      <c r="K1182" s="73"/>
      <c r="L1182" s="73"/>
      <c r="M1182" s="73"/>
      <c r="N1182" s="74"/>
    </row>
    <row r="1183" ht="30.0" hidden="1" customHeight="1">
      <c r="A1183" s="68">
        <v>1191.0</v>
      </c>
      <c r="B1183" s="68"/>
      <c r="C1183" s="68"/>
      <c r="D1183" s="69" t="str">
        <f>CONCATENATE(PROPER('DASMA INFO'!$G1183),", ",PROPER('DASMA INFO'!$E1183)," ",PROPER('DASMA INFO'!$F1183),"."," (",UPPER('DASMA INFO'!$H1183),")")</f>
        <v>Undag, Leonard . ()</v>
      </c>
      <c r="E1183" s="70" t="s">
        <v>2378</v>
      </c>
      <c r="F1183" s="70"/>
      <c r="G1183" s="70" t="s">
        <v>2379</v>
      </c>
      <c r="H1183" s="69"/>
      <c r="I1183" s="105">
        <v>0.12</v>
      </c>
      <c r="J1183" s="106">
        <v>1000.0</v>
      </c>
      <c r="K1183" s="73"/>
      <c r="L1183" s="73"/>
      <c r="M1183" s="73"/>
      <c r="N1183" s="74"/>
    </row>
    <row r="1184" ht="30.0" hidden="1" customHeight="1">
      <c r="A1184" s="68">
        <v>1192.0</v>
      </c>
      <c r="B1184" s="68"/>
      <c r="C1184" s="68"/>
      <c r="D1184" s="69" t="str">
        <f>CONCATENATE(PROPER('DASMA INFO'!$G1184),", ",PROPER('DASMA INFO'!$E1184)," ",PROPER('DASMA INFO'!$F1184),"."," (",UPPER('DASMA INFO'!$H1184),")")</f>
        <v>Aldepolla, Irish . ()</v>
      </c>
      <c r="E1184" s="70" t="s">
        <v>2380</v>
      </c>
      <c r="F1184" s="70"/>
      <c r="G1184" s="70" t="s">
        <v>2381</v>
      </c>
      <c r="H1184" s="69"/>
      <c r="I1184" s="105">
        <v>0.12</v>
      </c>
      <c r="J1184" s="106">
        <v>1000.0</v>
      </c>
      <c r="K1184" s="73"/>
      <c r="L1184" s="73"/>
      <c r="M1184" s="73"/>
      <c r="N1184" s="74"/>
    </row>
    <row r="1185" ht="30.0" hidden="1" customHeight="1">
      <c r="A1185" s="68">
        <v>1193.0</v>
      </c>
      <c r="B1185" s="68"/>
      <c r="C1185" s="68"/>
      <c r="D1185" s="69" t="str">
        <f>CONCATENATE(PROPER('DASMA INFO'!$G1185),", ",PROPER('DASMA INFO'!$E1185)," ",PROPER('DASMA INFO'!$F1185),"."," (",UPPER('DASMA INFO'!$H1185),")")</f>
        <v>Salvana, Michael . ()</v>
      </c>
      <c r="E1185" s="70" t="s">
        <v>38</v>
      </c>
      <c r="F1185" s="70"/>
      <c r="G1185" s="70" t="s">
        <v>2382</v>
      </c>
      <c r="H1185" s="69"/>
      <c r="I1185" s="105">
        <v>0.12</v>
      </c>
      <c r="J1185" s="106">
        <v>1000.0</v>
      </c>
      <c r="K1185" s="73"/>
      <c r="L1185" s="73"/>
      <c r="M1185" s="73"/>
      <c r="N1185" s="74"/>
    </row>
    <row r="1186" ht="30.0" hidden="1" customHeight="1">
      <c r="A1186" s="68">
        <v>1194.0</v>
      </c>
      <c r="B1186" s="68"/>
      <c r="C1186" s="68"/>
      <c r="D1186" s="69" t="str">
        <f>CONCATENATE(PROPER('DASMA INFO'!$G1186),", ",PROPER('DASMA INFO'!$E1186)," ",PROPER('DASMA INFO'!$F1186),"."," (",UPPER('DASMA INFO'!$H1186),")")</f>
        <v>De Guzman, Shirley/Arnold D. ()</v>
      </c>
      <c r="E1186" s="70" t="s">
        <v>2383</v>
      </c>
      <c r="F1186" s="70" t="s">
        <v>1078</v>
      </c>
      <c r="G1186" s="70" t="s">
        <v>741</v>
      </c>
      <c r="H1186" s="70"/>
      <c r="I1186" s="105">
        <v>0.12</v>
      </c>
      <c r="J1186" s="106">
        <v>1000.0</v>
      </c>
      <c r="K1186" s="73" t="s">
        <v>2384</v>
      </c>
      <c r="L1186" s="73"/>
      <c r="M1186" s="73"/>
      <c r="N1186" s="74"/>
    </row>
    <row r="1187" ht="30.0" hidden="1" customHeight="1">
      <c r="A1187" s="68">
        <v>1195.0</v>
      </c>
      <c r="B1187" s="68"/>
      <c r="C1187" s="68"/>
      <c r="D1187" s="69" t="str">
        <f>CONCATENATE(PROPER('DASMA INFO'!$G1187),", ",PROPER('DASMA INFO'!$E1187)," ",PROPER('DASMA INFO'!$F1187),"."," (",UPPER('DASMA INFO'!$H1187),")")</f>
        <v>Pablo, Bebbot . ()</v>
      </c>
      <c r="E1187" s="70" t="s">
        <v>2385</v>
      </c>
      <c r="F1187" s="70"/>
      <c r="G1187" s="70" t="s">
        <v>392</v>
      </c>
      <c r="H1187" s="70"/>
      <c r="I1187" s="105">
        <v>0.12</v>
      </c>
      <c r="J1187" s="106">
        <v>1000.0</v>
      </c>
      <c r="K1187" s="73"/>
      <c r="L1187" s="73"/>
      <c r="M1187" s="73"/>
      <c r="N1187" s="74"/>
    </row>
    <row r="1188" ht="30.0" hidden="1" customHeight="1">
      <c r="A1188" s="68">
        <v>1196.0</v>
      </c>
      <c r="B1188" s="68"/>
      <c r="C1188" s="68"/>
      <c r="D1188" s="69" t="str">
        <f>CONCATENATE(PROPER('DASMA INFO'!$G1188),", ",PROPER('DASMA INFO'!$E1188)," ",PROPER('DASMA INFO'!$F1188),"."," (",UPPER('DASMA INFO'!$H1188),")")</f>
        <v>Carlos, Bernadeth . ()</v>
      </c>
      <c r="E1188" s="70" t="s">
        <v>2386</v>
      </c>
      <c r="F1188" s="70"/>
      <c r="G1188" s="70" t="s">
        <v>1404</v>
      </c>
      <c r="H1188" s="70"/>
      <c r="I1188" s="105">
        <v>0.12</v>
      </c>
      <c r="J1188" s="106">
        <v>1000.0</v>
      </c>
      <c r="K1188" s="73"/>
      <c r="L1188" s="73"/>
      <c r="M1188" s="73"/>
      <c r="N1188" s="74"/>
    </row>
    <row r="1189" ht="30.0" hidden="1" customHeight="1">
      <c r="A1189" s="68">
        <v>1197.0</v>
      </c>
      <c r="B1189" s="68"/>
      <c r="C1189" s="68"/>
      <c r="D1189" s="69" t="str">
        <f>CONCATENATE(PROPER('DASMA INFO'!$G1189),", ",PROPER('DASMA INFO'!$E1189)," ",PROPER('DASMA INFO'!$F1189),"."," (",UPPER('DASMA INFO'!$H1189),")")</f>
        <v>,  . ()</v>
      </c>
      <c r="E1189" s="70"/>
      <c r="F1189" s="70"/>
      <c r="G1189" s="70"/>
      <c r="H1189" s="70"/>
      <c r="I1189" s="105">
        <v>0.12</v>
      </c>
      <c r="J1189" s="106">
        <v>1000.0</v>
      </c>
      <c r="K1189" s="73"/>
      <c r="L1189" s="73"/>
      <c r="M1189" s="73"/>
      <c r="N1189" s="74"/>
    </row>
    <row r="1190" ht="30.0" hidden="1" customHeight="1">
      <c r="A1190" s="68">
        <v>1198.0</v>
      </c>
      <c r="B1190" s="68"/>
      <c r="C1190" s="68"/>
      <c r="D1190" s="69" t="str">
        <f>CONCATENATE(PROPER('DASMA INFO'!$G1190),", ",PROPER('DASMA INFO'!$E1190)," ",PROPER('DASMA INFO'!$F1190),"."," (",UPPER('DASMA INFO'!$H1190),")")</f>
        <v>San Luis, Lerma I. ()</v>
      </c>
      <c r="E1190" s="70" t="s">
        <v>2387</v>
      </c>
      <c r="F1190" s="70" t="s">
        <v>767</v>
      </c>
      <c r="G1190" s="70" t="s">
        <v>2388</v>
      </c>
      <c r="H1190" s="70"/>
      <c r="I1190" s="92">
        <v>0.05</v>
      </c>
      <c r="J1190" s="93">
        <v>1000.0</v>
      </c>
      <c r="K1190" s="73" t="s">
        <v>2389</v>
      </c>
      <c r="L1190" s="73"/>
      <c r="M1190" s="73"/>
      <c r="N1190" s="74"/>
    </row>
    <row r="1191" ht="30.0" hidden="1" customHeight="1">
      <c r="A1191" s="68">
        <v>1199.0</v>
      </c>
      <c r="B1191" s="68"/>
      <c r="C1191" s="68"/>
      <c r="D1191" s="69" t="str">
        <f>CONCATENATE(PROPER('DASMA INFO'!$G1191),", ",PROPER('DASMA INFO'!$E1191)," ",PROPER('DASMA INFO'!$F1191),"."," (",UPPER('DASMA INFO'!$H1191),")")</f>
        <v>Alvarez, Nora . ()</v>
      </c>
      <c r="E1191" s="70" t="s">
        <v>1802</v>
      </c>
      <c r="F1191" s="70"/>
      <c r="G1191" s="70" t="s">
        <v>1206</v>
      </c>
      <c r="H1191" s="70"/>
      <c r="I1191" s="105">
        <v>0.12</v>
      </c>
      <c r="J1191" s="106">
        <v>1000.0</v>
      </c>
      <c r="K1191" s="73"/>
      <c r="L1191" s="73"/>
      <c r="M1191" s="73"/>
      <c r="N1191" s="74"/>
    </row>
    <row r="1192" ht="30.0" hidden="1" customHeight="1">
      <c r="A1192" s="68">
        <v>1200.0</v>
      </c>
      <c r="B1192" s="68"/>
      <c r="C1192" s="68"/>
      <c r="D1192" s="69" t="str">
        <f>CONCATENATE(PROPER('DASMA INFO'!$G1192),", ",PROPER('DASMA INFO'!$E1192)," ",PROPER('DASMA INFO'!$F1192),"."," (",UPPER('DASMA INFO'!$H1192),")")</f>
        <v>Brandon, Jingle . ()</v>
      </c>
      <c r="E1192" s="70" t="s">
        <v>2390</v>
      </c>
      <c r="F1192" s="70"/>
      <c r="G1192" s="70" t="s">
        <v>2391</v>
      </c>
      <c r="H1192" s="70"/>
      <c r="I1192" s="105">
        <v>0.12</v>
      </c>
      <c r="J1192" s="106">
        <v>1000.0</v>
      </c>
      <c r="K1192" s="73"/>
      <c r="L1192" s="73"/>
      <c r="M1192" s="73"/>
      <c r="N1192" s="74"/>
    </row>
    <row r="1193" ht="30.0" hidden="1" customHeight="1">
      <c r="A1193" s="68">
        <v>1201.0</v>
      </c>
      <c r="B1193" s="68"/>
      <c r="C1193" s="68"/>
      <c r="D1193" s="69" t="str">
        <f>CONCATENATE(PROPER('DASMA INFO'!$G1193),", ",PROPER('DASMA INFO'!$E1193)," ",PROPER('DASMA INFO'!$F1193),"."," (",UPPER('DASMA INFO'!$H1193),")")</f>
        <v>Ortiz, Sherryl P. ()</v>
      </c>
      <c r="E1193" s="70" t="s">
        <v>2392</v>
      </c>
      <c r="F1193" s="70" t="s">
        <v>513</v>
      </c>
      <c r="G1193" s="70" t="s">
        <v>2393</v>
      </c>
      <c r="H1193" s="69"/>
      <c r="I1193" s="92">
        <v>0.05</v>
      </c>
      <c r="J1193" s="93">
        <v>1000.0</v>
      </c>
      <c r="K1193" s="73" t="s">
        <v>2394</v>
      </c>
      <c r="L1193" s="73"/>
      <c r="M1193" s="73"/>
      <c r="N1193" s="74"/>
    </row>
    <row r="1194" ht="30.0" hidden="1" customHeight="1">
      <c r="A1194" s="68">
        <v>1202.0</v>
      </c>
      <c r="B1194" s="68"/>
      <c r="C1194" s="68"/>
      <c r="D1194" s="69" t="str">
        <f>CONCATENATE(PROPER('DASMA INFO'!$G1194),", ",PROPER('DASMA INFO'!$E1194)," ",PROPER('DASMA INFO'!$F1194),"."," (",UPPER('DASMA INFO'!$H1194),")")</f>
        <v>Salamat, Eden . ()</v>
      </c>
      <c r="E1194" s="70" t="s">
        <v>866</v>
      </c>
      <c r="F1194" s="70"/>
      <c r="G1194" s="70" t="s">
        <v>2395</v>
      </c>
      <c r="H1194" s="69"/>
      <c r="I1194" s="105">
        <v>0.12</v>
      </c>
      <c r="J1194" s="106">
        <v>1000.0</v>
      </c>
      <c r="K1194" s="73"/>
      <c r="L1194" s="73"/>
      <c r="M1194" s="73"/>
      <c r="N1194" s="74"/>
    </row>
    <row r="1195" ht="30.0" hidden="1" customHeight="1">
      <c r="A1195" s="68">
        <v>1203.0</v>
      </c>
      <c r="B1195" s="68"/>
      <c r="C1195" s="68"/>
      <c r="D1195" s="69" t="str">
        <f>CONCATENATE(PROPER('DASMA INFO'!$G1195),", ",PROPER('DASMA INFO'!$E1195)," ",PROPER('DASMA INFO'!$F1195),"."," (",UPPER('DASMA INFO'!$H1195),")")</f>
        <v>Gloria, Anthony . ()</v>
      </c>
      <c r="E1195" s="70" t="s">
        <v>360</v>
      </c>
      <c r="F1195" s="70"/>
      <c r="G1195" s="70" t="s">
        <v>1566</v>
      </c>
      <c r="H1195" s="69"/>
      <c r="I1195" s="105">
        <v>0.12</v>
      </c>
      <c r="J1195" s="106">
        <v>1000.0</v>
      </c>
      <c r="K1195" s="73"/>
      <c r="L1195" s="73"/>
      <c r="M1195" s="73"/>
      <c r="N1195" s="74"/>
    </row>
    <row r="1196" ht="30.0" hidden="1" customHeight="1">
      <c r="A1196" s="68">
        <v>1204.0</v>
      </c>
      <c r="B1196" s="68"/>
      <c r="C1196" s="68"/>
      <c r="D1196" s="69" t="str">
        <f>CONCATENATE(PROPER('DASMA INFO'!$G1196),", ",PROPER('DASMA INFO'!$E1196)," ",PROPER('DASMA INFO'!$F1196),"."," (",UPPER('DASMA INFO'!$H1196),")")</f>
        <v>Domondon, Diosalyn . ()</v>
      </c>
      <c r="E1196" s="70" t="s">
        <v>2396</v>
      </c>
      <c r="F1196" s="70"/>
      <c r="G1196" s="70" t="s">
        <v>2397</v>
      </c>
      <c r="H1196" s="69"/>
      <c r="I1196" s="105">
        <v>0.12</v>
      </c>
      <c r="J1196" s="106">
        <v>1000.0</v>
      </c>
      <c r="K1196" s="73"/>
      <c r="L1196" s="73"/>
      <c r="M1196" s="73"/>
      <c r="N1196" s="74"/>
    </row>
    <row r="1197" ht="30.0" hidden="1" customHeight="1">
      <c r="A1197" s="68">
        <v>1205.0</v>
      </c>
      <c r="B1197" s="68"/>
      <c r="C1197" s="68"/>
      <c r="D1197" s="69" t="str">
        <f>CONCATENATE(PROPER('DASMA INFO'!$G1197),", ",PROPER('DASMA INFO'!$E1197)," ",PROPER('DASMA INFO'!$F1197),"."," (",UPPER('DASMA INFO'!$H1197),")")</f>
        <v>Tyu, Jimmy . ()</v>
      </c>
      <c r="E1197" s="70" t="s">
        <v>409</v>
      </c>
      <c r="F1197" s="70"/>
      <c r="G1197" s="70" t="s">
        <v>2398</v>
      </c>
      <c r="H1197" s="69"/>
      <c r="I1197" s="105">
        <v>0.12</v>
      </c>
      <c r="J1197" s="106">
        <v>1000.0</v>
      </c>
      <c r="K1197" s="73"/>
      <c r="L1197" s="73"/>
      <c r="M1197" s="73"/>
      <c r="N1197" s="74"/>
    </row>
    <row r="1198" ht="30.0" hidden="1" customHeight="1">
      <c r="A1198" s="68">
        <v>1206.0</v>
      </c>
      <c r="B1198" s="68"/>
      <c r="C1198" s="68"/>
      <c r="D1198" s="69" t="str">
        <f>CONCATENATE(PROPER('DASMA INFO'!$G1198),", ",PROPER('DASMA INFO'!$E1198)," ",PROPER('DASMA INFO'!$F1198),"."," (",UPPER('DASMA INFO'!$H1198),")")</f>
        <v>Cunanan, Roween . ()</v>
      </c>
      <c r="E1198" s="70" t="s">
        <v>2399</v>
      </c>
      <c r="F1198" s="70"/>
      <c r="G1198" s="70" t="s">
        <v>2400</v>
      </c>
      <c r="H1198" s="69"/>
      <c r="I1198" s="105">
        <v>0.12</v>
      </c>
      <c r="J1198" s="106">
        <v>1000.0</v>
      </c>
      <c r="K1198" s="73"/>
      <c r="L1198" s="73"/>
      <c r="M1198" s="73"/>
      <c r="N1198" s="74"/>
    </row>
    <row r="1199" ht="30.0" hidden="1" customHeight="1">
      <c r="A1199" s="68">
        <v>1207.0</v>
      </c>
      <c r="B1199" s="68"/>
      <c r="C1199" s="68"/>
      <c r="D1199" s="69" t="str">
        <f>CONCATENATE(PROPER('DASMA INFO'!$G1199),", ",PROPER('DASMA INFO'!$E1199)," ",PROPER('DASMA INFO'!$F1199),"."," (",UPPER('DASMA INFO'!$H1199),")")</f>
        <v>, Perla . ()</v>
      </c>
      <c r="E1199" s="70" t="s">
        <v>619</v>
      </c>
      <c r="F1199" s="70"/>
      <c r="G1199" s="70"/>
      <c r="H1199" s="69"/>
      <c r="I1199" s="105">
        <v>0.12</v>
      </c>
      <c r="J1199" s="106">
        <v>1000.0</v>
      </c>
      <c r="K1199" s="73"/>
      <c r="L1199" s="73"/>
      <c r="M1199" s="73"/>
      <c r="N1199" s="74"/>
    </row>
    <row r="1200" ht="30.0" hidden="1" customHeight="1">
      <c r="A1200" s="68">
        <v>1208.0</v>
      </c>
      <c r="B1200" s="68"/>
      <c r="C1200" s="68"/>
      <c r="D1200" s="69" t="str">
        <f>CONCATENATE(PROPER('DASMA INFO'!$G1200),", ",PROPER('DASMA INFO'!$E1200)," ",PROPER('DASMA INFO'!$F1200),"."," (",UPPER('DASMA INFO'!$H1200),")")</f>
        <v>Espineli, Ma Teresa C. ()</v>
      </c>
      <c r="E1200" s="70" t="s">
        <v>821</v>
      </c>
      <c r="F1200" s="70" t="s">
        <v>318</v>
      </c>
      <c r="G1200" s="70" t="s">
        <v>2401</v>
      </c>
      <c r="H1200" s="69"/>
      <c r="I1200" s="92">
        <v>0.05</v>
      </c>
      <c r="J1200" s="93">
        <v>1000.0</v>
      </c>
      <c r="K1200" s="73" t="s">
        <v>2402</v>
      </c>
      <c r="L1200" s="73"/>
      <c r="M1200" s="73"/>
      <c r="N1200" s="74"/>
    </row>
    <row r="1201" ht="30.0" hidden="1" customHeight="1">
      <c r="A1201" s="68">
        <v>1209.0</v>
      </c>
      <c r="B1201" s="68"/>
      <c r="C1201" s="68"/>
      <c r="D1201" s="69" t="str">
        <f>CONCATENATE(PROPER('DASMA INFO'!$G1201),", ",PROPER('DASMA INFO'!$E1201)," ",PROPER('DASMA INFO'!$F1201),"."," (",UPPER('DASMA INFO'!$H1201),")")</f>
        <v>Calara, Christopher T. ()</v>
      </c>
      <c r="E1201" s="70" t="s">
        <v>1101</v>
      </c>
      <c r="F1201" s="70" t="s">
        <v>752</v>
      </c>
      <c r="G1201" s="70" t="s">
        <v>327</v>
      </c>
      <c r="H1201" s="69"/>
      <c r="I1201" s="105">
        <v>0.12</v>
      </c>
      <c r="J1201" s="106">
        <v>1000.0</v>
      </c>
      <c r="K1201" s="73" t="s">
        <v>968</v>
      </c>
      <c r="L1201" s="73"/>
      <c r="M1201" s="73"/>
      <c r="N1201" s="74"/>
    </row>
    <row r="1202" ht="30.0" hidden="1" customHeight="1">
      <c r="A1202" s="68">
        <v>1210.0</v>
      </c>
      <c r="B1202" s="68"/>
      <c r="C1202" s="68"/>
      <c r="D1202" s="69" t="str">
        <f>CONCATENATE(PROPER('DASMA INFO'!$G1202),", ",PROPER('DASMA INFO'!$E1202)," ",PROPER('DASMA INFO'!$F1202),"."," (",UPPER('DASMA INFO'!$H1202),")")</f>
        <v>Lazaro, Eleazar . ()</v>
      </c>
      <c r="E1202" s="70" t="s">
        <v>2403</v>
      </c>
      <c r="F1202" s="70"/>
      <c r="G1202" s="70" t="s">
        <v>2404</v>
      </c>
      <c r="H1202" s="69"/>
      <c r="I1202" s="105">
        <v>0.12</v>
      </c>
      <c r="J1202" s="106">
        <v>1000.0</v>
      </c>
      <c r="K1202" s="73"/>
      <c r="L1202" s="73"/>
      <c r="M1202" s="73"/>
      <c r="N1202" s="74"/>
    </row>
    <row r="1203" ht="30.0" hidden="1" customHeight="1">
      <c r="A1203" s="68">
        <v>1211.0</v>
      </c>
      <c r="B1203" s="68"/>
      <c r="C1203" s="68"/>
      <c r="D1203" s="69" t="str">
        <f>CONCATENATE(PROPER('DASMA INFO'!$G1203),", ",PROPER('DASMA INFO'!$E1203)," ",PROPER('DASMA INFO'!$F1203),"."," (",UPPER('DASMA INFO'!$H1203),")")</f>
        <v>Miraflores, Gina . ()</v>
      </c>
      <c r="E1203" s="70" t="s">
        <v>1103</v>
      </c>
      <c r="F1203" s="70"/>
      <c r="G1203" s="70" t="s">
        <v>2405</v>
      </c>
      <c r="H1203" s="69"/>
      <c r="I1203" s="105">
        <v>0.12</v>
      </c>
      <c r="J1203" s="106">
        <v>1000.0</v>
      </c>
      <c r="K1203" s="73"/>
      <c r="L1203" s="73"/>
      <c r="M1203" s="73"/>
      <c r="N1203" s="74"/>
    </row>
    <row r="1204" ht="30.0" hidden="1" customHeight="1">
      <c r="A1204" s="68">
        <v>1212.0</v>
      </c>
      <c r="B1204" s="68"/>
      <c r="C1204" s="68"/>
      <c r="D1204" s="69" t="str">
        <f>CONCATENATE(PROPER('DASMA INFO'!$G1204),", ",PROPER('DASMA INFO'!$E1204)," ",PROPER('DASMA INFO'!$F1204),"."," (",UPPER('DASMA INFO'!$H1204),")")</f>
        <v>Lopez, Michael . ()</v>
      </c>
      <c r="E1204" s="70" t="s">
        <v>38</v>
      </c>
      <c r="F1204" s="70"/>
      <c r="G1204" s="70" t="s">
        <v>316</v>
      </c>
      <c r="H1204" s="69"/>
      <c r="I1204" s="105">
        <v>0.12</v>
      </c>
      <c r="J1204" s="106">
        <v>1000.0</v>
      </c>
      <c r="K1204" s="73"/>
      <c r="L1204" s="73"/>
      <c r="M1204" s="73"/>
      <c r="N1204" s="74"/>
    </row>
    <row r="1205" ht="30.0" hidden="1" customHeight="1">
      <c r="A1205" s="68">
        <v>1213.0</v>
      </c>
      <c r="B1205" s="68"/>
      <c r="C1205" s="68"/>
      <c r="D1205" s="69" t="str">
        <f>CONCATENATE(PROPER('DASMA INFO'!$G1205),", ",PROPER('DASMA INFO'!$E1205)," ",PROPER('DASMA INFO'!$F1205),"."," (",UPPER('DASMA INFO'!$H1205),")")</f>
        <v>San Juan, Maricel . ()</v>
      </c>
      <c r="E1205" s="70" t="s">
        <v>1458</v>
      </c>
      <c r="F1205" s="70"/>
      <c r="G1205" s="70" t="s">
        <v>2406</v>
      </c>
      <c r="H1205" s="69"/>
      <c r="I1205" s="105">
        <v>0.12</v>
      </c>
      <c r="J1205" s="106">
        <v>1000.0</v>
      </c>
      <c r="K1205" s="73"/>
      <c r="L1205" s="73"/>
      <c r="M1205" s="73"/>
      <c r="N1205" s="74"/>
    </row>
    <row r="1206" ht="30.0" hidden="1" customHeight="1">
      <c r="A1206" s="68">
        <v>1214.0</v>
      </c>
      <c r="B1206" s="68"/>
      <c r="C1206" s="68"/>
      <c r="D1206" s="69" t="str">
        <f>CONCATENATE(PROPER('DASMA INFO'!$G1206),", ",PROPER('DASMA INFO'!$E1206)," ",PROPER('DASMA INFO'!$F1206),"."," (",UPPER('DASMA INFO'!$H1206),")")</f>
        <v>Sibayan, Mateo . ()</v>
      </c>
      <c r="E1206" s="70" t="s">
        <v>2407</v>
      </c>
      <c r="F1206" s="70"/>
      <c r="G1206" s="70" t="s">
        <v>2282</v>
      </c>
      <c r="H1206" s="69"/>
      <c r="I1206" s="105">
        <v>0.12</v>
      </c>
      <c r="J1206" s="106">
        <v>1000.0</v>
      </c>
      <c r="K1206" s="73"/>
      <c r="L1206" s="73"/>
      <c r="M1206" s="73"/>
      <c r="N1206" s="74"/>
    </row>
    <row r="1207" ht="30.0" hidden="1" customHeight="1">
      <c r="A1207" s="68">
        <v>1215.0</v>
      </c>
      <c r="B1207" s="68"/>
      <c r="C1207" s="68"/>
      <c r="D1207" s="69" t="str">
        <f>CONCATENATE(PROPER('DASMA INFO'!$G1207),", ",PROPER('DASMA INFO'!$E1207)," ",PROPER('DASMA INFO'!$F1207),"."," (",UPPER('DASMA INFO'!$H1207),")")</f>
        <v>Villanueva, Carlos . ()</v>
      </c>
      <c r="E1207" s="70" t="s">
        <v>1404</v>
      </c>
      <c r="F1207" s="70"/>
      <c r="G1207" s="70" t="s">
        <v>454</v>
      </c>
      <c r="H1207" s="69"/>
      <c r="I1207" s="105">
        <v>0.12</v>
      </c>
      <c r="J1207" s="106">
        <v>1000.0</v>
      </c>
      <c r="K1207" s="73"/>
      <c r="L1207" s="73"/>
      <c r="M1207" s="73"/>
      <c r="N1207" s="74"/>
    </row>
    <row r="1208" ht="30.0" hidden="1" customHeight="1">
      <c r="A1208" s="68">
        <v>1216.0</v>
      </c>
      <c r="B1208" s="68"/>
      <c r="C1208" s="68"/>
      <c r="D1208" s="69" t="str">
        <f>CONCATENATE(PROPER('DASMA INFO'!$G1208),", ",PROPER('DASMA INFO'!$E1208)," ",PROPER('DASMA INFO'!$F1208),"."," (",UPPER('DASMA INFO'!$H1208),")")</f>
        <v>Reyes, Robert . ()</v>
      </c>
      <c r="E1208" s="70" t="s">
        <v>320</v>
      </c>
      <c r="F1208" s="70"/>
      <c r="G1208" s="70" t="s">
        <v>122</v>
      </c>
      <c r="H1208" s="69"/>
      <c r="I1208" s="105">
        <v>0.12</v>
      </c>
      <c r="J1208" s="106">
        <v>1000.0</v>
      </c>
      <c r="K1208" s="73"/>
      <c r="L1208" s="73"/>
      <c r="M1208" s="73"/>
      <c r="N1208" s="74"/>
    </row>
    <row r="1209" ht="30.0" hidden="1" customHeight="1">
      <c r="A1209" s="68">
        <v>1217.0</v>
      </c>
      <c r="B1209" s="68"/>
      <c r="C1209" s="68"/>
      <c r="D1209" s="69" t="str">
        <f>CONCATENATE(PROPER('DASMA INFO'!$G1209),", ",PROPER('DASMA INFO'!$E1209)," ",PROPER('DASMA INFO'!$F1209),"."," (",UPPER('DASMA INFO'!$H1209),")")</f>
        <v>Tapawan, Liwanag . ()</v>
      </c>
      <c r="E1209" s="70" t="s">
        <v>2408</v>
      </c>
      <c r="F1209" s="70"/>
      <c r="G1209" s="70" t="s">
        <v>2409</v>
      </c>
      <c r="H1209" s="69"/>
      <c r="I1209" s="105">
        <v>0.12</v>
      </c>
      <c r="J1209" s="106">
        <v>1000.0</v>
      </c>
      <c r="K1209" s="73"/>
      <c r="L1209" s="73"/>
      <c r="M1209" s="73"/>
      <c r="N1209" s="74"/>
    </row>
    <row r="1210" ht="30.0" hidden="1" customHeight="1">
      <c r="A1210" s="68">
        <v>1218.0</v>
      </c>
      <c r="B1210" s="68"/>
      <c r="C1210" s="68"/>
      <c r="D1210" s="69" t="str">
        <f>CONCATENATE(PROPER('DASMA INFO'!$G1210),", ",PROPER('DASMA INFO'!$E1210)," ",PROPER('DASMA INFO'!$F1210),"."," (",UPPER('DASMA INFO'!$H1210),")")</f>
        <v>Villamor, Edgardo . ()</v>
      </c>
      <c r="E1210" s="70" t="s">
        <v>869</v>
      </c>
      <c r="F1210" s="70"/>
      <c r="G1210" s="70" t="s">
        <v>146</v>
      </c>
      <c r="H1210" s="69"/>
      <c r="I1210" s="105">
        <v>0.12</v>
      </c>
      <c r="J1210" s="106">
        <v>1000.0</v>
      </c>
      <c r="K1210" s="73"/>
      <c r="L1210" s="73"/>
      <c r="M1210" s="73"/>
      <c r="N1210" s="74"/>
    </row>
    <row r="1211" ht="30.0" hidden="1" customHeight="1">
      <c r="A1211" s="68">
        <v>1219.0</v>
      </c>
      <c r="B1211" s="68"/>
      <c r="C1211" s="68"/>
      <c r="D1211" s="69" t="str">
        <f>CONCATENATE(PROPER('DASMA INFO'!$G1211),", ",PROPER('DASMA INFO'!$E1211)," ",PROPER('DASMA INFO'!$F1211),"."," (",UPPER('DASMA INFO'!$H1211),")")</f>
        <v>Enguerra, Dia Gracia . ()</v>
      </c>
      <c r="E1211" s="70" t="s">
        <v>2410</v>
      </c>
      <c r="F1211" s="70"/>
      <c r="G1211" s="70" t="s">
        <v>2411</v>
      </c>
      <c r="H1211" s="69"/>
      <c r="I1211" s="105">
        <v>0.12</v>
      </c>
      <c r="J1211" s="106">
        <v>1000.0</v>
      </c>
      <c r="K1211" s="73"/>
      <c r="L1211" s="73"/>
      <c r="M1211" s="73"/>
      <c r="N1211" s="74"/>
    </row>
    <row r="1212" ht="30.0" hidden="1" customHeight="1">
      <c r="A1212" s="68">
        <v>1220.0</v>
      </c>
      <c r="B1212" s="68"/>
      <c r="C1212" s="68"/>
      <c r="D1212" s="69" t="str">
        <f>CONCATENATE(PROPER('DASMA INFO'!$G1212),", ",PROPER('DASMA INFO'!$E1212)," ",PROPER('DASMA INFO'!$F1212),"."," (",UPPER('DASMA INFO'!$H1212),")")</f>
        <v>Desierto, Rizel . ()</v>
      </c>
      <c r="E1212" s="70" t="s">
        <v>2412</v>
      </c>
      <c r="F1212" s="70"/>
      <c r="G1212" s="70" t="s">
        <v>2413</v>
      </c>
      <c r="H1212" s="69"/>
      <c r="I1212" s="105">
        <v>0.12</v>
      </c>
      <c r="J1212" s="106">
        <v>1000.0</v>
      </c>
      <c r="K1212" s="73"/>
      <c r="L1212" s="73"/>
      <c r="M1212" s="73"/>
      <c r="N1212" s="74"/>
    </row>
    <row r="1213" ht="30.0" hidden="1" customHeight="1">
      <c r="A1213" s="68">
        <v>1221.0</v>
      </c>
      <c r="B1213" s="68"/>
      <c r="C1213" s="68"/>
      <c r="D1213" s="69" t="str">
        <f>CONCATENATE(PROPER('DASMA INFO'!$G1213),", ",PROPER('DASMA INFO'!$E1213)," ",PROPER('DASMA INFO'!$F1213),"."," (",UPPER('DASMA INFO'!$H1213),")")</f>
        <v>Villamor, Elvira G. ()</v>
      </c>
      <c r="E1213" s="70" t="s">
        <v>147</v>
      </c>
      <c r="F1213" s="70" t="s">
        <v>1032</v>
      </c>
      <c r="G1213" s="70" t="s">
        <v>146</v>
      </c>
      <c r="H1213" s="69"/>
      <c r="I1213" s="92">
        <v>0.05</v>
      </c>
      <c r="J1213" s="93">
        <v>1000.0</v>
      </c>
      <c r="K1213" s="73" t="s">
        <v>2414</v>
      </c>
      <c r="L1213" s="73"/>
      <c r="M1213" s="73"/>
      <c r="N1213" s="74"/>
    </row>
    <row r="1214" ht="30.0" hidden="1" customHeight="1">
      <c r="A1214" s="68">
        <v>1222.0</v>
      </c>
      <c r="B1214" s="68"/>
      <c r="C1214" s="68"/>
      <c r="D1214" s="69" t="str">
        <f>CONCATENATE(PROPER('DASMA INFO'!$G1214),", ",PROPER('DASMA INFO'!$E1214)," ",PROPER('DASMA INFO'!$F1214),"."," (",UPPER('DASMA INFO'!$H1214),")")</f>
        <v>Villamor, Randy G. ()</v>
      </c>
      <c r="E1214" s="70" t="s">
        <v>145</v>
      </c>
      <c r="F1214" s="70" t="s">
        <v>1032</v>
      </c>
      <c r="G1214" s="70" t="s">
        <v>146</v>
      </c>
      <c r="H1214" s="69"/>
      <c r="I1214" s="92">
        <v>0.05</v>
      </c>
      <c r="J1214" s="93">
        <v>1000.0</v>
      </c>
      <c r="K1214" s="73" t="s">
        <v>2103</v>
      </c>
      <c r="L1214" s="73"/>
      <c r="M1214" s="73"/>
      <c r="N1214" s="74"/>
    </row>
    <row r="1215" ht="30.0" hidden="1" customHeight="1">
      <c r="A1215" s="68">
        <v>1223.0</v>
      </c>
      <c r="B1215" s="68"/>
      <c r="C1215" s="68"/>
      <c r="D1215" s="69" t="str">
        <f>CONCATENATE(PROPER('DASMA INFO'!$G1215),", ",PROPER('DASMA INFO'!$E1215)," ",PROPER('DASMA INFO'!$F1215),"."," (",UPPER('DASMA INFO'!$H1215),")")</f>
        <v>Pasumbal, Gudofredo . ()</v>
      </c>
      <c r="E1215" s="70" t="s">
        <v>2415</v>
      </c>
      <c r="F1215" s="70"/>
      <c r="G1215" s="70" t="s">
        <v>2416</v>
      </c>
      <c r="H1215" s="69"/>
      <c r="I1215" s="105">
        <v>0.12</v>
      </c>
      <c r="J1215" s="106">
        <v>1000.0</v>
      </c>
      <c r="K1215" s="73"/>
      <c r="L1215" s="73"/>
      <c r="M1215" s="73"/>
      <c r="N1215" s="74"/>
    </row>
    <row r="1216" ht="30.0" hidden="1" customHeight="1">
      <c r="A1216" s="68">
        <v>1224.0</v>
      </c>
      <c r="B1216" s="68"/>
      <c r="C1216" s="68"/>
      <c r="D1216" s="69" t="str">
        <f>CONCATENATE(PROPER('DASMA INFO'!$G1216),", ",PROPER('DASMA INFO'!$E1216)," ",PROPER('DASMA INFO'!$F1216),"."," (",UPPER('DASMA INFO'!$H1216),")")</f>
        <v>Gahuman, Crislen B. ()</v>
      </c>
      <c r="E1216" s="70" t="s">
        <v>2417</v>
      </c>
      <c r="F1216" s="70" t="s">
        <v>627</v>
      </c>
      <c r="G1216" s="70" t="s">
        <v>2418</v>
      </c>
      <c r="H1216" s="69"/>
      <c r="I1216" s="92">
        <v>0.05</v>
      </c>
      <c r="J1216" s="93">
        <v>1000.0</v>
      </c>
      <c r="K1216" s="73" t="s">
        <v>50</v>
      </c>
      <c r="L1216" s="73"/>
      <c r="M1216" s="73"/>
      <c r="N1216" s="74"/>
    </row>
    <row r="1217" ht="30.0" hidden="1" customHeight="1">
      <c r="A1217" s="68">
        <v>1225.0</v>
      </c>
      <c r="B1217" s="68"/>
      <c r="C1217" s="68"/>
      <c r="D1217" s="69" t="str">
        <f>CONCATENATE(PROPER('DASMA INFO'!$G1217),", ",PROPER('DASMA INFO'!$E1217)," ",PROPER('DASMA INFO'!$F1217),"."," (",UPPER('DASMA INFO'!$H1217),")")</f>
        <v>Crisostomo, Joseal . ()</v>
      </c>
      <c r="E1217" s="70" t="s">
        <v>2419</v>
      </c>
      <c r="F1217" s="70"/>
      <c r="G1217" s="70" t="s">
        <v>2420</v>
      </c>
      <c r="H1217" s="69"/>
      <c r="I1217" s="105">
        <v>0.12</v>
      </c>
      <c r="J1217" s="106">
        <v>1000.0</v>
      </c>
      <c r="K1217" s="73"/>
      <c r="L1217" s="73"/>
      <c r="M1217" s="73"/>
      <c r="N1217" s="74"/>
    </row>
    <row r="1218" ht="30.0" hidden="1" customHeight="1">
      <c r="A1218" s="68">
        <v>1226.0</v>
      </c>
      <c r="B1218" s="68"/>
      <c r="C1218" s="68"/>
      <c r="D1218" s="69" t="str">
        <f>CONCATENATE(PROPER('DASMA INFO'!$G1218),", ",PROPER('DASMA INFO'!$E1218)," ",PROPER('DASMA INFO'!$F1218),"."," (",UPPER('DASMA INFO'!$H1218),")")</f>
        <v>Ballado, Robertson P. ()</v>
      </c>
      <c r="E1218" s="70" t="s">
        <v>2421</v>
      </c>
      <c r="F1218" s="70" t="s">
        <v>513</v>
      </c>
      <c r="G1218" s="70" t="s">
        <v>2422</v>
      </c>
      <c r="H1218" s="69"/>
      <c r="I1218" s="105">
        <v>0.12</v>
      </c>
      <c r="J1218" s="106">
        <v>1000.0</v>
      </c>
      <c r="K1218" s="73" t="s">
        <v>2423</v>
      </c>
      <c r="L1218" s="73"/>
      <c r="M1218" s="73"/>
      <c r="N1218" s="74"/>
    </row>
    <row r="1219" ht="30.0" hidden="1" customHeight="1">
      <c r="A1219" s="68">
        <v>1227.0</v>
      </c>
      <c r="B1219" s="68"/>
      <c r="C1219" s="68"/>
      <c r="D1219" s="69" t="str">
        <f>CONCATENATE(PROPER('DASMA INFO'!$G1219),", ",PROPER('DASMA INFO'!$E1219)," ",PROPER('DASMA INFO'!$F1219),"."," (",UPPER('DASMA INFO'!$H1219),")")</f>
        <v>,  . ()</v>
      </c>
      <c r="E1219" s="70"/>
      <c r="F1219" s="70"/>
      <c r="G1219" s="70"/>
      <c r="H1219" s="69"/>
      <c r="I1219" s="105">
        <v>0.12</v>
      </c>
      <c r="J1219" s="106">
        <v>1000.0</v>
      </c>
      <c r="K1219" s="73"/>
      <c r="L1219" s="73"/>
      <c r="M1219" s="73"/>
      <c r="N1219" s="74"/>
    </row>
    <row r="1220" ht="30.0" hidden="1" customHeight="1">
      <c r="A1220" s="68">
        <v>1228.0</v>
      </c>
      <c r="B1220" s="68"/>
      <c r="C1220" s="68"/>
      <c r="D1220" s="69" t="str">
        <f>CONCATENATE(PROPER('DASMA INFO'!$G1220),", ",PROPER('DASMA INFO'!$E1220)," ",PROPER('DASMA INFO'!$F1220),"."," (",UPPER('DASMA INFO'!$H1220),")")</f>
        <v>Almacen, Norma . ()</v>
      </c>
      <c r="E1220" s="70" t="s">
        <v>2203</v>
      </c>
      <c r="F1220" s="69"/>
      <c r="G1220" s="70" t="s">
        <v>1010</v>
      </c>
      <c r="H1220" s="69"/>
      <c r="I1220" s="105">
        <v>0.12</v>
      </c>
      <c r="J1220" s="106">
        <v>1000.0</v>
      </c>
      <c r="K1220" s="73"/>
      <c r="L1220" s="73"/>
      <c r="M1220" s="73"/>
      <c r="N1220" s="74"/>
    </row>
    <row r="1221" ht="30.0" hidden="1" customHeight="1">
      <c r="A1221" s="68">
        <v>1229.0</v>
      </c>
      <c r="B1221" s="68"/>
      <c r="C1221" s="68"/>
      <c r="D1221" s="69" t="str">
        <f>CONCATENATE(PROPER('DASMA INFO'!$G1221),", ",PROPER('DASMA INFO'!$E1221)," ",PROPER('DASMA INFO'!$F1221),"."," (",UPPER('DASMA INFO'!$H1221),")")</f>
        <v>Arboleda, Allan . ()</v>
      </c>
      <c r="E1221" s="70" t="s">
        <v>2424</v>
      </c>
      <c r="F1221" s="69"/>
      <c r="G1221" s="70" t="s">
        <v>2425</v>
      </c>
      <c r="H1221" s="69"/>
      <c r="I1221" s="105">
        <v>0.12</v>
      </c>
      <c r="J1221" s="106">
        <v>1000.0</v>
      </c>
      <c r="K1221" s="73"/>
      <c r="L1221" s="73"/>
      <c r="M1221" s="73"/>
      <c r="N1221" s="74"/>
    </row>
    <row r="1222" ht="30.0" hidden="1" customHeight="1">
      <c r="A1222" s="68">
        <v>1230.0</v>
      </c>
      <c r="B1222" s="68"/>
      <c r="C1222" s="68"/>
      <c r="D1222" s="69" t="str">
        <f>CONCATENATE(PROPER('DASMA INFO'!$G1222),", ",PROPER('DASMA INFO'!$E1222)," ",PROPER('DASMA INFO'!$F1222),"."," (",UPPER('DASMA INFO'!$H1222),")")</f>
        <v>Gerela, Garry Louie M. ()</v>
      </c>
      <c r="E1222" s="70" t="s">
        <v>2426</v>
      </c>
      <c r="F1222" s="70" t="s">
        <v>587</v>
      </c>
      <c r="G1222" s="70" t="s">
        <v>2427</v>
      </c>
      <c r="H1222" s="69"/>
      <c r="I1222" s="92">
        <v>0.05</v>
      </c>
      <c r="J1222" s="93">
        <v>1000.0</v>
      </c>
      <c r="K1222" s="73" t="s">
        <v>2428</v>
      </c>
      <c r="L1222" s="73"/>
      <c r="M1222" s="73"/>
      <c r="N1222" s="74"/>
    </row>
    <row r="1223" ht="30.0" hidden="1" customHeight="1">
      <c r="A1223" s="68">
        <v>1231.0</v>
      </c>
      <c r="B1223" s="68"/>
      <c r="C1223" s="68"/>
      <c r="D1223" s="69" t="str">
        <f>CONCATENATE(PROPER('DASMA INFO'!$G1223),", ",PROPER('DASMA INFO'!$E1223)," ",PROPER('DASMA INFO'!$F1223),"."," (",UPPER('DASMA INFO'!$H1223),")")</f>
        <v>,  . ()</v>
      </c>
      <c r="E1223" s="70"/>
      <c r="F1223" s="70"/>
      <c r="G1223" s="70"/>
      <c r="H1223" s="69"/>
      <c r="I1223" s="105">
        <v>0.12</v>
      </c>
      <c r="J1223" s="106">
        <v>1000.0</v>
      </c>
      <c r="K1223" s="73"/>
      <c r="L1223" s="73"/>
      <c r="M1223" s="73"/>
      <c r="N1223" s="74"/>
    </row>
    <row r="1224" ht="30.0" hidden="1" customHeight="1">
      <c r="A1224" s="68">
        <v>1232.0</v>
      </c>
      <c r="B1224" s="68"/>
      <c r="C1224" s="68"/>
      <c r="D1224" s="69" t="str">
        <f>CONCATENATE(PROPER('DASMA INFO'!$G1224),", ",PROPER('DASMA INFO'!$E1224)," ",PROPER('DASMA INFO'!$F1224),"."," (",UPPER('DASMA INFO'!$H1224),")")</f>
        <v>Menchavez, Ann . ()</v>
      </c>
      <c r="E1224" s="70" t="s">
        <v>2429</v>
      </c>
      <c r="F1224" s="69"/>
      <c r="G1224" s="70" t="s">
        <v>2430</v>
      </c>
      <c r="H1224" s="69"/>
      <c r="I1224" s="105">
        <v>0.12</v>
      </c>
      <c r="J1224" s="106">
        <v>1000.0</v>
      </c>
      <c r="K1224" s="73"/>
      <c r="L1224" s="73"/>
      <c r="M1224" s="73"/>
      <c r="N1224" s="74"/>
    </row>
    <row r="1225" ht="30.0" hidden="1" customHeight="1">
      <c r="A1225" s="68">
        <v>1233.0</v>
      </c>
      <c r="B1225" s="68"/>
      <c r="C1225" s="68"/>
      <c r="D1225" s="69" t="str">
        <f>CONCATENATE(PROPER('DASMA INFO'!$G1225),", ",PROPER('DASMA INFO'!$E1225)," ",PROPER('DASMA INFO'!$F1225),"."," (",UPPER('DASMA INFO'!$H1225),")")</f>
        <v>Sesante, Wendy . ()</v>
      </c>
      <c r="E1225" s="70" t="s">
        <v>2431</v>
      </c>
      <c r="F1225" s="69"/>
      <c r="G1225" s="70" t="s">
        <v>2432</v>
      </c>
      <c r="H1225" s="69"/>
      <c r="I1225" s="105">
        <v>0.12</v>
      </c>
      <c r="J1225" s="106">
        <v>1000.0</v>
      </c>
      <c r="K1225" s="73"/>
      <c r="L1225" s="73"/>
      <c r="M1225" s="73"/>
      <c r="N1225" s="74"/>
    </row>
    <row r="1226" ht="30.0" hidden="1" customHeight="1">
      <c r="A1226" s="68">
        <v>1234.0</v>
      </c>
      <c r="B1226" s="68"/>
      <c r="C1226" s="68"/>
      <c r="D1226" s="69" t="str">
        <f>CONCATENATE(PROPER('DASMA INFO'!$G1226),", ",PROPER('DASMA INFO'!$E1226)," ",PROPER('DASMA INFO'!$F1226),"."," (",UPPER('DASMA INFO'!$H1226),")")</f>
        <v>Baculpo, Celso . ()</v>
      </c>
      <c r="E1226" s="70" t="s">
        <v>1055</v>
      </c>
      <c r="F1226" s="69"/>
      <c r="G1226" s="70" t="s">
        <v>1049</v>
      </c>
      <c r="H1226" s="69"/>
      <c r="I1226" s="105">
        <v>0.12</v>
      </c>
      <c r="J1226" s="106">
        <v>1000.0</v>
      </c>
      <c r="K1226" s="73"/>
      <c r="L1226" s="73"/>
      <c r="M1226" s="73"/>
      <c r="N1226" s="74"/>
    </row>
    <row r="1227" ht="30.0" hidden="1" customHeight="1">
      <c r="A1227" s="68">
        <v>1235.0</v>
      </c>
      <c r="B1227" s="68"/>
      <c r="C1227" s="68"/>
      <c r="D1227" s="69" t="str">
        <f>CONCATENATE(PROPER('DASMA INFO'!$G1227),", ",PROPER('DASMA INFO'!$E1227)," ",PROPER('DASMA INFO'!$F1227),"."," (",UPPER('DASMA INFO'!$H1227),")")</f>
        <v>Omelgo, Ramil M. ()</v>
      </c>
      <c r="E1227" s="70" t="s">
        <v>514</v>
      </c>
      <c r="F1227" s="70" t="s">
        <v>587</v>
      </c>
      <c r="G1227" s="70" t="s">
        <v>2433</v>
      </c>
      <c r="H1227" s="69"/>
      <c r="I1227" s="92">
        <v>0.05</v>
      </c>
      <c r="J1227" s="93">
        <v>1000.0</v>
      </c>
      <c r="K1227" s="73" t="s">
        <v>2434</v>
      </c>
      <c r="L1227" s="73"/>
      <c r="M1227" s="73"/>
      <c r="N1227" s="74"/>
    </row>
    <row r="1228" ht="30.0" hidden="1" customHeight="1">
      <c r="A1228" s="68">
        <v>1236.0</v>
      </c>
      <c r="B1228" s="68"/>
      <c r="C1228" s="68"/>
      <c r="D1228" s="69" t="str">
        <f>CONCATENATE(PROPER('DASMA INFO'!$G1228),", ",PROPER('DASMA INFO'!$E1228)," ",PROPER('DASMA INFO'!$F1228),"."," (",UPPER('DASMA INFO'!$H1228),")")</f>
        <v>Torralba, Editha C. ()</v>
      </c>
      <c r="E1228" s="70" t="s">
        <v>402</v>
      </c>
      <c r="F1228" s="70" t="s">
        <v>318</v>
      </c>
      <c r="G1228" s="70" t="s">
        <v>1706</v>
      </c>
      <c r="H1228" s="69"/>
      <c r="I1228" s="105">
        <v>0.12</v>
      </c>
      <c r="J1228" s="106">
        <v>1000.0</v>
      </c>
      <c r="K1228" s="73" t="s">
        <v>2435</v>
      </c>
      <c r="L1228" s="73"/>
      <c r="M1228" s="73"/>
      <c r="N1228" s="74"/>
    </row>
    <row r="1229" ht="30.0" hidden="1" customHeight="1">
      <c r="A1229" s="68">
        <v>1237.0</v>
      </c>
      <c r="B1229" s="68"/>
      <c r="C1229" s="68"/>
      <c r="D1229" s="69" t="str">
        <f>CONCATENATE(PROPER('DASMA INFO'!$G1229),", ",PROPER('DASMA INFO'!$E1229)," ",PROPER('DASMA INFO'!$F1229),"."," (",UPPER('DASMA INFO'!$H1229),")")</f>
        <v>Raga, Nerissa S. ()</v>
      </c>
      <c r="E1229" s="70" t="s">
        <v>328</v>
      </c>
      <c r="F1229" s="70" t="s">
        <v>342</v>
      </c>
      <c r="G1229" s="70" t="s">
        <v>2436</v>
      </c>
      <c r="H1229" s="69"/>
      <c r="I1229" s="92">
        <v>0.05</v>
      </c>
      <c r="J1229" s="93">
        <v>1000.0</v>
      </c>
      <c r="K1229" s="73" t="s">
        <v>2437</v>
      </c>
      <c r="L1229" s="73"/>
      <c r="M1229" s="73"/>
      <c r="N1229" s="74"/>
    </row>
    <row r="1230" ht="30.0" hidden="1" customHeight="1">
      <c r="A1230" s="68">
        <v>1238.0</v>
      </c>
      <c r="B1230" s="68"/>
      <c r="C1230" s="68"/>
      <c r="D1230" s="69" t="str">
        <f>CONCATENATE(PROPER('DASMA INFO'!$G1230),", ",PROPER('DASMA INFO'!$E1230)," ",PROPER('DASMA INFO'!$F1230),"."," (",UPPER('DASMA INFO'!$H1230),")")</f>
        <v>Raga, Gladys . ()</v>
      </c>
      <c r="E1230" s="70" t="s">
        <v>2438</v>
      </c>
      <c r="F1230" s="69"/>
      <c r="G1230" s="70" t="s">
        <v>2436</v>
      </c>
      <c r="H1230" s="69"/>
      <c r="I1230" s="92">
        <v>0.05</v>
      </c>
      <c r="J1230" s="93">
        <v>1000.0</v>
      </c>
      <c r="K1230" s="73" t="s">
        <v>50</v>
      </c>
      <c r="L1230" s="73"/>
      <c r="M1230" s="73"/>
      <c r="N1230" s="74"/>
    </row>
    <row r="1231" ht="30.0" hidden="1" customHeight="1">
      <c r="A1231" s="68">
        <v>1239.0</v>
      </c>
      <c r="B1231" s="68"/>
      <c r="C1231" s="68"/>
      <c r="D1231" s="69" t="str">
        <f>CONCATENATE(PROPER('DASMA INFO'!$G1231),", ",PROPER('DASMA INFO'!$E1231)," ",PROPER('DASMA INFO'!$F1231),"."," (",UPPER('DASMA INFO'!$H1231),")")</f>
        <v>Unlayao, Cristina B. ()</v>
      </c>
      <c r="E1231" s="70" t="s">
        <v>294</v>
      </c>
      <c r="F1231" s="70" t="s">
        <v>627</v>
      </c>
      <c r="G1231" s="70" t="s">
        <v>2439</v>
      </c>
      <c r="H1231" s="69"/>
      <c r="I1231" s="105">
        <v>0.12</v>
      </c>
      <c r="J1231" s="106">
        <v>1000.0</v>
      </c>
      <c r="K1231" s="73" t="s">
        <v>968</v>
      </c>
      <c r="L1231" s="73"/>
      <c r="M1231" s="73"/>
      <c r="N1231" s="74"/>
    </row>
    <row r="1232" ht="30.0" hidden="1" customHeight="1">
      <c r="A1232" s="68">
        <v>1240.0</v>
      </c>
      <c r="B1232" s="68"/>
      <c r="C1232" s="68"/>
      <c r="D1232" s="69" t="str">
        <f>CONCATENATE(PROPER('DASMA INFO'!$G1232),", ",PROPER('DASMA INFO'!$E1232)," ",PROPER('DASMA INFO'!$F1232),"."," (",UPPER('DASMA INFO'!$H1232),")")</f>
        <v>Unlayao, Erwin . ()</v>
      </c>
      <c r="E1232" s="70" t="s">
        <v>891</v>
      </c>
      <c r="F1232" s="69"/>
      <c r="G1232" s="70" t="s">
        <v>2439</v>
      </c>
      <c r="H1232" s="69"/>
      <c r="I1232" s="105">
        <v>0.12</v>
      </c>
      <c r="J1232" s="106">
        <v>1000.0</v>
      </c>
      <c r="K1232" s="73" t="s">
        <v>968</v>
      </c>
      <c r="L1232" s="73"/>
      <c r="M1232" s="73"/>
      <c r="N1232" s="74"/>
    </row>
    <row r="1233" ht="30.0" hidden="1" customHeight="1">
      <c r="A1233" s="68">
        <v>1241.0</v>
      </c>
      <c r="B1233" s="68"/>
      <c r="C1233" s="68"/>
      <c r="D1233" s="69" t="str">
        <f>CONCATENATE(PROPER('DASMA INFO'!$G1233),", ",PROPER('DASMA INFO'!$E1233)," ",PROPER('DASMA INFO'!$F1233),"."," (",UPPER('DASMA INFO'!$H1233),")")</f>
        <v>Reyes, Candida . ()</v>
      </c>
      <c r="E1233" s="70" t="s">
        <v>2440</v>
      </c>
      <c r="F1233" s="69"/>
      <c r="G1233" s="70" t="s">
        <v>122</v>
      </c>
      <c r="H1233" s="69"/>
      <c r="I1233" s="105">
        <v>0.12</v>
      </c>
      <c r="J1233" s="106">
        <v>1000.0</v>
      </c>
      <c r="K1233" s="73"/>
      <c r="L1233" s="73"/>
      <c r="M1233" s="73"/>
      <c r="N1233" s="74"/>
    </row>
    <row r="1234" ht="30.0" hidden="1" customHeight="1">
      <c r="A1234" s="68">
        <v>1242.0</v>
      </c>
      <c r="B1234" s="68"/>
      <c r="C1234" s="68"/>
      <c r="D1234" s="69" t="str">
        <f>CONCATENATE(PROPER('DASMA INFO'!$G1234),", ",PROPER('DASMA INFO'!$E1234)," ",PROPER('DASMA INFO'!$F1234),"."," (",UPPER('DASMA INFO'!$H1234),")")</f>
        <v>Abad, Alvin Vincent . ()</v>
      </c>
      <c r="E1234" s="70" t="s">
        <v>2441</v>
      </c>
      <c r="F1234" s="70"/>
      <c r="G1234" s="70" t="s">
        <v>177</v>
      </c>
      <c r="H1234" s="69"/>
      <c r="I1234" s="92">
        <v>0.05</v>
      </c>
      <c r="J1234" s="93">
        <v>1000.0</v>
      </c>
      <c r="K1234" s="73" t="s">
        <v>2442</v>
      </c>
      <c r="L1234" s="73"/>
      <c r="M1234" s="73"/>
      <c r="N1234" s="74"/>
    </row>
    <row r="1235" ht="30.0" hidden="1" customHeight="1">
      <c r="A1235" s="68">
        <v>1243.0</v>
      </c>
      <c r="B1235" s="68"/>
      <c r="C1235" s="68"/>
      <c r="D1235" s="69" t="str">
        <f>CONCATENATE(PROPER('DASMA INFO'!$G1235),", ",PROPER('DASMA INFO'!$E1235)," ",PROPER('DASMA INFO'!$F1235),"."," (",UPPER('DASMA INFO'!$H1235),")")</f>
        <v>Pahayag, Gwendolyn . ()</v>
      </c>
      <c r="E1235" s="70" t="s">
        <v>2443</v>
      </c>
      <c r="F1235" s="69"/>
      <c r="G1235" s="70" t="s">
        <v>2444</v>
      </c>
      <c r="H1235" s="69"/>
      <c r="I1235" s="105">
        <v>0.12</v>
      </c>
      <c r="J1235" s="106">
        <v>1000.0</v>
      </c>
      <c r="K1235" s="73"/>
      <c r="L1235" s="73"/>
      <c r="M1235" s="73"/>
      <c r="N1235" s="74"/>
    </row>
    <row r="1236" ht="30.0" hidden="1" customHeight="1">
      <c r="A1236" s="68">
        <v>1244.0</v>
      </c>
      <c r="B1236" s="68"/>
      <c r="C1236" s="68"/>
      <c r="D1236" s="69" t="str">
        <f>CONCATENATE(PROPER('DASMA INFO'!$G1236),", ",PROPER('DASMA INFO'!$E1236)," ",PROPER('DASMA INFO'!$F1236),"."," (",UPPER('DASMA INFO'!$H1236),")")</f>
        <v>San Pedro, Ma Cristina . ()</v>
      </c>
      <c r="E1236" s="70" t="s">
        <v>2445</v>
      </c>
      <c r="F1236" s="70"/>
      <c r="G1236" s="70" t="s">
        <v>92</v>
      </c>
      <c r="H1236" s="70"/>
      <c r="I1236" s="92">
        <v>0.05</v>
      </c>
      <c r="J1236" s="93">
        <v>1000.0</v>
      </c>
      <c r="K1236" s="73" t="s">
        <v>2446</v>
      </c>
      <c r="L1236" s="73"/>
      <c r="M1236" s="73"/>
      <c r="N1236" s="74"/>
    </row>
    <row r="1237" ht="30.0" hidden="1" customHeight="1">
      <c r="A1237" s="68">
        <v>1245.0</v>
      </c>
      <c r="B1237" s="68"/>
      <c r="C1237" s="68"/>
      <c r="D1237" s="69" t="str">
        <f>CONCATENATE(PROPER('DASMA INFO'!$G1237),", ",PROPER('DASMA INFO'!$E1237)," ",PROPER('DASMA INFO'!$F1237),"."," (",UPPER('DASMA INFO'!$H1237),")")</f>
        <v>Sanchez, Lenon A. ()</v>
      </c>
      <c r="E1237" s="70" t="s">
        <v>2447</v>
      </c>
      <c r="F1237" s="70" t="s">
        <v>427</v>
      </c>
      <c r="G1237" s="70" t="s">
        <v>2448</v>
      </c>
      <c r="H1237" s="69"/>
      <c r="I1237" s="92">
        <v>0.05</v>
      </c>
      <c r="J1237" s="93">
        <v>1000.0</v>
      </c>
      <c r="K1237" s="73" t="s">
        <v>968</v>
      </c>
      <c r="L1237" s="73"/>
      <c r="M1237" s="73"/>
      <c r="N1237" s="74"/>
    </row>
    <row r="1238" ht="30.0" hidden="1" customHeight="1">
      <c r="A1238" s="68">
        <v>1246.0</v>
      </c>
      <c r="B1238" s="68"/>
      <c r="C1238" s="68"/>
      <c r="D1238" s="69" t="str">
        <f>CONCATENATE(PROPER('DASMA INFO'!$G1238),", ",PROPER('DASMA INFO'!$E1238)," ",PROPER('DASMA INFO'!$F1238),"."," (",UPPER('DASMA INFO'!$H1238),")")</f>
        <v>Gimongala, Ellen . ()</v>
      </c>
      <c r="E1238" s="70" t="s">
        <v>2449</v>
      </c>
      <c r="F1238" s="69"/>
      <c r="G1238" s="70" t="s">
        <v>149</v>
      </c>
      <c r="H1238" s="69"/>
      <c r="I1238" s="105">
        <v>0.12</v>
      </c>
      <c r="J1238" s="106">
        <v>1000.0</v>
      </c>
      <c r="K1238" s="73"/>
      <c r="L1238" s="73"/>
      <c r="M1238" s="73"/>
      <c r="N1238" s="74"/>
    </row>
    <row r="1239" ht="30.0" hidden="1" customHeight="1">
      <c r="A1239" s="68">
        <v>1247.0</v>
      </c>
      <c r="B1239" s="68"/>
      <c r="C1239" s="68"/>
      <c r="D1239" s="69" t="str">
        <f>CONCATENATE(PROPER('DASMA INFO'!$G1239),", ",PROPER('DASMA INFO'!$E1239)," ",PROPER('DASMA INFO'!$F1239),"."," (",UPPER('DASMA INFO'!$H1239),")")</f>
        <v>Camarador, Jerome . ()</v>
      </c>
      <c r="E1239" s="70" t="s">
        <v>2450</v>
      </c>
      <c r="F1239" s="69"/>
      <c r="G1239" s="70" t="s">
        <v>2328</v>
      </c>
      <c r="H1239" s="69"/>
      <c r="I1239" s="105">
        <v>0.12</v>
      </c>
      <c r="J1239" s="106">
        <v>1000.0</v>
      </c>
      <c r="K1239" s="73"/>
      <c r="L1239" s="73"/>
      <c r="M1239" s="73"/>
      <c r="N1239" s="74"/>
    </row>
    <row r="1240" ht="30.0" hidden="1" customHeight="1">
      <c r="A1240" s="68">
        <v>1248.0</v>
      </c>
      <c r="B1240" s="68"/>
      <c r="C1240" s="68"/>
      <c r="D1240" s="69" t="str">
        <f>CONCATENATE(PROPER('DASMA INFO'!$G1240),", ",PROPER('DASMA INFO'!$E1240)," ",PROPER('DASMA INFO'!$F1240),"."," (",UPPER('DASMA INFO'!$H1240),")")</f>
        <v>De Castro, Benjamin . ()</v>
      </c>
      <c r="E1240" s="70" t="s">
        <v>186</v>
      </c>
      <c r="F1240" s="69"/>
      <c r="G1240" s="70" t="s">
        <v>883</v>
      </c>
      <c r="H1240" s="69"/>
      <c r="I1240" s="105">
        <v>0.12</v>
      </c>
      <c r="J1240" s="106">
        <v>1000.0</v>
      </c>
      <c r="K1240" s="73"/>
      <c r="L1240" s="73"/>
      <c r="M1240" s="73"/>
      <c r="N1240" s="74"/>
    </row>
    <row r="1241" ht="30.0" hidden="1" customHeight="1">
      <c r="A1241" s="68">
        <v>1249.0</v>
      </c>
      <c r="B1241" s="68"/>
      <c r="C1241" s="68"/>
      <c r="D1241" s="69" t="str">
        <f>CONCATENATE(PROPER('DASMA INFO'!$G1241),", ",PROPER('DASMA INFO'!$E1241)," ",PROPER('DASMA INFO'!$F1241),"."," (",UPPER('DASMA INFO'!$H1241),")")</f>
        <v>Tamon, Benjamin . ()</v>
      </c>
      <c r="E1241" s="70" t="s">
        <v>186</v>
      </c>
      <c r="F1241" s="69"/>
      <c r="G1241" s="70" t="s">
        <v>2451</v>
      </c>
      <c r="H1241" s="69"/>
      <c r="I1241" s="105">
        <v>0.12</v>
      </c>
      <c r="J1241" s="106">
        <v>1000.0</v>
      </c>
      <c r="K1241" s="73"/>
      <c r="L1241" s="73"/>
      <c r="M1241" s="73"/>
      <c r="N1241" s="74"/>
    </row>
    <row r="1242" ht="30.0" hidden="1" customHeight="1">
      <c r="A1242" s="68">
        <v>1250.0</v>
      </c>
      <c r="B1242" s="68"/>
      <c r="C1242" s="68"/>
      <c r="D1242" s="69" t="str">
        <f>CONCATENATE(PROPER('DASMA INFO'!$G1242),", ",PROPER('DASMA INFO'!$E1242)," ",PROPER('DASMA INFO'!$F1242),"."," (",UPPER('DASMA INFO'!$H1242),")")</f>
        <v>Ganage, Sharita . ()</v>
      </c>
      <c r="E1242" s="70" t="s">
        <v>2452</v>
      </c>
      <c r="F1242" s="69"/>
      <c r="G1242" s="70" t="s">
        <v>2453</v>
      </c>
      <c r="H1242" s="69"/>
      <c r="I1242" s="105">
        <v>0.12</v>
      </c>
      <c r="J1242" s="106">
        <v>1000.0</v>
      </c>
      <c r="K1242" s="73"/>
      <c r="L1242" s="73"/>
      <c r="M1242" s="73"/>
      <c r="N1242" s="74"/>
    </row>
    <row r="1243" ht="30.0" hidden="1" customHeight="1">
      <c r="A1243" s="68">
        <v>1251.0</v>
      </c>
      <c r="B1243" s="68"/>
      <c r="C1243" s="68"/>
      <c r="D1243" s="69" t="str">
        <f>CONCATENATE(PROPER('DASMA INFO'!$G1243),", ",PROPER('DASMA INFO'!$E1243)," ",PROPER('DASMA INFO'!$F1243),"."," (",UPPER('DASMA INFO'!$H1243),")")</f>
        <v>Vicente, Sherly . ()</v>
      </c>
      <c r="E1243" s="70" t="s">
        <v>2454</v>
      </c>
      <c r="F1243" s="69"/>
      <c r="G1243" s="70" t="s">
        <v>1490</v>
      </c>
      <c r="H1243" s="69"/>
      <c r="I1243" s="105">
        <v>0.12</v>
      </c>
      <c r="J1243" s="106">
        <v>1000.0</v>
      </c>
      <c r="K1243" s="73"/>
      <c r="L1243" s="73"/>
      <c r="M1243" s="73"/>
      <c r="N1243" s="74"/>
    </row>
    <row r="1244" ht="30.0" hidden="1" customHeight="1">
      <c r="A1244" s="68">
        <v>1252.0</v>
      </c>
      <c r="B1244" s="68"/>
      <c r="C1244" s="68"/>
      <c r="D1244" s="69" t="str">
        <f>CONCATENATE(PROPER('DASMA INFO'!$G1244),", ",PROPER('DASMA INFO'!$E1244)," ",PROPER('DASMA INFO'!$F1244),"."," (",UPPER('DASMA INFO'!$H1244),")")</f>
        <v>Corpuz, Rommel . ()</v>
      </c>
      <c r="E1244" s="70" t="s">
        <v>977</v>
      </c>
      <c r="F1244" s="69"/>
      <c r="G1244" s="70" t="s">
        <v>1362</v>
      </c>
      <c r="H1244" s="69"/>
      <c r="I1244" s="105">
        <v>0.12</v>
      </c>
      <c r="J1244" s="106">
        <v>1000.0</v>
      </c>
      <c r="K1244" s="73"/>
      <c r="L1244" s="73"/>
      <c r="M1244" s="73"/>
      <c r="N1244" s="74"/>
    </row>
    <row r="1245" ht="30.0" hidden="1" customHeight="1">
      <c r="A1245" s="68">
        <v>1253.0</v>
      </c>
      <c r="B1245" s="68"/>
      <c r="C1245" s="68"/>
      <c r="D1245" s="69" t="str">
        <f>CONCATENATE(PROPER('DASMA INFO'!$G1245),", ",PROPER('DASMA INFO'!$E1245)," ",PROPER('DASMA INFO'!$F1245),"."," (",UPPER('DASMA INFO'!$H1245),")")</f>
        <v>De Guzman, Mercedes S. ()</v>
      </c>
      <c r="E1245" s="70" t="s">
        <v>1228</v>
      </c>
      <c r="F1245" s="70" t="s">
        <v>342</v>
      </c>
      <c r="G1245" s="70" t="s">
        <v>741</v>
      </c>
      <c r="H1245" s="70"/>
      <c r="I1245" s="105">
        <v>0.12</v>
      </c>
      <c r="J1245" s="106">
        <v>1000.0</v>
      </c>
      <c r="K1245" s="73" t="s">
        <v>2455</v>
      </c>
      <c r="L1245" s="73"/>
      <c r="M1245" s="73"/>
      <c r="N1245" s="74"/>
    </row>
    <row r="1246" ht="30.0" hidden="1" customHeight="1">
      <c r="A1246" s="68">
        <v>1254.0</v>
      </c>
      <c r="B1246" s="68"/>
      <c r="C1246" s="68"/>
      <c r="D1246" s="69" t="str">
        <f>CONCATENATE(PROPER('DASMA INFO'!$G1246),", ",PROPER('DASMA INFO'!$E1246)," ",PROPER('DASMA INFO'!$F1246),"."," (",UPPER('DASMA INFO'!$H1246),")")</f>
        <v>Bautista, Mayette R. ()</v>
      </c>
      <c r="E1246" s="70" t="s">
        <v>2456</v>
      </c>
      <c r="F1246" s="70" t="s">
        <v>260</v>
      </c>
      <c r="G1246" s="70" t="s">
        <v>275</v>
      </c>
      <c r="H1246" s="69"/>
      <c r="I1246" s="105">
        <v>0.12</v>
      </c>
      <c r="J1246" s="106">
        <v>1000.0</v>
      </c>
      <c r="K1246" s="73"/>
      <c r="L1246" s="73"/>
      <c r="M1246" s="73"/>
      <c r="N1246" s="74"/>
    </row>
    <row r="1247" ht="30.0" hidden="1" customHeight="1">
      <c r="A1247" s="68">
        <v>1255.0</v>
      </c>
      <c r="B1247" s="68"/>
      <c r="C1247" s="68"/>
      <c r="D1247" s="69" t="str">
        <f>CONCATENATE(PROPER('DASMA INFO'!$G1247),", ",PROPER('DASMA INFO'!$E1247)," ",PROPER('DASMA INFO'!$F1247),"."," (",UPPER('DASMA INFO'!$H1247),")")</f>
        <v>Virtucio, Xavier . ()</v>
      </c>
      <c r="E1247" s="70" t="s">
        <v>2457</v>
      </c>
      <c r="F1247" s="69"/>
      <c r="G1247" s="70" t="s">
        <v>2458</v>
      </c>
      <c r="H1247" s="69"/>
      <c r="I1247" s="105">
        <v>0.12</v>
      </c>
      <c r="J1247" s="106">
        <v>1000.0</v>
      </c>
      <c r="K1247" s="73"/>
      <c r="L1247" s="73"/>
      <c r="M1247" s="73"/>
      <c r="N1247" s="74"/>
    </row>
    <row r="1248" ht="30.0" hidden="1" customHeight="1">
      <c r="A1248" s="68">
        <v>1256.0</v>
      </c>
      <c r="B1248" s="68"/>
      <c r="C1248" s="68"/>
      <c r="D1248" s="69" t="str">
        <f>CONCATENATE(PROPER('DASMA INFO'!$G1248),", ",PROPER('DASMA INFO'!$E1248)," ",PROPER('DASMA INFO'!$F1248),"."," (",UPPER('DASMA INFO'!$H1248),")")</f>
        <v>Tan, Carlos . ()</v>
      </c>
      <c r="E1248" s="70" t="s">
        <v>1404</v>
      </c>
      <c r="F1248" s="69"/>
      <c r="G1248" s="70" t="s">
        <v>422</v>
      </c>
      <c r="H1248" s="69"/>
      <c r="I1248" s="105">
        <v>0.12</v>
      </c>
      <c r="J1248" s="106">
        <v>1000.0</v>
      </c>
      <c r="K1248" s="73"/>
      <c r="L1248" s="73"/>
      <c r="M1248" s="73"/>
      <c r="N1248" s="74"/>
    </row>
    <row r="1249" ht="30.0" hidden="1" customHeight="1">
      <c r="A1249" s="68">
        <v>1257.0</v>
      </c>
      <c r="B1249" s="68"/>
      <c r="C1249" s="68"/>
      <c r="D1249" s="69" t="str">
        <f>CONCATENATE(PROPER('DASMA INFO'!$G1249),", ",PROPER('DASMA INFO'!$E1249)," ",PROPER('DASMA INFO'!$F1249),"."," (",UPPER('DASMA INFO'!$H1249),")")</f>
        <v>Luis, Sunshine . ()</v>
      </c>
      <c r="E1249" s="70" t="s">
        <v>1958</v>
      </c>
      <c r="F1249" s="69"/>
      <c r="G1249" s="70" t="s">
        <v>792</v>
      </c>
      <c r="H1249" s="69"/>
      <c r="I1249" s="105">
        <v>0.12</v>
      </c>
      <c r="J1249" s="106">
        <v>1000.0</v>
      </c>
      <c r="K1249" s="73"/>
      <c r="L1249" s="73"/>
      <c r="M1249" s="73"/>
      <c r="N1249" s="74"/>
    </row>
    <row r="1250" ht="30.0" hidden="1" customHeight="1">
      <c r="A1250" s="68">
        <v>1258.0</v>
      </c>
      <c r="B1250" s="68"/>
      <c r="C1250" s="68"/>
      <c r="D1250" s="69" t="str">
        <f>CONCATENATE(PROPER('DASMA INFO'!$G1250),", ",PROPER('DASMA INFO'!$E1250)," ",PROPER('DASMA INFO'!$F1250),"."," (",UPPER('DASMA INFO'!$H1250),")")</f>
        <v>Velarde, Leslie . ()</v>
      </c>
      <c r="E1250" s="70" t="s">
        <v>2459</v>
      </c>
      <c r="F1250" s="69"/>
      <c r="G1250" s="70" t="s">
        <v>2460</v>
      </c>
      <c r="H1250" s="69"/>
      <c r="I1250" s="105">
        <v>0.12</v>
      </c>
      <c r="J1250" s="106">
        <v>1000.0</v>
      </c>
      <c r="K1250" s="73"/>
      <c r="L1250" s="73"/>
      <c r="M1250" s="73"/>
      <c r="N1250" s="74"/>
    </row>
    <row r="1251" ht="30.0" hidden="1" customHeight="1">
      <c r="A1251" s="68">
        <v>1259.0</v>
      </c>
      <c r="B1251" s="68"/>
      <c r="C1251" s="68"/>
      <c r="D1251" s="69" t="str">
        <f>CONCATENATE(PROPER('DASMA INFO'!$G1251),", ",PROPER('DASMA INFO'!$E1251)," ",PROPER('DASMA INFO'!$F1251),"."," (",UPPER('DASMA INFO'!$H1251),")")</f>
        <v>Mojica, Lailani I. ()</v>
      </c>
      <c r="E1251" s="70" t="s">
        <v>2461</v>
      </c>
      <c r="F1251" s="70" t="s">
        <v>767</v>
      </c>
      <c r="G1251" s="70" t="s">
        <v>2462</v>
      </c>
      <c r="H1251" s="69"/>
      <c r="I1251" s="105">
        <v>0.12</v>
      </c>
      <c r="J1251" s="106">
        <v>1000.0</v>
      </c>
      <c r="K1251" s="73" t="s">
        <v>2435</v>
      </c>
      <c r="L1251" s="73"/>
      <c r="M1251" s="73"/>
      <c r="N1251" s="74"/>
    </row>
    <row r="1252" ht="30.0" hidden="1" customHeight="1">
      <c r="A1252" s="68">
        <v>1260.0</v>
      </c>
      <c r="B1252" s="68"/>
      <c r="C1252" s="68"/>
      <c r="D1252" s="69" t="str">
        <f>CONCATENATE(PROPER('DASMA INFO'!$G1252),", ",PROPER('DASMA INFO'!$E1252)," ",PROPER('DASMA INFO'!$F1252),"."," (",UPPER('DASMA INFO'!$H1252),")")</f>
        <v>,  . ()</v>
      </c>
      <c r="E1252" s="70"/>
      <c r="F1252" s="70"/>
      <c r="G1252" s="70"/>
      <c r="H1252" s="69"/>
      <c r="I1252" s="105">
        <v>0.12</v>
      </c>
      <c r="J1252" s="106">
        <v>1000.0</v>
      </c>
      <c r="K1252" s="73"/>
      <c r="L1252" s="73"/>
      <c r="M1252" s="73"/>
      <c r="N1252" s="74"/>
    </row>
    <row r="1253" ht="30.0" hidden="1" customHeight="1">
      <c r="A1253" s="68">
        <v>1261.0</v>
      </c>
      <c r="B1253" s="68"/>
      <c r="C1253" s="68"/>
      <c r="D1253" s="69" t="str">
        <f>CONCATENATE(PROPER('DASMA INFO'!$G1253),", ",PROPER('DASMA INFO'!$E1253)," ",PROPER('DASMA INFO'!$F1253),"."," (",UPPER('DASMA INFO'!$H1253),")")</f>
        <v>,  . ()</v>
      </c>
      <c r="E1253" s="70"/>
      <c r="F1253" s="69"/>
      <c r="G1253" s="70"/>
      <c r="H1253" s="69"/>
      <c r="I1253" s="105">
        <v>0.12</v>
      </c>
      <c r="J1253" s="106">
        <v>1000.0</v>
      </c>
      <c r="K1253" s="73"/>
      <c r="L1253" s="73"/>
      <c r="M1253" s="73"/>
      <c r="N1253" s="74"/>
    </row>
    <row r="1254" ht="30.0" hidden="1" customHeight="1">
      <c r="A1254" s="68">
        <v>1262.0</v>
      </c>
      <c r="B1254" s="68"/>
      <c r="C1254" s="68"/>
      <c r="D1254" s="69" t="str">
        <f>CONCATENATE(PROPER('DASMA INFO'!$G1254),", ",PROPER('DASMA INFO'!$E1254)," ",PROPER('DASMA INFO'!$F1254),"."," (",UPPER('DASMA INFO'!$H1254),")")</f>
        <v>Mangadlao, Beverly . ()</v>
      </c>
      <c r="E1254" s="70" t="s">
        <v>2463</v>
      </c>
      <c r="F1254" s="69"/>
      <c r="G1254" s="70" t="s">
        <v>2464</v>
      </c>
      <c r="H1254" s="69"/>
      <c r="I1254" s="105">
        <v>0.12</v>
      </c>
      <c r="J1254" s="106">
        <v>1000.0</v>
      </c>
      <c r="K1254" s="73"/>
      <c r="L1254" s="73"/>
      <c r="M1254" s="73"/>
      <c r="N1254" s="74"/>
    </row>
    <row r="1255" ht="30.0" hidden="1" customHeight="1">
      <c r="A1255" s="68">
        <v>1263.0</v>
      </c>
      <c r="B1255" s="68"/>
      <c r="C1255" s="68"/>
      <c r="D1255" s="69" t="str">
        <f>CONCATENATE(PROPER('DASMA INFO'!$G1255),", ",PROPER('DASMA INFO'!$E1255)," ",PROPER('DASMA INFO'!$F1255),"."," (",UPPER('DASMA INFO'!$H1255),")")</f>
        <v>Barbadillo, Fely Rose. ()</v>
      </c>
      <c r="E1255" s="70" t="s">
        <v>2465</v>
      </c>
      <c r="F1255" s="70" t="s">
        <v>2466</v>
      </c>
      <c r="G1255" s="70" t="s">
        <v>2467</v>
      </c>
      <c r="H1255" s="69"/>
      <c r="I1255" s="105">
        <v>0.12</v>
      </c>
      <c r="J1255" s="106">
        <v>1000.0</v>
      </c>
      <c r="K1255" s="73" t="s">
        <v>2468</v>
      </c>
      <c r="L1255" s="73"/>
      <c r="M1255" s="73"/>
      <c r="N1255" s="74"/>
    </row>
    <row r="1256" ht="30.0" hidden="1" customHeight="1">
      <c r="A1256" s="68">
        <v>1264.0</v>
      </c>
      <c r="B1256" s="68"/>
      <c r="C1256" s="68"/>
      <c r="D1256" s="69" t="str">
        <f>CONCATENATE(PROPER('DASMA INFO'!$G1256),", ",PROPER('DASMA INFO'!$E1256)," ",PROPER('DASMA INFO'!$F1256),"."," (",UPPER('DASMA INFO'!$H1256),")")</f>
        <v>,  . ()</v>
      </c>
      <c r="E1256" s="70"/>
      <c r="F1256" s="70"/>
      <c r="G1256" s="70"/>
      <c r="H1256" s="69"/>
      <c r="I1256" s="105">
        <v>0.12</v>
      </c>
      <c r="J1256" s="106">
        <v>1000.0</v>
      </c>
      <c r="K1256" s="73"/>
      <c r="L1256" s="73"/>
      <c r="M1256" s="73"/>
      <c r="N1256" s="74"/>
    </row>
    <row r="1257" ht="30.0" hidden="1" customHeight="1">
      <c r="A1257" s="68">
        <v>1265.0</v>
      </c>
      <c r="B1257" s="68"/>
      <c r="C1257" s="68"/>
      <c r="D1257" s="69" t="str">
        <f>CONCATENATE(PROPER('DASMA INFO'!$G1257),", ",PROPER('DASMA INFO'!$E1257)," ",PROPER('DASMA INFO'!$F1257),"."," (",UPPER('DASMA INFO'!$H1257),")")</f>
        <v>Villanueva, Belinda . ()</v>
      </c>
      <c r="E1257" s="70" t="s">
        <v>2469</v>
      </c>
      <c r="F1257" s="69"/>
      <c r="G1257" s="70" t="s">
        <v>454</v>
      </c>
      <c r="H1257" s="69"/>
      <c r="I1257" s="105">
        <v>0.12</v>
      </c>
      <c r="J1257" s="106">
        <v>1000.0</v>
      </c>
      <c r="K1257" s="73"/>
      <c r="L1257" s="73"/>
      <c r="M1257" s="73"/>
      <c r="N1257" s="74"/>
    </row>
    <row r="1258" ht="30.0" hidden="1" customHeight="1">
      <c r="A1258" s="68">
        <v>1266.0</v>
      </c>
      <c r="B1258" s="68"/>
      <c r="C1258" s="68"/>
      <c r="D1258" s="69" t="str">
        <f>CONCATENATE(PROPER('DASMA INFO'!$G1258),", ",PROPER('DASMA INFO'!$E1258)," ",PROPER('DASMA INFO'!$F1258),"."," (",UPPER('DASMA INFO'!$H1258),")")</f>
        <v>Sarrene, Gloria . ()</v>
      </c>
      <c r="E1258" s="70" t="s">
        <v>1566</v>
      </c>
      <c r="F1258" s="69"/>
      <c r="G1258" s="70" t="s">
        <v>2470</v>
      </c>
      <c r="H1258" s="69"/>
      <c r="I1258" s="105">
        <v>0.12</v>
      </c>
      <c r="J1258" s="106">
        <v>1000.0</v>
      </c>
      <c r="K1258" s="73"/>
      <c r="L1258" s="73"/>
      <c r="M1258" s="73"/>
      <c r="N1258" s="74"/>
    </row>
    <row r="1259" ht="30.0" hidden="1" customHeight="1">
      <c r="A1259" s="68">
        <v>1267.0</v>
      </c>
      <c r="B1259" s="68"/>
      <c r="C1259" s="68"/>
      <c r="D1259" s="69" t="str">
        <f>CONCATENATE(PROPER('DASMA INFO'!$G1259),", ",PROPER('DASMA INFO'!$E1259)," ",PROPER('DASMA INFO'!$F1259),"."," (",UPPER('DASMA INFO'!$H1259),")")</f>
        <v>Clementir, Elvis . ()</v>
      </c>
      <c r="E1259" s="70" t="s">
        <v>2471</v>
      </c>
      <c r="F1259" s="69"/>
      <c r="G1259" s="70" t="s">
        <v>2472</v>
      </c>
      <c r="H1259" s="69"/>
      <c r="I1259" s="105">
        <v>0.12</v>
      </c>
      <c r="J1259" s="106">
        <v>1000.0</v>
      </c>
      <c r="K1259" s="73"/>
      <c r="L1259" s="73"/>
      <c r="M1259" s="73"/>
      <c r="N1259" s="74"/>
    </row>
    <row r="1260" ht="30.0" hidden="1" customHeight="1">
      <c r="A1260" s="68">
        <v>1268.0</v>
      </c>
      <c r="B1260" s="68"/>
      <c r="C1260" s="68"/>
      <c r="D1260" s="69" t="str">
        <f>CONCATENATE(PROPER('DASMA INFO'!$G1260),", ",PROPER('DASMA INFO'!$E1260)," ",PROPER('DASMA INFO'!$F1260),"."," (",UPPER('DASMA INFO'!$H1260),")")</f>
        <v>Labayan, Edwin . ()</v>
      </c>
      <c r="E1260" s="70" t="s">
        <v>424</v>
      </c>
      <c r="F1260" s="69"/>
      <c r="G1260" s="70" t="s">
        <v>2473</v>
      </c>
      <c r="H1260" s="69"/>
      <c r="I1260" s="105">
        <v>0.12</v>
      </c>
      <c r="J1260" s="106">
        <v>1000.0</v>
      </c>
      <c r="K1260" s="73"/>
      <c r="L1260" s="73"/>
      <c r="M1260" s="73"/>
      <c r="N1260" s="74"/>
    </row>
    <row r="1261" ht="30.0" hidden="1" customHeight="1">
      <c r="A1261" s="68">
        <v>1269.0</v>
      </c>
      <c r="B1261" s="68"/>
      <c r="C1261" s="68"/>
      <c r="D1261" s="69" t="str">
        <f>CONCATENATE(PROPER('DASMA INFO'!$G1261),", ",PROPER('DASMA INFO'!$E1261)," ",PROPER('DASMA INFO'!$F1261),"."," (",UPPER('DASMA INFO'!$H1261),")")</f>
        <v>Aguila, Melba G. ()</v>
      </c>
      <c r="E1261" s="70" t="s">
        <v>123</v>
      </c>
      <c r="F1261" s="70" t="s">
        <v>1032</v>
      </c>
      <c r="G1261" s="70" t="s">
        <v>124</v>
      </c>
      <c r="H1261" s="69"/>
      <c r="I1261" s="105">
        <v>0.12</v>
      </c>
      <c r="J1261" s="106">
        <v>1000.0</v>
      </c>
      <c r="K1261" s="73" t="s">
        <v>963</v>
      </c>
      <c r="L1261" s="73"/>
      <c r="M1261" s="73"/>
      <c r="N1261" s="74"/>
    </row>
    <row r="1262" ht="30.0" hidden="1" customHeight="1">
      <c r="A1262" s="68">
        <v>1270.0</v>
      </c>
      <c r="B1262" s="68"/>
      <c r="C1262" s="68"/>
      <c r="D1262" s="69" t="str">
        <f>CONCATENATE(PROPER('DASMA INFO'!$G1262),", ",PROPER('DASMA INFO'!$E1262)," ",PROPER('DASMA INFO'!$F1262),"."," (",UPPER('DASMA INFO'!$H1262),")")</f>
        <v>Camana, Liza . ()</v>
      </c>
      <c r="E1262" s="70" t="s">
        <v>1677</v>
      </c>
      <c r="F1262" s="70"/>
      <c r="G1262" s="70" t="s">
        <v>2474</v>
      </c>
      <c r="H1262" s="69"/>
      <c r="I1262" s="105">
        <v>0.12</v>
      </c>
      <c r="J1262" s="106">
        <v>1000.0</v>
      </c>
      <c r="K1262" s="73"/>
      <c r="L1262" s="73"/>
      <c r="M1262" s="73"/>
      <c r="N1262" s="74"/>
    </row>
    <row r="1263" ht="30.0" hidden="1" customHeight="1">
      <c r="A1263" s="68">
        <v>1271.0</v>
      </c>
      <c r="B1263" s="68"/>
      <c r="C1263" s="68"/>
      <c r="D1263" s="69" t="str">
        <f>CONCATENATE(PROPER('DASMA INFO'!$G1263),", ",PROPER('DASMA INFO'!$E1263)," ",PROPER('DASMA INFO'!$F1263),"."," (",UPPER('DASMA INFO'!$H1263),")")</f>
        <v>Cerda, Miriam . ()</v>
      </c>
      <c r="E1263" s="70" t="s">
        <v>2475</v>
      </c>
      <c r="F1263" s="70"/>
      <c r="G1263" s="70" t="s">
        <v>2476</v>
      </c>
      <c r="H1263" s="69"/>
      <c r="I1263" s="105">
        <v>0.12</v>
      </c>
      <c r="J1263" s="106">
        <v>1000.0</v>
      </c>
      <c r="K1263" s="73"/>
      <c r="L1263" s="73"/>
      <c r="M1263" s="73"/>
      <c r="N1263" s="74"/>
    </row>
    <row r="1264" ht="30.0" hidden="1" customHeight="1">
      <c r="A1264" s="68">
        <v>1272.0</v>
      </c>
      <c r="B1264" s="68"/>
      <c r="C1264" s="68"/>
      <c r="D1264" s="69" t="str">
        <f>CONCATENATE(PROPER('DASMA INFO'!$G1264),", ",PROPER('DASMA INFO'!$E1264)," ",PROPER('DASMA INFO'!$F1264),"."," (",UPPER('DASMA INFO'!$H1264),")")</f>
        <v>Legaspi, Mary Jane . ()</v>
      </c>
      <c r="E1264" s="70" t="s">
        <v>351</v>
      </c>
      <c r="F1264" s="70"/>
      <c r="G1264" s="70" t="s">
        <v>2477</v>
      </c>
      <c r="H1264" s="69"/>
      <c r="I1264" s="105">
        <v>0.12</v>
      </c>
      <c r="J1264" s="106">
        <v>1000.0</v>
      </c>
      <c r="K1264" s="73"/>
      <c r="L1264" s="73"/>
      <c r="M1264" s="73"/>
      <c r="N1264" s="74"/>
    </row>
    <row r="1265" ht="30.0" hidden="1" customHeight="1">
      <c r="A1265" s="68">
        <v>1273.0</v>
      </c>
      <c r="B1265" s="68"/>
      <c r="C1265" s="68"/>
      <c r="D1265" s="69" t="str">
        <f>CONCATENATE(PROPER('DASMA INFO'!$G1265),", ",PROPER('DASMA INFO'!$E1265)," ",PROPER('DASMA INFO'!$F1265),"."," (",UPPER('DASMA INFO'!$H1265),")")</f>
        <v>Ogoti, Neli . ()</v>
      </c>
      <c r="E1265" s="70" t="s">
        <v>2478</v>
      </c>
      <c r="F1265" s="70"/>
      <c r="G1265" s="70" t="s">
        <v>2479</v>
      </c>
      <c r="H1265" s="69"/>
      <c r="I1265" s="105">
        <v>0.12</v>
      </c>
      <c r="J1265" s="106">
        <v>1000.0</v>
      </c>
      <c r="K1265" s="73"/>
      <c r="L1265" s="73"/>
      <c r="M1265" s="73"/>
      <c r="N1265" s="74"/>
    </row>
    <row r="1266" ht="30.0" hidden="1" customHeight="1">
      <c r="A1266" s="68">
        <v>1274.0</v>
      </c>
      <c r="B1266" s="68"/>
      <c r="C1266" s="68"/>
      <c r="D1266" s="69" t="str">
        <f>CONCATENATE(PROPER('DASMA INFO'!$G1266),", ",PROPER('DASMA INFO'!$E1266)," ",PROPER('DASMA INFO'!$F1266),"."," (",UPPER('DASMA INFO'!$H1266),")")</f>
        <v>,  . ()</v>
      </c>
      <c r="E1266" s="70"/>
      <c r="F1266" s="70"/>
      <c r="G1266" s="70"/>
      <c r="H1266" s="69"/>
      <c r="I1266" s="105">
        <v>0.12</v>
      </c>
      <c r="J1266" s="106">
        <v>1000.0</v>
      </c>
      <c r="K1266" s="73"/>
      <c r="L1266" s="73"/>
      <c r="M1266" s="73"/>
      <c r="N1266" s="74"/>
    </row>
    <row r="1267" ht="30.0" hidden="1" customHeight="1">
      <c r="A1267" s="68">
        <v>1275.0</v>
      </c>
      <c r="B1267" s="68"/>
      <c r="C1267" s="68"/>
      <c r="D1267" s="69" t="str">
        <f>CONCATENATE(PROPER('DASMA INFO'!$G1267),", ",PROPER('DASMA INFO'!$E1267)," ",PROPER('DASMA INFO'!$F1267),"."," (",UPPER('DASMA INFO'!$H1267),")")</f>
        <v>,  . ()</v>
      </c>
      <c r="E1267" s="70"/>
      <c r="F1267" s="70"/>
      <c r="G1267" s="70"/>
      <c r="H1267" s="69"/>
      <c r="I1267" s="105">
        <v>0.12</v>
      </c>
      <c r="J1267" s="106">
        <v>1000.0</v>
      </c>
      <c r="K1267" s="73"/>
      <c r="L1267" s="73"/>
      <c r="M1267" s="73"/>
      <c r="N1267" s="74"/>
    </row>
    <row r="1268" ht="30.0" hidden="1" customHeight="1">
      <c r="A1268" s="68">
        <v>1276.0</v>
      </c>
      <c r="B1268" s="68"/>
      <c r="C1268" s="68"/>
      <c r="D1268" s="69" t="str">
        <f>CONCATENATE(PROPER('DASMA INFO'!$G1268),", ",PROPER('DASMA INFO'!$E1268)," ",PROPER('DASMA INFO'!$F1268),"."," (",UPPER('DASMA INFO'!$H1268),")")</f>
        <v>,  . ()</v>
      </c>
      <c r="E1268" s="70"/>
      <c r="F1268" s="70"/>
      <c r="G1268" s="70"/>
      <c r="H1268" s="69"/>
      <c r="I1268" s="105">
        <v>0.12</v>
      </c>
      <c r="J1268" s="106">
        <v>1000.0</v>
      </c>
      <c r="K1268" s="73"/>
      <c r="L1268" s="73"/>
      <c r="M1268" s="73"/>
      <c r="N1268" s="74"/>
    </row>
    <row r="1269" ht="30.0" hidden="1" customHeight="1">
      <c r="A1269" s="68">
        <v>1277.0</v>
      </c>
      <c r="B1269" s="68"/>
      <c r="C1269" s="68"/>
      <c r="D1269" s="69" t="str">
        <f>CONCATENATE(PROPER('DASMA INFO'!$G1269),", ",PROPER('DASMA INFO'!$E1269)," ",PROPER('DASMA INFO'!$F1269),"."," (",UPPER('DASMA INFO'!$H1269),")")</f>
        <v>Villadiego, John Kelvin T. ()</v>
      </c>
      <c r="E1269" s="70" t="s">
        <v>2480</v>
      </c>
      <c r="F1269" s="70" t="s">
        <v>752</v>
      </c>
      <c r="G1269" s="70" t="s">
        <v>49</v>
      </c>
      <c r="H1269" s="69"/>
      <c r="I1269" s="92">
        <v>0.05</v>
      </c>
      <c r="J1269" s="93">
        <v>1000.0</v>
      </c>
      <c r="K1269" s="73" t="s">
        <v>2103</v>
      </c>
      <c r="L1269" s="73"/>
      <c r="M1269" s="73"/>
      <c r="N1269" s="74"/>
    </row>
    <row r="1270" ht="30.0" hidden="1" customHeight="1">
      <c r="A1270" s="68">
        <v>1278.0</v>
      </c>
      <c r="B1270" s="68"/>
      <c r="C1270" s="68"/>
      <c r="D1270" s="69" t="str">
        <f>CONCATENATE(PROPER('DASMA INFO'!$G1270),", ",PROPER('DASMA INFO'!$E1270)," ",PROPER('DASMA INFO'!$F1270),"."," (",UPPER('DASMA INFO'!$H1270),")")</f>
        <v>,  . ()</v>
      </c>
      <c r="E1270" s="70"/>
      <c r="F1270" s="70"/>
      <c r="G1270" s="70"/>
      <c r="H1270" s="69"/>
      <c r="I1270" s="105">
        <v>0.12</v>
      </c>
      <c r="J1270" s="106">
        <v>1000.0</v>
      </c>
      <c r="K1270" s="73"/>
      <c r="L1270" s="73"/>
      <c r="M1270" s="73"/>
      <c r="N1270" s="74"/>
    </row>
    <row r="1271" ht="30.0" hidden="1" customHeight="1">
      <c r="A1271" s="68">
        <v>1279.0</v>
      </c>
      <c r="B1271" s="68"/>
      <c r="C1271" s="68"/>
      <c r="D1271" s="69" t="str">
        <f>CONCATENATE(PROPER('DASMA INFO'!$G1271),", ",PROPER('DASMA INFO'!$E1271)," ",PROPER('DASMA INFO'!$F1271),"."," (",UPPER('DASMA INFO'!$H1271),")")</f>
        <v>Padlan, Miguelito O. ()</v>
      </c>
      <c r="E1271" s="70" t="s">
        <v>2481</v>
      </c>
      <c r="F1271" s="70" t="s">
        <v>634</v>
      </c>
      <c r="G1271" s="70" t="s">
        <v>2482</v>
      </c>
      <c r="H1271" s="69"/>
      <c r="I1271" s="92">
        <v>0.05</v>
      </c>
      <c r="J1271" s="93">
        <v>1000.0</v>
      </c>
      <c r="K1271" s="73" t="s">
        <v>2103</v>
      </c>
      <c r="L1271" s="73"/>
      <c r="M1271" s="73"/>
      <c r="N1271" s="74"/>
    </row>
    <row r="1272" ht="30.0" hidden="1" customHeight="1">
      <c r="A1272" s="68">
        <v>1280.0</v>
      </c>
      <c r="B1272" s="68"/>
      <c r="C1272" s="68"/>
      <c r="D1272" s="69" t="str">
        <f>CONCATENATE(PROPER('DASMA INFO'!$G1272),", ",PROPER('DASMA INFO'!$E1272)," ",PROPER('DASMA INFO'!$F1272),"."," (",UPPER('DASMA INFO'!$H1272),")")</f>
        <v>Ferrer, Nino . ()</v>
      </c>
      <c r="E1272" s="70" t="s">
        <v>704</v>
      </c>
      <c r="F1272" s="70"/>
      <c r="G1272" s="70" t="s">
        <v>570</v>
      </c>
      <c r="H1272" s="69"/>
      <c r="I1272" s="105">
        <v>0.12</v>
      </c>
      <c r="J1272" s="106">
        <v>1000.0</v>
      </c>
      <c r="K1272" s="73"/>
      <c r="L1272" s="73"/>
      <c r="M1272" s="73"/>
      <c r="N1272" s="74"/>
    </row>
    <row r="1273" ht="30.0" hidden="1" customHeight="1">
      <c r="A1273" s="68">
        <v>1281.0</v>
      </c>
      <c r="B1273" s="68"/>
      <c r="C1273" s="68"/>
      <c r="D1273" s="69" t="str">
        <f>CONCATENATE(PROPER('DASMA INFO'!$G1273),", ",PROPER('DASMA INFO'!$E1273)," ",PROPER('DASMA INFO'!$F1273),"."," (",UPPER('DASMA INFO'!$H1273),")")</f>
        <v>Bender, Sheldon . ()</v>
      </c>
      <c r="E1273" s="70" t="s">
        <v>2483</v>
      </c>
      <c r="F1273" s="70"/>
      <c r="G1273" s="70" t="s">
        <v>2484</v>
      </c>
      <c r="H1273" s="69"/>
      <c r="I1273" s="105">
        <v>0.12</v>
      </c>
      <c r="J1273" s="106">
        <v>1000.0</v>
      </c>
      <c r="K1273" s="73"/>
      <c r="L1273" s="73"/>
      <c r="M1273" s="73"/>
      <c r="N1273" s="74"/>
    </row>
    <row r="1274" ht="30.0" hidden="1" customHeight="1">
      <c r="A1274" s="68">
        <v>1282.0</v>
      </c>
      <c r="B1274" s="68"/>
      <c r="C1274" s="68"/>
      <c r="D1274" s="69" t="str">
        <f>CONCATENATE(PROPER('DASMA INFO'!$G1274),", ",PROPER('DASMA INFO'!$E1274)," ",PROPER('DASMA INFO'!$F1274),"."," (",UPPER('DASMA INFO'!$H1274),")")</f>
        <v>,  . ()</v>
      </c>
      <c r="E1274" s="70"/>
      <c r="F1274" s="70"/>
      <c r="G1274" s="70"/>
      <c r="H1274" s="69"/>
      <c r="I1274" s="105">
        <v>0.12</v>
      </c>
      <c r="J1274" s="106">
        <v>1000.0</v>
      </c>
      <c r="K1274" s="73"/>
      <c r="L1274" s="73"/>
      <c r="M1274" s="73"/>
      <c r="N1274" s="74"/>
    </row>
    <row r="1275" ht="30.0" hidden="1" customHeight="1">
      <c r="A1275" s="68">
        <v>1283.0</v>
      </c>
      <c r="B1275" s="68"/>
      <c r="C1275" s="68"/>
      <c r="D1275" s="69" t="str">
        <f>CONCATENATE(PROPER('DASMA INFO'!$G1275),", ",PROPER('DASMA INFO'!$E1275)," ",PROPER('DASMA INFO'!$F1275),"."," (",UPPER('DASMA INFO'!$H1275),")")</f>
        <v>,  . ()</v>
      </c>
      <c r="E1275" s="70"/>
      <c r="F1275" s="70"/>
      <c r="G1275" s="70"/>
      <c r="H1275" s="69"/>
      <c r="I1275" s="105">
        <v>0.12</v>
      </c>
      <c r="J1275" s="106">
        <v>1000.0</v>
      </c>
      <c r="K1275" s="73"/>
      <c r="L1275" s="73"/>
      <c r="M1275" s="73"/>
      <c r="N1275" s="74"/>
    </row>
    <row r="1276" ht="30.0" hidden="1" customHeight="1">
      <c r="A1276" s="68">
        <v>1284.0</v>
      </c>
      <c r="B1276" s="68"/>
      <c r="C1276" s="68"/>
      <c r="D1276" s="69" t="str">
        <f>CONCATENATE(PROPER('DASMA INFO'!$G1276),", ",PROPER('DASMA INFO'!$E1276)," ",PROPER('DASMA INFO'!$F1276),"."," (",UPPER('DASMA INFO'!$H1276),")")</f>
        <v>Labutap, Albina C. ()</v>
      </c>
      <c r="E1276" s="70" t="s">
        <v>2485</v>
      </c>
      <c r="F1276" s="70" t="s">
        <v>318</v>
      </c>
      <c r="G1276" s="70" t="s">
        <v>2486</v>
      </c>
      <c r="H1276" s="69"/>
      <c r="I1276" s="105">
        <v>0.12</v>
      </c>
      <c r="J1276" s="106">
        <v>1000.0</v>
      </c>
      <c r="K1276" s="73" t="s">
        <v>2487</v>
      </c>
      <c r="L1276" s="73"/>
      <c r="M1276" s="73"/>
      <c r="N1276" s="74"/>
    </row>
    <row r="1277" ht="30.0" hidden="1" customHeight="1">
      <c r="A1277" s="68">
        <v>1285.0</v>
      </c>
      <c r="B1277" s="68"/>
      <c r="C1277" s="68"/>
      <c r="D1277" s="69" t="str">
        <f>CONCATENATE(PROPER('DASMA INFO'!$G1277),", ",PROPER('DASMA INFO'!$E1277)," ",PROPER('DASMA INFO'!$F1277),"."," (",UPPER('DASMA INFO'!$H1277),")")</f>
        <v>Aguila, Wilfredo S. ()</v>
      </c>
      <c r="E1277" s="70" t="s">
        <v>125</v>
      </c>
      <c r="F1277" s="70" t="s">
        <v>342</v>
      </c>
      <c r="G1277" s="70" t="s">
        <v>124</v>
      </c>
      <c r="H1277" s="69"/>
      <c r="I1277" s="105">
        <v>0.12</v>
      </c>
      <c r="J1277" s="106">
        <v>1000.0</v>
      </c>
      <c r="K1277" s="73" t="s">
        <v>2488</v>
      </c>
      <c r="L1277" s="73"/>
      <c r="M1277" s="73"/>
      <c r="N1277" s="74"/>
    </row>
    <row r="1278" ht="30.0" hidden="1" customHeight="1">
      <c r="A1278" s="68">
        <v>1286.0</v>
      </c>
      <c r="B1278" s="68"/>
      <c r="C1278" s="68"/>
      <c r="D1278" s="69" t="str">
        <f>CONCATENATE(PROPER('DASMA INFO'!$G1278),", ",PROPER('DASMA INFO'!$E1278)," ",PROPER('DASMA INFO'!$F1278),"."," (",UPPER('DASMA INFO'!$H1278),")")</f>
        <v>,  . ()</v>
      </c>
      <c r="E1278" s="70"/>
      <c r="F1278" s="70"/>
      <c r="G1278" s="70"/>
      <c r="H1278" s="69"/>
      <c r="I1278" s="105">
        <v>0.12</v>
      </c>
      <c r="J1278" s="106">
        <v>1000.0</v>
      </c>
      <c r="K1278" s="73"/>
      <c r="L1278" s="73"/>
      <c r="M1278" s="73"/>
      <c r="N1278" s="74"/>
    </row>
    <row r="1279" ht="30.0" hidden="1" customHeight="1">
      <c r="A1279" s="68">
        <v>1287.0</v>
      </c>
      <c r="B1279" s="68"/>
      <c r="C1279" s="68"/>
      <c r="D1279" s="69" t="str">
        <f>CONCATENATE(PROPER('DASMA INFO'!$G1279),", ",PROPER('DASMA INFO'!$E1279)," ",PROPER('DASMA INFO'!$F1279),"."," (",UPPER('DASMA INFO'!$H1279),")")</f>
        <v>,  . ()</v>
      </c>
      <c r="E1279" s="70"/>
      <c r="F1279" s="70"/>
      <c r="G1279" s="70"/>
      <c r="H1279" s="69"/>
      <c r="I1279" s="105">
        <v>0.12</v>
      </c>
      <c r="J1279" s="106">
        <v>1000.0</v>
      </c>
      <c r="K1279" s="73"/>
      <c r="L1279" s="73"/>
      <c r="M1279" s="73"/>
      <c r="N1279" s="74"/>
    </row>
    <row r="1280" ht="30.0" hidden="1" customHeight="1">
      <c r="A1280" s="68">
        <v>1288.0</v>
      </c>
      <c r="B1280" s="68"/>
      <c r="C1280" s="68"/>
      <c r="D1280" s="69" t="str">
        <f>CONCATENATE(PROPER('DASMA INFO'!$G1280),", ",PROPER('DASMA INFO'!$E1280)," ",PROPER('DASMA INFO'!$F1280),"."," (",UPPER('DASMA INFO'!$H1280),")")</f>
        <v>,  . ()</v>
      </c>
      <c r="E1280" s="70"/>
      <c r="F1280" s="70"/>
      <c r="G1280" s="70"/>
      <c r="H1280" s="69"/>
      <c r="I1280" s="105">
        <v>0.12</v>
      </c>
      <c r="J1280" s="106">
        <v>1000.0</v>
      </c>
      <c r="K1280" s="73"/>
      <c r="L1280" s="73"/>
      <c r="M1280" s="73"/>
      <c r="N1280" s="74"/>
    </row>
    <row r="1281" ht="30.0" hidden="1" customHeight="1">
      <c r="A1281" s="68">
        <v>1289.0</v>
      </c>
      <c r="B1281" s="68"/>
      <c r="C1281" s="68"/>
      <c r="D1281" s="69" t="str">
        <f>CONCATENATE(PROPER('DASMA INFO'!$G1281),", ",PROPER('DASMA INFO'!$E1281)," ",PROPER('DASMA INFO'!$F1281),"."," (",UPPER('DASMA INFO'!$H1281),")")</f>
        <v>,  . ()</v>
      </c>
      <c r="E1281" s="70"/>
      <c r="F1281" s="70"/>
      <c r="G1281" s="70"/>
      <c r="H1281" s="69"/>
      <c r="I1281" s="105">
        <v>0.12</v>
      </c>
      <c r="J1281" s="106">
        <v>1000.0</v>
      </c>
      <c r="K1281" s="73"/>
      <c r="L1281" s="73"/>
      <c r="M1281" s="73"/>
      <c r="N1281" s="74"/>
    </row>
    <row r="1282" ht="30.0" hidden="1" customHeight="1">
      <c r="A1282" s="68">
        <v>1290.0</v>
      </c>
      <c r="B1282" s="68"/>
      <c r="C1282" s="68"/>
      <c r="D1282" s="69" t="str">
        <f>CONCATENATE(PROPER('DASMA INFO'!$G1282),", ",PROPER('DASMA INFO'!$E1282)," ",PROPER('DASMA INFO'!$F1282),"."," (",UPPER('DASMA INFO'!$H1282),")")</f>
        <v>Diche, Ronald D. ()</v>
      </c>
      <c r="E1282" s="70" t="s">
        <v>573</v>
      </c>
      <c r="F1282" s="70" t="s">
        <v>1078</v>
      </c>
      <c r="G1282" s="70" t="s">
        <v>2489</v>
      </c>
      <c r="H1282" s="69"/>
      <c r="I1282" s="105">
        <v>0.12</v>
      </c>
      <c r="J1282" s="106">
        <v>1000.0</v>
      </c>
      <c r="K1282" s="73" t="s">
        <v>2027</v>
      </c>
      <c r="L1282" s="73"/>
      <c r="M1282" s="73"/>
      <c r="N1282" s="74"/>
    </row>
    <row r="1283" ht="30.0" hidden="1" customHeight="1">
      <c r="A1283" s="68">
        <v>1291.0</v>
      </c>
      <c r="B1283" s="68"/>
      <c r="C1283" s="68"/>
      <c r="D1283" s="69" t="str">
        <f>CONCATENATE(PROPER('DASMA INFO'!$G1283),", ",PROPER('DASMA INFO'!$E1283)," ",PROPER('DASMA INFO'!$F1283),"."," (",UPPER('DASMA INFO'!$H1283),")")</f>
        <v>Latella, Josefina T. ()</v>
      </c>
      <c r="E1283" s="70" t="s">
        <v>1866</v>
      </c>
      <c r="F1283" s="70" t="s">
        <v>752</v>
      </c>
      <c r="G1283" s="70" t="s">
        <v>1867</v>
      </c>
      <c r="H1283" s="69"/>
      <c r="I1283" s="105">
        <v>0.12</v>
      </c>
      <c r="J1283" s="106">
        <v>1000.0</v>
      </c>
      <c r="K1283" s="73" t="s">
        <v>1017</v>
      </c>
      <c r="L1283" s="73"/>
      <c r="M1283" s="73"/>
      <c r="N1283" s="74"/>
    </row>
    <row r="1284" ht="30.0" hidden="1" customHeight="1">
      <c r="A1284" s="68">
        <v>1293.0</v>
      </c>
      <c r="B1284" s="68"/>
      <c r="C1284" s="68"/>
      <c r="D1284" s="69" t="str">
        <f>CONCATENATE(PROPER('DASMA INFO'!$G1284),", ",PROPER('DASMA INFO'!$E1284)," ",PROPER('DASMA INFO'!$F1284),"."," (",UPPER('DASMA INFO'!$H1284),")")</f>
        <v>Baculpo, Daryl A. ()</v>
      </c>
      <c r="E1284" s="70" t="s">
        <v>2490</v>
      </c>
      <c r="F1284" s="70" t="s">
        <v>427</v>
      </c>
      <c r="G1284" s="70" t="s">
        <v>1049</v>
      </c>
      <c r="H1284" s="69"/>
      <c r="I1284" s="105">
        <v>0.12</v>
      </c>
      <c r="J1284" s="106">
        <v>1000.0</v>
      </c>
      <c r="K1284" s="73"/>
      <c r="L1284" s="73"/>
      <c r="M1284" s="73"/>
      <c r="N1284" s="74"/>
    </row>
    <row r="1285" ht="30.0" hidden="1" customHeight="1">
      <c r="A1285" s="68">
        <v>1294.0</v>
      </c>
      <c r="B1285" s="68"/>
      <c r="C1285" s="68"/>
      <c r="D1285" s="69" t="str">
        <f>CONCATENATE(PROPER('DASMA INFO'!$G1285),", ",PROPER('DASMA INFO'!$E1285)," ",PROPER('DASMA INFO'!$F1285),"."," (",UPPER('DASMA INFO'!$H1285),")")</f>
        <v>,  . ()</v>
      </c>
      <c r="E1285" s="70"/>
      <c r="F1285" s="70"/>
      <c r="G1285" s="70"/>
      <c r="H1285" s="69"/>
      <c r="I1285" s="105">
        <v>0.12</v>
      </c>
      <c r="J1285" s="106">
        <v>1000.0</v>
      </c>
      <c r="K1285" s="73"/>
      <c r="L1285" s="73"/>
      <c r="M1285" s="73"/>
      <c r="N1285" s="74"/>
    </row>
    <row r="1286" ht="30.0" hidden="1" customHeight="1">
      <c r="A1286" s="68">
        <v>1295.0</v>
      </c>
      <c r="B1286" s="68"/>
      <c r="C1286" s="68"/>
      <c r="D1286" s="69" t="str">
        <f>CONCATENATE(PROPER('DASMA INFO'!$G1286),", ",PROPER('DASMA INFO'!$E1286)," ",PROPER('DASMA INFO'!$F1286),"."," (",UPPER('DASMA INFO'!$H1286),")")</f>
        <v>,  . ()</v>
      </c>
      <c r="E1286" s="70"/>
      <c r="F1286" s="70"/>
      <c r="G1286" s="70"/>
      <c r="H1286" s="69"/>
      <c r="I1286" s="105">
        <v>0.12</v>
      </c>
      <c r="J1286" s="106">
        <v>1000.0</v>
      </c>
      <c r="K1286" s="73"/>
      <c r="L1286" s="73"/>
      <c r="M1286" s="73"/>
      <c r="N1286" s="74"/>
    </row>
    <row r="1287" ht="30.0" hidden="1" customHeight="1">
      <c r="A1287" s="68">
        <v>1296.0</v>
      </c>
      <c r="B1287" s="68"/>
      <c r="C1287" s="68"/>
      <c r="D1287" s="69" t="str">
        <f>CONCATENATE(PROPER('DASMA INFO'!$G1287),", ",PROPER('DASMA INFO'!$E1287)," ",PROPER('DASMA INFO'!$F1287),"."," (",UPPER('DASMA INFO'!$H1287),")")</f>
        <v>,  . ()</v>
      </c>
      <c r="E1287" s="70"/>
      <c r="F1287" s="70"/>
      <c r="G1287" s="70"/>
      <c r="H1287" s="69"/>
      <c r="I1287" s="105">
        <v>0.12</v>
      </c>
      <c r="J1287" s="106">
        <v>1000.0</v>
      </c>
      <c r="K1287" s="73"/>
      <c r="L1287" s="73"/>
      <c r="M1287" s="73"/>
      <c r="N1287" s="74"/>
    </row>
    <row r="1288" ht="30.0" hidden="1" customHeight="1">
      <c r="A1288" s="68">
        <v>1297.0</v>
      </c>
      <c r="B1288" s="68"/>
      <c r="C1288" s="68"/>
      <c r="D1288" s="69" t="str">
        <f>CONCATENATE(PROPER('DASMA INFO'!$G1288),", ",PROPER('DASMA INFO'!$E1288)," ",PROPER('DASMA INFO'!$F1288),"."," (",UPPER('DASMA INFO'!$H1288),")")</f>
        <v>Alias, Cindy S. ()</v>
      </c>
      <c r="E1288" s="70" t="s">
        <v>2491</v>
      </c>
      <c r="F1288" s="70" t="s">
        <v>342</v>
      </c>
      <c r="G1288" s="70" t="s">
        <v>2492</v>
      </c>
      <c r="H1288" s="69"/>
      <c r="I1288" s="105">
        <v>0.12</v>
      </c>
      <c r="J1288" s="106">
        <v>1000.0</v>
      </c>
      <c r="K1288" s="73"/>
      <c r="L1288" s="73"/>
      <c r="M1288" s="73"/>
      <c r="N1288" s="74"/>
    </row>
    <row r="1289" ht="30.0" hidden="1" customHeight="1">
      <c r="A1289" s="68">
        <v>1298.0</v>
      </c>
      <c r="B1289" s="68"/>
      <c r="C1289" s="68"/>
      <c r="D1289" s="69" t="str">
        <f>CONCATENATE(PROPER('DASMA INFO'!$G1289),", ",PROPER('DASMA INFO'!$E1289)," ",PROPER('DASMA INFO'!$F1289),"."," (",UPPER('DASMA INFO'!$H1289),")")</f>
        <v>,  . ()</v>
      </c>
      <c r="E1289" s="70"/>
      <c r="F1289" s="70"/>
      <c r="G1289" s="70"/>
      <c r="H1289" s="69"/>
      <c r="I1289" s="105">
        <v>0.12</v>
      </c>
      <c r="J1289" s="106">
        <v>1000.0</v>
      </c>
      <c r="K1289" s="73"/>
      <c r="L1289" s="73"/>
      <c r="M1289" s="73"/>
      <c r="N1289" s="74"/>
    </row>
    <row r="1290" ht="30.0" hidden="1" customHeight="1">
      <c r="A1290" s="68">
        <v>1299.0</v>
      </c>
      <c r="B1290" s="68"/>
      <c r="C1290" s="68"/>
      <c r="D1290" s="69" t="str">
        <f>CONCATENATE(PROPER('DASMA INFO'!$G1290),", ",PROPER('DASMA INFO'!$E1290)," ",PROPER('DASMA INFO'!$F1290),"."," (",UPPER('DASMA INFO'!$H1290),")")</f>
        <v>,  . ()</v>
      </c>
      <c r="E1290" s="70"/>
      <c r="F1290" s="70"/>
      <c r="G1290" s="70"/>
      <c r="H1290" s="69"/>
      <c r="I1290" s="105">
        <v>0.12</v>
      </c>
      <c r="J1290" s="106">
        <v>1000.0</v>
      </c>
      <c r="K1290" s="73"/>
      <c r="L1290" s="73"/>
      <c r="M1290" s="73"/>
      <c r="N1290" s="74"/>
    </row>
    <row r="1291" ht="30.0" hidden="1" customHeight="1">
      <c r="A1291" s="68">
        <v>1300.0</v>
      </c>
      <c r="B1291" s="68"/>
      <c r="C1291" s="68"/>
      <c r="D1291" s="69" t="str">
        <f>CONCATENATE(PROPER('DASMA INFO'!$G1291),", ",PROPER('DASMA INFO'!$E1291)," ",PROPER('DASMA INFO'!$F1291),"."," (",UPPER('DASMA INFO'!$H1291),")")</f>
        <v>,  . ()</v>
      </c>
      <c r="E1291" s="70"/>
      <c r="F1291" s="70"/>
      <c r="G1291" s="70"/>
      <c r="H1291" s="69"/>
      <c r="I1291" s="105">
        <v>0.12</v>
      </c>
      <c r="J1291" s="106">
        <v>1000.0</v>
      </c>
      <c r="K1291" s="73"/>
      <c r="L1291" s="73"/>
      <c r="M1291" s="73"/>
      <c r="N1291" s="74"/>
    </row>
    <row r="1292" ht="30.0" hidden="1" customHeight="1">
      <c r="A1292" s="68">
        <v>1301.0</v>
      </c>
      <c r="B1292" s="68"/>
      <c r="C1292" s="68"/>
      <c r="D1292" s="69" t="str">
        <f>CONCATENATE(PROPER('DASMA INFO'!$G1292),", ",PROPER('DASMA INFO'!$E1292)," ",PROPER('DASMA INFO'!$F1292),"."," (",UPPER('DASMA INFO'!$H1292),")")</f>
        <v>Resurreccion, Jose Manuel V. ()</v>
      </c>
      <c r="E1292" s="70" t="s">
        <v>2493</v>
      </c>
      <c r="F1292" s="70" t="s">
        <v>620</v>
      </c>
      <c r="G1292" s="70" t="s">
        <v>2494</v>
      </c>
      <c r="H1292" s="69"/>
      <c r="I1292" s="105">
        <v>0.12</v>
      </c>
      <c r="J1292" s="106">
        <v>1000.0</v>
      </c>
      <c r="K1292" s="73" t="s">
        <v>1017</v>
      </c>
      <c r="L1292" s="73"/>
      <c r="M1292" s="73"/>
      <c r="N1292" s="74"/>
    </row>
    <row r="1293" ht="30.0" hidden="1" customHeight="1">
      <c r="A1293" s="68">
        <v>1302.0</v>
      </c>
      <c r="B1293" s="68"/>
      <c r="C1293" s="68"/>
      <c r="D1293" s="69" t="str">
        <f>CONCATENATE(PROPER('DASMA INFO'!$G1293),", ",PROPER('DASMA INFO'!$E1293)," ",PROPER('DASMA INFO'!$F1293),"."," (",UPPER('DASMA INFO'!$H1293),")")</f>
        <v>Brillo, Josephine O. ()</v>
      </c>
      <c r="E1293" s="70" t="s">
        <v>137</v>
      </c>
      <c r="F1293" s="70" t="s">
        <v>634</v>
      </c>
      <c r="G1293" s="70" t="s">
        <v>138</v>
      </c>
      <c r="H1293" s="69"/>
      <c r="I1293" s="92">
        <v>0.05</v>
      </c>
      <c r="J1293" s="93">
        <v>1000.0</v>
      </c>
      <c r="K1293" s="73" t="s">
        <v>1775</v>
      </c>
      <c r="L1293" s="73"/>
      <c r="M1293" s="73"/>
      <c r="N1293" s="74"/>
    </row>
    <row r="1294" ht="30.0" hidden="1" customHeight="1">
      <c r="A1294" s="68">
        <v>1303.0</v>
      </c>
      <c r="B1294" s="68"/>
      <c r="C1294" s="68"/>
      <c r="D1294" s="69" t="str">
        <f>CONCATENATE(PROPER('DASMA INFO'!$G1294),", ",PROPER('DASMA INFO'!$E1294)," ",PROPER('DASMA INFO'!$F1294),"."," (",UPPER('DASMA INFO'!$H1294),")")</f>
        <v>Peros, Ana Nelie P. ()</v>
      </c>
      <c r="E1294" s="70" t="s">
        <v>2495</v>
      </c>
      <c r="F1294" s="70" t="s">
        <v>513</v>
      </c>
      <c r="G1294" s="70" t="s">
        <v>2496</v>
      </c>
      <c r="H1294" s="69"/>
      <c r="I1294" s="105">
        <v>0.12</v>
      </c>
      <c r="J1294" s="106">
        <v>1000.0</v>
      </c>
      <c r="K1294" s="73" t="s">
        <v>960</v>
      </c>
      <c r="L1294" s="73"/>
      <c r="M1294" s="73"/>
      <c r="N1294" s="74"/>
    </row>
    <row r="1295" ht="30.0" hidden="1" customHeight="1">
      <c r="A1295" s="68">
        <v>1304.0</v>
      </c>
      <c r="B1295" s="68"/>
      <c r="C1295" s="68"/>
      <c r="D1295" s="69" t="str">
        <f>CONCATENATE(PROPER('DASMA INFO'!$G1295),", ",PROPER('DASMA INFO'!$E1295)," ",PROPER('DASMA INFO'!$F1295),"."," (",UPPER('DASMA INFO'!$H1295),")")</f>
        <v>Bagaforo, Michelle . ()</v>
      </c>
      <c r="E1295" s="70" t="s">
        <v>1469</v>
      </c>
      <c r="F1295" s="70"/>
      <c r="G1295" s="70" t="s">
        <v>2497</v>
      </c>
      <c r="H1295" s="69"/>
      <c r="I1295" s="105">
        <v>0.12</v>
      </c>
      <c r="J1295" s="106">
        <v>1000.0</v>
      </c>
      <c r="K1295" s="73"/>
      <c r="L1295" s="73"/>
      <c r="M1295" s="73"/>
      <c r="N1295" s="74"/>
    </row>
    <row r="1296" ht="30.0" hidden="1" customHeight="1">
      <c r="A1296" s="68">
        <v>1305.0</v>
      </c>
      <c r="B1296" s="68"/>
      <c r="C1296" s="68"/>
      <c r="D1296" s="69" t="str">
        <f>CONCATENATE(PROPER('DASMA INFO'!$G1296),", ",PROPER('DASMA INFO'!$E1296)," ",PROPER('DASMA INFO'!$F1296),"."," (",UPPER('DASMA INFO'!$H1296),")")</f>
        <v>Tablang, Joseph . ()</v>
      </c>
      <c r="E1296" s="70" t="s">
        <v>729</v>
      </c>
      <c r="F1296" s="70"/>
      <c r="G1296" s="70" t="s">
        <v>1374</v>
      </c>
      <c r="H1296" s="69"/>
      <c r="I1296" s="105">
        <v>0.12</v>
      </c>
      <c r="J1296" s="106">
        <v>1000.0</v>
      </c>
      <c r="K1296" s="73"/>
      <c r="L1296" s="73"/>
      <c r="M1296" s="73"/>
      <c r="N1296" s="74"/>
    </row>
    <row r="1297" ht="30.0" hidden="1" customHeight="1">
      <c r="A1297" s="68">
        <v>1306.0</v>
      </c>
      <c r="B1297" s="68"/>
      <c r="C1297" s="68"/>
      <c r="D1297" s="69" t="str">
        <f>CONCATENATE(PROPER('DASMA INFO'!$G1297),", ",PROPER('DASMA INFO'!$E1297)," ",PROPER('DASMA INFO'!$F1297),"."," (",UPPER('DASMA INFO'!$H1297),")")</f>
        <v>Corpuz, Amalia D. ()</v>
      </c>
      <c r="E1297" s="70" t="s">
        <v>2498</v>
      </c>
      <c r="F1297" s="70" t="s">
        <v>1078</v>
      </c>
      <c r="G1297" s="70" t="s">
        <v>1362</v>
      </c>
      <c r="H1297" s="69"/>
      <c r="I1297" s="105">
        <v>0.12</v>
      </c>
      <c r="J1297" s="106">
        <v>1000.0</v>
      </c>
      <c r="K1297" s="73" t="s">
        <v>2499</v>
      </c>
      <c r="L1297" s="73"/>
      <c r="M1297" s="73"/>
      <c r="N1297" s="74"/>
    </row>
    <row r="1298" ht="30.0" hidden="1" customHeight="1">
      <c r="A1298" s="68">
        <v>1307.0</v>
      </c>
      <c r="B1298" s="68"/>
      <c r="C1298" s="68"/>
      <c r="D1298" s="69" t="str">
        <f>CONCATENATE(PROPER('DASMA INFO'!$G1298),", ",PROPER('DASMA INFO'!$E1298)," ",PROPER('DASMA INFO'!$F1298),"."," (",UPPER('DASMA INFO'!$H1298),")")</f>
        <v>Ricafrente, Ma Suzette B. ()</v>
      </c>
      <c r="E1298" s="70" t="s">
        <v>2500</v>
      </c>
      <c r="F1298" s="70" t="s">
        <v>627</v>
      </c>
      <c r="G1298" s="70" t="s">
        <v>2501</v>
      </c>
      <c r="H1298" s="69"/>
      <c r="I1298" s="92">
        <v>0.05</v>
      </c>
      <c r="J1298" s="93">
        <v>1000.0</v>
      </c>
      <c r="K1298" s="73" t="s">
        <v>2502</v>
      </c>
      <c r="L1298" s="73"/>
      <c r="M1298" s="73"/>
      <c r="N1298" s="74"/>
    </row>
    <row r="1299" ht="30.0" hidden="1" customHeight="1">
      <c r="A1299" s="68">
        <v>1308.0</v>
      </c>
      <c r="B1299" s="68"/>
      <c r="C1299" s="68"/>
      <c r="D1299" s="69" t="str">
        <f>CONCATENATE(PROPER('DASMA INFO'!$G1299),", ",PROPER('DASMA INFO'!$E1299)," ",PROPER('DASMA INFO'!$F1299),"."," (",UPPER('DASMA INFO'!$H1299),")")</f>
        <v>Virata, Harvey Cris L. ()</v>
      </c>
      <c r="E1299" s="70" t="s">
        <v>2503</v>
      </c>
      <c r="F1299" s="70" t="s">
        <v>648</v>
      </c>
      <c r="G1299" s="70" t="s">
        <v>2504</v>
      </c>
      <c r="H1299" s="69"/>
      <c r="I1299" s="105">
        <v>0.12</v>
      </c>
      <c r="J1299" s="106">
        <v>1000.0</v>
      </c>
      <c r="K1299" s="73"/>
      <c r="L1299" s="73"/>
      <c r="M1299" s="73"/>
      <c r="N1299" s="74"/>
    </row>
    <row r="1300" ht="30.0" hidden="1" customHeight="1">
      <c r="A1300" s="68">
        <v>1309.0</v>
      </c>
      <c r="B1300" s="68"/>
      <c r="C1300" s="68"/>
      <c r="D1300" s="69" t="str">
        <f>CONCATENATE(PROPER('DASMA INFO'!$G1300),", ",PROPER('DASMA INFO'!$E1300)," ",PROPER('DASMA INFO'!$F1300),"."," (",UPPER('DASMA INFO'!$H1300),")")</f>
        <v>Daguio, Darlen O. ()</v>
      </c>
      <c r="E1300" s="70" t="s">
        <v>2505</v>
      </c>
      <c r="F1300" s="70" t="s">
        <v>634</v>
      </c>
      <c r="G1300" s="70" t="s">
        <v>2506</v>
      </c>
      <c r="H1300" s="69"/>
      <c r="I1300" s="105">
        <v>0.12</v>
      </c>
      <c r="J1300" s="106">
        <v>1000.0</v>
      </c>
      <c r="K1300" s="73" t="s">
        <v>1839</v>
      </c>
      <c r="L1300" s="73"/>
      <c r="M1300" s="73"/>
      <c r="N1300" s="74"/>
    </row>
    <row r="1301" ht="30.0" hidden="1" customHeight="1">
      <c r="A1301" s="68">
        <v>1310.0</v>
      </c>
      <c r="B1301" s="68"/>
      <c r="C1301" s="68"/>
      <c r="D1301" s="69" t="str">
        <f>CONCATENATE(PROPER('DASMA INFO'!$G1301),", ",PROPER('DASMA INFO'!$E1301)," ",PROPER('DASMA INFO'!$F1301),"."," (",UPPER('DASMA INFO'!$H1301),")")</f>
        <v>Angolluan, Justiniano C. ()</v>
      </c>
      <c r="E1301" s="70" t="s">
        <v>2507</v>
      </c>
      <c r="F1301" s="70" t="s">
        <v>318</v>
      </c>
      <c r="G1301" s="70" t="s">
        <v>2508</v>
      </c>
      <c r="H1301" s="69"/>
      <c r="I1301" s="105">
        <v>0.12</v>
      </c>
      <c r="J1301" s="106">
        <v>1000.0</v>
      </c>
      <c r="K1301" s="73" t="s">
        <v>2509</v>
      </c>
      <c r="L1301" s="73"/>
      <c r="M1301" s="73"/>
      <c r="N1301" s="74"/>
    </row>
    <row r="1302" ht="30.0" hidden="1" customHeight="1">
      <c r="A1302" s="68">
        <v>1311.0</v>
      </c>
      <c r="B1302" s="68"/>
      <c r="C1302" s="68"/>
      <c r="D1302" s="69" t="str">
        <f>CONCATENATE(PROPER('DASMA INFO'!$G1302),", ",PROPER('DASMA INFO'!$E1302)," ",PROPER('DASMA INFO'!$F1302),"."," (",UPPER('DASMA INFO'!$H1302),")")</f>
        <v>San Pedro, Jocelyn . ()</v>
      </c>
      <c r="E1302" s="70" t="s">
        <v>290</v>
      </c>
      <c r="F1302" s="70"/>
      <c r="G1302" s="70" t="s">
        <v>92</v>
      </c>
      <c r="H1302" s="69"/>
      <c r="I1302" s="105">
        <v>0.12</v>
      </c>
      <c r="J1302" s="106">
        <v>1000.0</v>
      </c>
      <c r="K1302" s="73"/>
      <c r="L1302" s="73"/>
      <c r="M1302" s="73"/>
      <c r="N1302" s="74"/>
    </row>
    <row r="1303" ht="30.0" hidden="1" customHeight="1">
      <c r="A1303" s="68">
        <v>1312.0</v>
      </c>
      <c r="B1303" s="68"/>
      <c r="C1303" s="68"/>
      <c r="D1303" s="69" t="str">
        <f>CONCATENATE(PROPER('DASMA INFO'!$G1303),", ",PROPER('DASMA INFO'!$E1303)," ",PROPER('DASMA INFO'!$F1303),"."," (",UPPER('DASMA INFO'!$H1303),")")</f>
        <v>Garcia, Ely . ()</v>
      </c>
      <c r="E1303" s="70" t="s">
        <v>2510</v>
      </c>
      <c r="F1303" s="70"/>
      <c r="G1303" s="70" t="s">
        <v>496</v>
      </c>
      <c r="H1303" s="69"/>
      <c r="I1303" s="105">
        <v>0.12</v>
      </c>
      <c r="J1303" s="106">
        <v>1000.0</v>
      </c>
      <c r="K1303" s="73"/>
      <c r="L1303" s="73"/>
      <c r="M1303" s="73"/>
      <c r="N1303" s="74"/>
    </row>
    <row r="1304" ht="30.0" hidden="1" customHeight="1">
      <c r="A1304" s="68">
        <v>1313.0</v>
      </c>
      <c r="B1304" s="68"/>
      <c r="C1304" s="68"/>
      <c r="D1304" s="69" t="str">
        <f>CONCATENATE(PROPER('DASMA INFO'!$G1304),", ",PROPER('DASMA INFO'!$E1304)," ",PROPER('DASMA INFO'!$F1304),"."," (",UPPER('DASMA INFO'!$H1304),")")</f>
        <v>Guina, Rolando . ()</v>
      </c>
      <c r="E1304" s="70" t="s">
        <v>337</v>
      </c>
      <c r="F1304" s="70"/>
      <c r="G1304" s="70" t="s">
        <v>2511</v>
      </c>
      <c r="H1304" s="69"/>
      <c r="I1304" s="105">
        <v>0.12</v>
      </c>
      <c r="J1304" s="106">
        <v>1000.0</v>
      </c>
      <c r="K1304" s="73"/>
      <c r="L1304" s="73"/>
      <c r="M1304" s="73"/>
      <c r="N1304" s="74"/>
    </row>
    <row r="1305" ht="30.0" hidden="1" customHeight="1">
      <c r="A1305" s="68">
        <v>1314.0</v>
      </c>
      <c r="B1305" s="68"/>
      <c r="C1305" s="68"/>
      <c r="D1305" s="69" t="str">
        <f>CONCATENATE(PROPER('DASMA INFO'!$G1305),", ",PROPER('DASMA INFO'!$E1305)," ",PROPER('DASMA INFO'!$F1305),"."," (",UPPER('DASMA INFO'!$H1305),")")</f>
        <v>De Guzman, Donna Leanne . ()</v>
      </c>
      <c r="E1305" s="70" t="s">
        <v>2512</v>
      </c>
      <c r="F1305" s="70"/>
      <c r="G1305" s="70" t="s">
        <v>741</v>
      </c>
      <c r="H1305" s="69"/>
      <c r="I1305" s="105">
        <v>0.12</v>
      </c>
      <c r="J1305" s="106">
        <v>1000.0</v>
      </c>
      <c r="K1305" s="73"/>
      <c r="L1305" s="73"/>
      <c r="M1305" s="73"/>
      <c r="N1305" s="74"/>
    </row>
    <row r="1306" ht="30.0" hidden="1" customHeight="1">
      <c r="A1306" s="68">
        <v>1315.0</v>
      </c>
      <c r="B1306" s="68"/>
      <c r="C1306" s="68"/>
      <c r="D1306" s="69" t="str">
        <f>CONCATENATE(PROPER('DASMA INFO'!$G1306),", ",PROPER('DASMA INFO'!$E1306)," ",PROPER('DASMA INFO'!$F1306),"."," (",UPPER('DASMA INFO'!$H1306),")")</f>
        <v>Cardino, Atanacio C. ()</v>
      </c>
      <c r="E1306" s="70" t="s">
        <v>2513</v>
      </c>
      <c r="F1306" s="70" t="s">
        <v>318</v>
      </c>
      <c r="G1306" s="70" t="s">
        <v>744</v>
      </c>
      <c r="H1306" s="69"/>
      <c r="I1306" s="92">
        <v>0.05</v>
      </c>
      <c r="J1306" s="93">
        <v>1000.0</v>
      </c>
      <c r="K1306" s="73" t="s">
        <v>2514</v>
      </c>
      <c r="L1306" s="73"/>
      <c r="M1306" s="73"/>
      <c r="N1306" s="74" t="s">
        <v>2515</v>
      </c>
    </row>
    <row r="1307" ht="30.0" hidden="1" customHeight="1">
      <c r="A1307" s="68">
        <v>1316.0</v>
      </c>
      <c r="B1307" s="68"/>
      <c r="C1307" s="68"/>
      <c r="D1307" s="69" t="str">
        <f>CONCATENATE(PROPER('DASMA INFO'!$G1307),", ",PROPER('DASMA INFO'!$E1307)," ",PROPER('DASMA INFO'!$F1307),"."," (",UPPER('DASMA INFO'!$H1307),")")</f>
        <v>Torres, Rosalina M. ()</v>
      </c>
      <c r="E1307" s="70" t="s">
        <v>2516</v>
      </c>
      <c r="F1307" s="70" t="s">
        <v>587</v>
      </c>
      <c r="G1307" s="70" t="s">
        <v>343</v>
      </c>
      <c r="H1307" s="69"/>
      <c r="I1307" s="105">
        <v>0.12</v>
      </c>
      <c r="J1307" s="106">
        <v>1000.0</v>
      </c>
      <c r="K1307" s="73" t="s">
        <v>2517</v>
      </c>
      <c r="L1307" s="73"/>
      <c r="M1307" s="73"/>
      <c r="N1307" s="74"/>
    </row>
    <row r="1308" ht="30.0" hidden="1" customHeight="1">
      <c r="A1308" s="68">
        <v>1317.0</v>
      </c>
      <c r="B1308" s="68"/>
      <c r="C1308" s="68"/>
      <c r="D1308" s="69" t="str">
        <f>CONCATENATE(PROPER('DASMA INFO'!$G1308),", ",PROPER('DASMA INFO'!$E1308)," ",PROPER('DASMA INFO'!$F1308),"."," (",UPPER('DASMA INFO'!$H1308),")")</f>
        <v>Bag-Ao, Maria Teresa S. ()</v>
      </c>
      <c r="E1308" s="70" t="s">
        <v>2518</v>
      </c>
      <c r="F1308" s="70" t="s">
        <v>342</v>
      </c>
      <c r="G1308" s="70" t="s">
        <v>607</v>
      </c>
      <c r="H1308" s="69"/>
      <c r="I1308" s="105">
        <v>0.12</v>
      </c>
      <c r="J1308" s="106">
        <v>1000.0</v>
      </c>
      <c r="K1308" s="73" t="s">
        <v>968</v>
      </c>
      <c r="L1308" s="73"/>
      <c r="M1308" s="73"/>
      <c r="N1308" s="74"/>
    </row>
    <row r="1309" ht="30.0" hidden="1" customHeight="1">
      <c r="A1309" s="68">
        <v>1318.0</v>
      </c>
      <c r="B1309" s="68"/>
      <c r="C1309" s="68"/>
      <c r="D1309" s="69" t="str">
        <f>CONCATENATE(PROPER('DASMA INFO'!$G1309),", ",PROPER('DASMA INFO'!$E1309)," ",PROPER('DASMA INFO'!$F1309),"."," (",UPPER('DASMA INFO'!$H1309),")")</f>
        <v>Padawil, Mark T. ()</v>
      </c>
      <c r="E1309" s="70" t="s">
        <v>99</v>
      </c>
      <c r="F1309" s="70" t="s">
        <v>752</v>
      </c>
      <c r="G1309" s="70" t="s">
        <v>2519</v>
      </c>
      <c r="H1309" s="69"/>
      <c r="I1309" s="105">
        <v>0.12</v>
      </c>
      <c r="J1309" s="106">
        <v>2000.0</v>
      </c>
      <c r="K1309" s="73" t="s">
        <v>2520</v>
      </c>
      <c r="L1309" s="73"/>
      <c r="M1309" s="73"/>
      <c r="N1309" s="74"/>
    </row>
    <row r="1310" ht="30.0" hidden="1" customHeight="1">
      <c r="A1310" s="68">
        <v>1319.0</v>
      </c>
      <c r="B1310" s="68"/>
      <c r="C1310" s="68"/>
      <c r="D1310" s="69" t="str">
        <f>CONCATENATE(PROPER('DASMA INFO'!$G1310),", ",PROPER('DASMA INFO'!$E1310)," ",PROPER('DASMA INFO'!$F1310),"."," (",UPPER('DASMA INFO'!$H1310),")")</f>
        <v>Obina, Angela Jhin R. ()</v>
      </c>
      <c r="E1310" s="70" t="s">
        <v>2521</v>
      </c>
      <c r="F1310" s="70" t="s">
        <v>260</v>
      </c>
      <c r="G1310" s="70" t="s">
        <v>2522</v>
      </c>
      <c r="H1310" s="69"/>
      <c r="I1310" s="105">
        <v>0.12</v>
      </c>
      <c r="J1310" s="106">
        <v>1000.0</v>
      </c>
      <c r="K1310" s="73" t="s">
        <v>2523</v>
      </c>
      <c r="L1310" s="73"/>
      <c r="M1310" s="73"/>
      <c r="N1310" s="74"/>
    </row>
    <row r="1311" ht="30.0" hidden="1" customHeight="1">
      <c r="A1311" s="68">
        <v>1320.0</v>
      </c>
      <c r="B1311" s="68"/>
      <c r="C1311" s="68"/>
      <c r="D1311" s="69" t="str">
        <f>CONCATENATE(PROPER('DASMA INFO'!$G1311),", ",PROPER('DASMA INFO'!$E1311)," ",PROPER('DASMA INFO'!$F1311),"."," (",UPPER('DASMA INFO'!$H1311),")")</f>
        <v>Reyes, Wilbert M. ()</v>
      </c>
      <c r="E1311" s="70" t="s">
        <v>2524</v>
      </c>
      <c r="F1311" s="70" t="s">
        <v>587</v>
      </c>
      <c r="G1311" s="70" t="s">
        <v>122</v>
      </c>
      <c r="H1311" s="69"/>
      <c r="I1311" s="105">
        <v>0.12</v>
      </c>
      <c r="J1311" s="106">
        <v>1000.0</v>
      </c>
      <c r="K1311" s="73" t="s">
        <v>1017</v>
      </c>
      <c r="L1311" s="73"/>
      <c r="M1311" s="73"/>
      <c r="N1311" s="74"/>
    </row>
    <row r="1312" ht="30.0" hidden="1" customHeight="1">
      <c r="A1312" s="68">
        <v>1321.0</v>
      </c>
      <c r="B1312" s="68"/>
      <c r="C1312" s="68"/>
      <c r="D1312" s="69" t="str">
        <f>CONCATENATE(PROPER('DASMA INFO'!$G1312),", ",PROPER('DASMA INFO'!$E1312)," ",PROPER('DASMA INFO'!$F1312),"."," (",UPPER('DASMA INFO'!$H1312),")")</f>
        <v>Ajes, Zsachileen Eckles M. ()</v>
      </c>
      <c r="E1312" s="70" t="s">
        <v>2525</v>
      </c>
      <c r="F1312" s="70" t="s">
        <v>587</v>
      </c>
      <c r="G1312" s="70" t="s">
        <v>2526</v>
      </c>
      <c r="H1312" s="69"/>
      <c r="I1312" s="105">
        <v>0.12</v>
      </c>
      <c r="J1312" s="106">
        <v>1000.0</v>
      </c>
      <c r="K1312" s="73" t="s">
        <v>2520</v>
      </c>
      <c r="L1312" s="73"/>
      <c r="M1312" s="73"/>
      <c r="N1312" s="74"/>
    </row>
    <row r="1313" ht="30.0" hidden="1" customHeight="1">
      <c r="A1313" s="68">
        <v>1322.0</v>
      </c>
      <c r="B1313" s="68"/>
      <c r="C1313" s="68"/>
      <c r="D1313" s="69" t="str">
        <f>CONCATENATE(PROPER('DASMA INFO'!$G1313),", ",PROPER('DASMA INFO'!$E1313)," ",PROPER('DASMA INFO'!$F1313),"."," (",UPPER('DASMA INFO'!$H1313),")")</f>
        <v>,  . ()</v>
      </c>
      <c r="E1313" s="70"/>
      <c r="F1313" s="70"/>
      <c r="G1313" s="70"/>
      <c r="H1313" s="69"/>
      <c r="I1313" s="105">
        <v>0.12</v>
      </c>
      <c r="J1313" s="106">
        <v>1000.0</v>
      </c>
      <c r="K1313" s="73"/>
      <c r="L1313" s="73"/>
      <c r="M1313" s="73"/>
      <c r="N1313" s="74"/>
    </row>
    <row r="1314" ht="30.0" hidden="1" customHeight="1">
      <c r="A1314" s="68">
        <v>1323.0</v>
      </c>
      <c r="B1314" s="68"/>
      <c r="C1314" s="68"/>
      <c r="D1314" s="69" t="str">
        <f>CONCATENATE(PROPER('DASMA INFO'!$G1314),", ",PROPER('DASMA INFO'!$E1314)," ",PROPER('DASMA INFO'!$F1314),"."," (",UPPER('DASMA INFO'!$H1314),")")</f>
        <v>Ramos, Noel M. ()</v>
      </c>
      <c r="E1314" s="70" t="s">
        <v>784</v>
      </c>
      <c r="F1314" s="70" t="s">
        <v>587</v>
      </c>
      <c r="G1314" s="70" t="s">
        <v>74</v>
      </c>
      <c r="H1314" s="69"/>
      <c r="I1314" s="92">
        <v>0.05</v>
      </c>
      <c r="J1314" s="93">
        <v>1000.0</v>
      </c>
      <c r="K1314" s="73" t="s">
        <v>2527</v>
      </c>
      <c r="L1314" s="73"/>
      <c r="M1314" s="73"/>
      <c r="N1314" s="74"/>
    </row>
    <row r="1315" ht="30.0" hidden="1" customHeight="1">
      <c r="A1315" s="68">
        <v>1324.0</v>
      </c>
      <c r="B1315" s="68"/>
      <c r="C1315" s="68"/>
      <c r="D1315" s="69" t="str">
        <f>CONCATENATE(PROPER('DASMA INFO'!$G1315),", ",PROPER('DASMA INFO'!$E1315)," ",PROPER('DASMA INFO'!$F1315),"."," (",UPPER('DASMA INFO'!$H1315),")")</f>
        <v>Bas, Maria Lourdes P. ()</v>
      </c>
      <c r="E1315" s="70" t="s">
        <v>2528</v>
      </c>
      <c r="F1315" s="70" t="s">
        <v>513</v>
      </c>
      <c r="G1315" s="70" t="s">
        <v>2529</v>
      </c>
      <c r="H1315" s="69"/>
      <c r="I1315" s="92">
        <v>0.05</v>
      </c>
      <c r="J1315" s="93">
        <v>1000.0</v>
      </c>
      <c r="K1315" s="73" t="s">
        <v>1775</v>
      </c>
      <c r="L1315" s="73"/>
      <c r="M1315" s="73"/>
      <c r="N1315" s="74"/>
    </row>
    <row r="1316" ht="30.0" hidden="1" customHeight="1">
      <c r="A1316" s="68">
        <v>1325.0</v>
      </c>
      <c r="B1316" s="68"/>
      <c r="C1316" s="68"/>
      <c r="D1316" s="69" t="str">
        <f>CONCATENATE(PROPER('DASMA INFO'!$G1316),", ",PROPER('DASMA INFO'!$E1316)," ",PROPER('DASMA INFO'!$F1316),"."," (",UPPER('DASMA INFO'!$H1316),")")</f>
        <v>Angeles, Roel S. ()</v>
      </c>
      <c r="E1316" s="70" t="s">
        <v>2530</v>
      </c>
      <c r="F1316" s="70" t="s">
        <v>342</v>
      </c>
      <c r="G1316" s="70" t="s">
        <v>202</v>
      </c>
      <c r="H1316" s="69"/>
      <c r="I1316" s="105">
        <v>0.12</v>
      </c>
      <c r="J1316" s="106">
        <v>1000.0</v>
      </c>
      <c r="K1316" s="73" t="s">
        <v>2531</v>
      </c>
      <c r="L1316" s="73"/>
      <c r="M1316" s="73"/>
      <c r="N1316" s="74"/>
    </row>
    <row r="1317" ht="30.0" hidden="1" customHeight="1">
      <c r="A1317" s="68">
        <v>1326.0</v>
      </c>
      <c r="B1317" s="68"/>
      <c r="C1317" s="68"/>
      <c r="D1317" s="69" t="str">
        <f>CONCATENATE(PROPER('DASMA INFO'!$G1317),", ",PROPER('DASMA INFO'!$E1317)," ",PROPER('DASMA INFO'!$F1317),"."," (",UPPER('DASMA INFO'!$H1317),")")</f>
        <v>Anastacio, Mary Jane P. ()</v>
      </c>
      <c r="E1317" s="70" t="s">
        <v>351</v>
      </c>
      <c r="F1317" s="70" t="s">
        <v>513</v>
      </c>
      <c r="G1317" s="70" t="s">
        <v>2532</v>
      </c>
      <c r="H1317" s="69"/>
      <c r="I1317" s="105">
        <v>0.12</v>
      </c>
      <c r="J1317" s="106">
        <v>1000.0</v>
      </c>
      <c r="K1317" s="73" t="s">
        <v>960</v>
      </c>
      <c r="L1317" s="73"/>
      <c r="M1317" s="73"/>
      <c r="N1317" s="74"/>
    </row>
    <row r="1318" ht="30.0" hidden="1" customHeight="1">
      <c r="A1318" s="68">
        <v>1327.0</v>
      </c>
      <c r="B1318" s="68"/>
      <c r="C1318" s="68"/>
      <c r="D1318" s="69" t="str">
        <f>CONCATENATE(PROPER('DASMA INFO'!$G1318),", ",PROPER('DASMA INFO'!$E1318)," ",PROPER('DASMA INFO'!$F1318),"."," (",UPPER('DASMA INFO'!$H1318),")")</f>
        <v>Ojos, Victoria F. ()</v>
      </c>
      <c r="E1318" s="70" t="s">
        <v>2533</v>
      </c>
      <c r="F1318" s="70" t="s">
        <v>1738</v>
      </c>
      <c r="G1318" s="70" t="s">
        <v>2534</v>
      </c>
      <c r="H1318" s="69"/>
      <c r="I1318" s="92">
        <v>0.05</v>
      </c>
      <c r="J1318" s="93">
        <v>1000.0</v>
      </c>
      <c r="K1318" s="73" t="s">
        <v>50</v>
      </c>
      <c r="L1318" s="73"/>
      <c r="M1318" s="73"/>
      <c r="N1318" s="74" t="s">
        <v>2535</v>
      </c>
    </row>
    <row r="1319" ht="30.0" hidden="1" customHeight="1">
      <c r="A1319" s="68">
        <v>1328.0</v>
      </c>
      <c r="B1319" s="68"/>
      <c r="C1319" s="68"/>
      <c r="D1319" s="69" t="str">
        <f>CONCATENATE(PROPER('DASMA INFO'!$G1319),", ",PROPER('DASMA INFO'!$E1319)," ",PROPER('DASMA INFO'!$F1319),"."," (",UPPER('DASMA INFO'!$H1319),")")</f>
        <v>Enriquez, Vergilia H. ()</v>
      </c>
      <c r="E1319" s="70" t="s">
        <v>2536</v>
      </c>
      <c r="F1319" s="70" t="s">
        <v>2537</v>
      </c>
      <c r="G1319" s="70" t="s">
        <v>1617</v>
      </c>
      <c r="H1319" s="69"/>
      <c r="I1319" s="105">
        <v>0.12</v>
      </c>
      <c r="J1319" s="106">
        <v>1000.0</v>
      </c>
      <c r="K1319" s="73" t="s">
        <v>2538</v>
      </c>
      <c r="L1319" s="73"/>
      <c r="M1319" s="73"/>
      <c r="N1319" s="74"/>
    </row>
    <row r="1320" ht="30.0" hidden="1" customHeight="1">
      <c r="A1320" s="68">
        <v>1329.0</v>
      </c>
      <c r="B1320" s="68"/>
      <c r="C1320" s="68"/>
      <c r="D1320" s="69" t="str">
        <f>CONCATENATE(PROPER('DASMA INFO'!$G1320),", ",PROPER('DASMA INFO'!$E1320)," ",PROPER('DASMA INFO'!$F1320),"."," (",UPPER('DASMA INFO'!$H1320),")")</f>
        <v>Espedido, Jonalyn M. ()</v>
      </c>
      <c r="E1320" s="70" t="s">
        <v>1959</v>
      </c>
      <c r="F1320" s="70" t="s">
        <v>587</v>
      </c>
      <c r="G1320" s="70" t="s">
        <v>2539</v>
      </c>
      <c r="H1320" s="69"/>
      <c r="I1320" s="105">
        <v>0.12</v>
      </c>
      <c r="J1320" s="106">
        <v>1000.0</v>
      </c>
      <c r="K1320" s="73" t="s">
        <v>2540</v>
      </c>
      <c r="L1320" s="73"/>
      <c r="M1320" s="73"/>
      <c r="N1320" s="74"/>
    </row>
    <row r="1321" ht="30.0" hidden="1" customHeight="1">
      <c r="A1321" s="68">
        <v>1330.0</v>
      </c>
      <c r="B1321" s="68"/>
      <c r="C1321" s="68"/>
      <c r="D1321" s="69" t="str">
        <f>CONCATENATE(PROPER('DASMA INFO'!$G1321),", ",PROPER('DASMA INFO'!$E1321)," ",PROPER('DASMA INFO'!$F1321),"."," (",UPPER('DASMA INFO'!$H1321),")")</f>
        <v>Regente, Dags G. ()</v>
      </c>
      <c r="E1321" s="70" t="s">
        <v>2541</v>
      </c>
      <c r="F1321" s="70" t="s">
        <v>1032</v>
      </c>
      <c r="G1321" s="70" t="s">
        <v>2542</v>
      </c>
      <c r="H1321" s="69"/>
      <c r="I1321" s="105">
        <v>0.12</v>
      </c>
      <c r="J1321" s="106">
        <v>1000.0</v>
      </c>
      <c r="K1321" s="73"/>
      <c r="L1321" s="73"/>
      <c r="M1321" s="73"/>
      <c r="N1321" s="74"/>
    </row>
    <row r="1322" ht="30.0" hidden="1" customHeight="1">
      <c r="A1322" s="68">
        <v>1331.0</v>
      </c>
      <c r="B1322" s="68"/>
      <c r="C1322" s="68"/>
      <c r="D1322" s="69" t="str">
        <f>CONCATENATE(PROPER('DASMA INFO'!$G1322),", ",PROPER('DASMA INFO'!$E1322)," ",PROPER('DASMA INFO'!$F1322),"."," (",UPPER('DASMA INFO'!$H1322),")")</f>
        <v>Lerin, Ramil A. ()</v>
      </c>
      <c r="E1322" s="70" t="s">
        <v>514</v>
      </c>
      <c r="F1322" s="70" t="s">
        <v>427</v>
      </c>
      <c r="G1322" s="70" t="s">
        <v>2543</v>
      </c>
      <c r="H1322" s="69"/>
      <c r="I1322" s="105">
        <v>0.12</v>
      </c>
      <c r="J1322" s="106">
        <v>1000.0</v>
      </c>
      <c r="K1322" s="73" t="s">
        <v>2544</v>
      </c>
      <c r="L1322" s="73"/>
      <c r="M1322" s="73"/>
      <c r="N1322" s="74"/>
    </row>
    <row r="1323" ht="30.0" hidden="1" customHeight="1">
      <c r="A1323" s="68">
        <v>1332.0</v>
      </c>
      <c r="B1323" s="68"/>
      <c r="C1323" s="68"/>
      <c r="D1323" s="69" t="str">
        <f>CONCATENATE(PROPER('DASMA INFO'!$G1323),", ",PROPER('DASMA INFO'!$E1323)," ",PROPER('DASMA INFO'!$F1323),"."," (",UPPER('DASMA INFO'!$H1323),")")</f>
        <v>Relingado, Mary Anne Gasga. ()</v>
      </c>
      <c r="E1323" s="70" t="s">
        <v>58</v>
      </c>
      <c r="F1323" s="70" t="s">
        <v>2545</v>
      </c>
      <c r="G1323" s="70" t="s">
        <v>59</v>
      </c>
      <c r="H1323" s="69"/>
      <c r="I1323" s="92">
        <v>0.05</v>
      </c>
      <c r="J1323" s="93">
        <v>1000.0</v>
      </c>
      <c r="K1323" s="73" t="s">
        <v>2157</v>
      </c>
      <c r="L1323" s="73"/>
      <c r="M1323" s="73"/>
      <c r="N1323" s="74"/>
    </row>
    <row r="1324" ht="30.0" hidden="1" customHeight="1">
      <c r="A1324" s="68">
        <v>1333.0</v>
      </c>
      <c r="B1324" s="68"/>
      <c r="C1324" s="68"/>
      <c r="D1324" s="69" t="str">
        <f>CONCATENATE(PROPER('DASMA INFO'!$G1324),", ",PROPER('DASMA INFO'!$E1324)," ",PROPER('DASMA INFO'!$F1324),"."," (",UPPER('DASMA INFO'!$H1324),")")</f>
        <v>Tolentino, Rosemarie G. ()</v>
      </c>
      <c r="E1324" s="70" t="s">
        <v>42</v>
      </c>
      <c r="F1324" s="70" t="s">
        <v>1032</v>
      </c>
      <c r="G1324" s="70" t="s">
        <v>206</v>
      </c>
      <c r="H1324" s="69"/>
      <c r="I1324" s="105">
        <v>0.12</v>
      </c>
      <c r="J1324" s="106">
        <v>1000.0</v>
      </c>
      <c r="K1324" s="73" t="s">
        <v>960</v>
      </c>
      <c r="L1324" s="73"/>
      <c r="M1324" s="73"/>
      <c r="N1324" s="74"/>
    </row>
    <row r="1325" ht="30.0" hidden="1" customHeight="1">
      <c r="A1325" s="68">
        <v>1334.0</v>
      </c>
      <c r="B1325" s="68"/>
      <c r="C1325" s="68"/>
      <c r="D1325" s="69" t="str">
        <f>CONCATENATE(PROPER('DASMA INFO'!$G1325),", ",PROPER('DASMA INFO'!$E1325)," ",PROPER('DASMA INFO'!$F1325),"."," (",UPPER('DASMA INFO'!$H1325),")")</f>
        <v>De, Maria Theresa C. ()</v>
      </c>
      <c r="E1325" s="70" t="s">
        <v>2546</v>
      </c>
      <c r="F1325" s="70" t="s">
        <v>318</v>
      </c>
      <c r="G1325" s="70" t="s">
        <v>1432</v>
      </c>
      <c r="H1325" s="69"/>
      <c r="I1325" s="105">
        <v>0.12</v>
      </c>
      <c r="J1325" s="106">
        <v>1000.0</v>
      </c>
      <c r="K1325" s="73" t="s">
        <v>2547</v>
      </c>
      <c r="L1325" s="73"/>
      <c r="M1325" s="73"/>
      <c r="N1325" s="74"/>
    </row>
    <row r="1326" ht="30.0" hidden="1" customHeight="1">
      <c r="A1326" s="68">
        <v>1335.0</v>
      </c>
      <c r="B1326" s="68"/>
      <c r="C1326" s="68"/>
      <c r="D1326" s="69" t="str">
        <f>CONCATENATE(PROPER('DASMA INFO'!$G1326),", ",PROPER('DASMA INFO'!$E1326)," ",PROPER('DASMA INFO'!$F1326),"."," (",UPPER('DASMA INFO'!$H1326),")")</f>
        <v>Juacalla, Rhean H. ()</v>
      </c>
      <c r="E1326" s="70" t="s">
        <v>2548</v>
      </c>
      <c r="F1326" s="70" t="s">
        <v>2537</v>
      </c>
      <c r="G1326" s="70" t="s">
        <v>2549</v>
      </c>
      <c r="H1326" s="69"/>
      <c r="I1326" s="105">
        <v>0.12</v>
      </c>
      <c r="J1326" s="106">
        <v>1000.0</v>
      </c>
      <c r="K1326" s="73" t="s">
        <v>968</v>
      </c>
      <c r="L1326" s="73"/>
      <c r="M1326" s="73"/>
      <c r="N1326" s="74"/>
    </row>
    <row r="1327" ht="30.0" hidden="1" customHeight="1">
      <c r="A1327" s="68">
        <v>1336.0</v>
      </c>
      <c r="B1327" s="68"/>
      <c r="C1327" s="68"/>
      <c r="D1327" s="69" t="str">
        <f>CONCATENATE(PROPER('DASMA INFO'!$G1327),", ",PROPER('DASMA INFO'!$E1327)," ",PROPER('DASMA INFO'!$F1327),"."," (",UPPER('DASMA INFO'!$H1327),")")</f>
        <v>Jae, Im Sung. ()</v>
      </c>
      <c r="E1327" s="70" t="s">
        <v>2550</v>
      </c>
      <c r="F1327" s="70" t="s">
        <v>2551</v>
      </c>
      <c r="G1327" s="70" t="s">
        <v>2552</v>
      </c>
      <c r="H1327" s="69"/>
      <c r="I1327" s="105">
        <v>0.12</v>
      </c>
      <c r="J1327" s="106">
        <v>1000.0</v>
      </c>
      <c r="K1327" s="73" t="s">
        <v>1017</v>
      </c>
      <c r="L1327" s="73"/>
      <c r="M1327" s="73"/>
      <c r="N1327" s="74"/>
    </row>
    <row r="1328" ht="30.0" hidden="1" customHeight="1">
      <c r="A1328" s="68">
        <v>1337.0</v>
      </c>
      <c r="B1328" s="68"/>
      <c r="C1328" s="68"/>
      <c r="D1328" s="69" t="str">
        <f>CONCATENATE(PROPER('DASMA INFO'!$G1328),", ",PROPER('DASMA INFO'!$E1328)," ",PROPER('DASMA INFO'!$F1328),"."," (",UPPER('DASMA INFO'!$H1328),")")</f>
        <v>Barbon, Macaria D. ()</v>
      </c>
      <c r="E1328" s="70" t="s">
        <v>2553</v>
      </c>
      <c r="F1328" s="70" t="s">
        <v>1078</v>
      </c>
      <c r="G1328" s="70" t="s">
        <v>2554</v>
      </c>
      <c r="H1328" s="69"/>
      <c r="I1328" s="105">
        <v>0.12</v>
      </c>
      <c r="J1328" s="106">
        <v>1000.0</v>
      </c>
      <c r="K1328" s="73" t="s">
        <v>1144</v>
      </c>
      <c r="L1328" s="73"/>
      <c r="M1328" s="73"/>
      <c r="N1328" s="74"/>
    </row>
    <row r="1329" ht="30.0" hidden="1" customHeight="1">
      <c r="A1329" s="68">
        <v>1338.0</v>
      </c>
      <c r="B1329" s="68"/>
      <c r="C1329" s="68"/>
      <c r="D1329" s="69" t="str">
        <f>CONCATENATE(PROPER('DASMA INFO'!$G1329),", ",PROPER('DASMA INFO'!$E1329)," ",PROPER('DASMA INFO'!$F1329),"."," (",UPPER('DASMA INFO'!$H1329),")")</f>
        <v>Yoon, Chun Byung. ()</v>
      </c>
      <c r="E1329" s="70" t="s">
        <v>1501</v>
      </c>
      <c r="F1329" s="70" t="s">
        <v>2555</v>
      </c>
      <c r="G1329" s="70" t="s">
        <v>2556</v>
      </c>
      <c r="H1329" s="69"/>
      <c r="I1329" s="105">
        <v>0.12</v>
      </c>
      <c r="J1329" s="106">
        <v>1000.0</v>
      </c>
      <c r="K1329" s="73" t="s">
        <v>2557</v>
      </c>
      <c r="L1329" s="73"/>
      <c r="M1329" s="73"/>
      <c r="N1329" s="74"/>
    </row>
    <row r="1330" ht="30.0" hidden="1" customHeight="1">
      <c r="A1330" s="68">
        <v>1339.0</v>
      </c>
      <c r="B1330" s="68"/>
      <c r="C1330" s="68"/>
      <c r="D1330" s="69" t="str">
        <f>CONCATENATE(PROPER('DASMA INFO'!$G1330),", ",PROPER('DASMA INFO'!$E1330)," ",PROPER('DASMA INFO'!$F1330),"."," (",UPPER('DASMA INFO'!$H1330),")")</f>
        <v>Maliwat, Rona P. ()</v>
      </c>
      <c r="E1330" s="70" t="s">
        <v>1821</v>
      </c>
      <c r="F1330" s="70" t="s">
        <v>513</v>
      </c>
      <c r="G1330" s="70" t="s">
        <v>2558</v>
      </c>
      <c r="H1330" s="69"/>
      <c r="I1330" s="105">
        <v>0.12</v>
      </c>
      <c r="J1330" s="106">
        <v>1000.0</v>
      </c>
      <c r="K1330" s="73" t="s">
        <v>1475</v>
      </c>
      <c r="L1330" s="73"/>
      <c r="M1330" s="73"/>
      <c r="N1330" s="74"/>
    </row>
    <row r="1331" ht="30.0" hidden="1" customHeight="1">
      <c r="A1331" s="68">
        <v>1340.0</v>
      </c>
      <c r="B1331" s="68"/>
      <c r="C1331" s="68"/>
      <c r="D1331" s="69" t="str">
        <f>CONCATENATE(PROPER('DASMA INFO'!$G1331),", ",PROPER('DASMA INFO'!$E1331)," ",PROPER('DASMA INFO'!$F1331),"."," (",UPPER('DASMA INFO'!$H1331),")")</f>
        <v>Buyoc, Josephine C. ()</v>
      </c>
      <c r="E1331" s="70" t="s">
        <v>137</v>
      </c>
      <c r="F1331" s="70" t="s">
        <v>318</v>
      </c>
      <c r="G1331" s="70" t="s">
        <v>2559</v>
      </c>
      <c r="H1331" s="69"/>
      <c r="I1331" s="105">
        <v>0.12</v>
      </c>
      <c r="J1331" s="106">
        <v>1000.0</v>
      </c>
      <c r="K1331" s="73" t="s">
        <v>2531</v>
      </c>
      <c r="L1331" s="73"/>
      <c r="M1331" s="73"/>
      <c r="N1331" s="74"/>
    </row>
    <row r="1332" ht="30.0" hidden="1" customHeight="1">
      <c r="A1332" s="68">
        <v>1343.0</v>
      </c>
      <c r="B1332" s="68"/>
      <c r="C1332" s="68"/>
      <c r="D1332" s="69" t="str">
        <f>CONCATENATE(PROPER('DASMA INFO'!$G1332),", ",PROPER('DASMA INFO'!$E1332)," ",PROPER('DASMA INFO'!$F1332),"."," (",UPPER('DASMA INFO'!$H1332),")")</f>
        <v>Reyes, Belen S. ()</v>
      </c>
      <c r="E1332" s="70" t="s">
        <v>2560</v>
      </c>
      <c r="F1332" s="70" t="s">
        <v>342</v>
      </c>
      <c r="G1332" s="70" t="s">
        <v>122</v>
      </c>
      <c r="H1332" s="69"/>
      <c r="I1332" s="105">
        <v>0.12</v>
      </c>
      <c r="J1332" s="106">
        <v>1000.0</v>
      </c>
      <c r="K1332" s="73" t="s">
        <v>1551</v>
      </c>
      <c r="L1332" s="73"/>
      <c r="M1332" s="73"/>
      <c r="N1332" s="74"/>
    </row>
    <row r="1333" ht="30.0" hidden="1" customHeight="1">
      <c r="A1333" s="68">
        <v>1344.0</v>
      </c>
      <c r="B1333" s="68"/>
      <c r="C1333" s="68"/>
      <c r="D1333" s="69" t="str">
        <f>CONCATENATE(PROPER('DASMA INFO'!$G1333),", ",PROPER('DASMA INFO'!$E1333)," ",PROPER('DASMA INFO'!$F1333),"."," (",UPPER('DASMA INFO'!$H1333),")")</f>
        <v>Calara, Romeo T. ()</v>
      </c>
      <c r="E1333" s="70" t="s">
        <v>441</v>
      </c>
      <c r="F1333" s="70" t="s">
        <v>752</v>
      </c>
      <c r="G1333" s="70" t="s">
        <v>327</v>
      </c>
      <c r="H1333" s="69"/>
      <c r="I1333" s="105">
        <v>0.12</v>
      </c>
      <c r="J1333" s="106">
        <v>2000.0</v>
      </c>
      <c r="K1333" s="73" t="s">
        <v>2561</v>
      </c>
      <c r="L1333" s="73"/>
      <c r="M1333" s="73"/>
      <c r="N1333" s="74"/>
    </row>
    <row r="1334" ht="30.0" hidden="1" customHeight="1">
      <c r="A1334" s="68">
        <v>1345.0</v>
      </c>
      <c r="B1334" s="68"/>
      <c r="C1334" s="68"/>
      <c r="D1334" s="69" t="str">
        <f>CONCATENATE(PROPER('DASMA INFO'!$G1334),", ",PROPER('DASMA INFO'!$E1334)," ",PROPER('DASMA INFO'!$F1334),"."," (",UPPER('DASMA INFO'!$H1334),")")</f>
        <v>Caabay, Amelita E. ()</v>
      </c>
      <c r="E1334" s="70" t="s">
        <v>2562</v>
      </c>
      <c r="F1334" s="70" t="s">
        <v>299</v>
      </c>
      <c r="G1334" s="70" t="s">
        <v>2563</v>
      </c>
      <c r="H1334" s="69"/>
      <c r="I1334" s="105">
        <v>0.12</v>
      </c>
      <c r="J1334" s="106">
        <v>1000.0</v>
      </c>
      <c r="K1334" s="73" t="s">
        <v>1156</v>
      </c>
      <c r="L1334" s="73"/>
      <c r="M1334" s="73"/>
      <c r="N1334" s="74"/>
    </row>
    <row r="1335" ht="30.0" hidden="1" customHeight="1">
      <c r="A1335" s="68">
        <v>1346.0</v>
      </c>
      <c r="B1335" s="68"/>
      <c r="C1335" s="68"/>
      <c r="D1335" s="69" t="str">
        <f>CONCATENATE(PROPER('DASMA INFO'!$G1335),", ",PROPER('DASMA INFO'!$E1335)," ",PROPER('DASMA INFO'!$F1335),"."," (",UPPER('DASMA INFO'!$H1335),")")</f>
        <v>Banasta, Arnold / Raquel . ()</v>
      </c>
      <c r="E1335" s="70" t="s">
        <v>2564</v>
      </c>
      <c r="F1335" s="70"/>
      <c r="G1335" s="70" t="s">
        <v>269</v>
      </c>
      <c r="H1335" s="69"/>
      <c r="I1335" s="92">
        <v>0.05</v>
      </c>
      <c r="J1335" s="93">
        <v>1000.0</v>
      </c>
      <c r="K1335" s="73" t="s">
        <v>2565</v>
      </c>
      <c r="L1335" s="73"/>
      <c r="M1335" s="73"/>
      <c r="N1335" s="74"/>
    </row>
    <row r="1336" ht="30.0" hidden="1" customHeight="1">
      <c r="A1336" s="68">
        <v>1347.0</v>
      </c>
      <c r="B1336" s="68"/>
      <c r="C1336" s="68"/>
      <c r="D1336" s="69" t="str">
        <f>CONCATENATE(PROPER('DASMA INFO'!$G1336),", ",PROPER('DASMA INFO'!$E1336)," ",PROPER('DASMA INFO'!$F1336),"."," (",UPPER('DASMA INFO'!$H1336),")")</f>
        <v>Buising, Alex L. ()</v>
      </c>
      <c r="E1336" s="70" t="s">
        <v>82</v>
      </c>
      <c r="F1336" s="70" t="s">
        <v>648</v>
      </c>
      <c r="G1336" s="70" t="s">
        <v>2566</v>
      </c>
      <c r="H1336" s="69"/>
      <c r="I1336" s="105">
        <v>0.12</v>
      </c>
      <c r="J1336" s="106">
        <v>1000.0</v>
      </c>
      <c r="K1336" s="73" t="s">
        <v>1475</v>
      </c>
      <c r="L1336" s="73"/>
      <c r="M1336" s="73"/>
      <c r="N1336" s="74"/>
    </row>
    <row r="1337" ht="30.0" hidden="1" customHeight="1">
      <c r="A1337" s="68">
        <v>1348.0</v>
      </c>
      <c r="B1337" s="68"/>
      <c r="C1337" s="68"/>
      <c r="D1337" s="69" t="str">
        <f>CONCATENATE(PROPER('DASMA INFO'!$G1337),", ",PROPER('DASMA INFO'!$E1337)," ",PROPER('DASMA INFO'!$F1337),"."," (",UPPER('DASMA INFO'!$H1337),")")</f>
        <v>Talagtag, Catalino A. ()</v>
      </c>
      <c r="E1337" s="70" t="s">
        <v>194</v>
      </c>
      <c r="F1337" s="70" t="s">
        <v>427</v>
      </c>
      <c r="G1337" s="70" t="s">
        <v>2567</v>
      </c>
      <c r="H1337" s="69"/>
      <c r="I1337" s="105">
        <v>0.12</v>
      </c>
      <c r="J1337" s="106">
        <v>1000.0</v>
      </c>
      <c r="K1337" s="73" t="s">
        <v>1231</v>
      </c>
      <c r="L1337" s="73"/>
      <c r="M1337" s="73"/>
      <c r="N1337" s="74"/>
    </row>
    <row r="1338" ht="30.0" hidden="1" customHeight="1">
      <c r="A1338" s="68">
        <v>1349.0</v>
      </c>
      <c r="B1338" s="68"/>
      <c r="C1338" s="68"/>
      <c r="D1338" s="69" t="str">
        <f>CONCATENATE(PROPER('DASMA INFO'!$G1338),", ",PROPER('DASMA INFO'!$E1338)," ",PROPER('DASMA INFO'!$F1338),"."," (",UPPER('DASMA INFO'!$H1338),")")</f>
        <v>Yepez, Kierluf Jhoy V. ()</v>
      </c>
      <c r="E1338" s="70" t="s">
        <v>2568</v>
      </c>
      <c r="F1338" s="70" t="s">
        <v>620</v>
      </c>
      <c r="G1338" s="70" t="s">
        <v>2569</v>
      </c>
      <c r="H1338" s="69"/>
      <c r="I1338" s="105">
        <v>0.12</v>
      </c>
      <c r="J1338" s="106">
        <v>1000.0</v>
      </c>
      <c r="K1338" s="73"/>
      <c r="L1338" s="73"/>
      <c r="M1338" s="73"/>
      <c r="N1338" s="74"/>
    </row>
    <row r="1339" ht="30.0" hidden="1" customHeight="1">
      <c r="A1339" s="68">
        <v>1350.0</v>
      </c>
      <c r="B1339" s="68"/>
      <c r="C1339" s="68"/>
      <c r="D1339" s="69" t="str">
        <f>CONCATENATE(PROPER('DASMA INFO'!$G1339),", ",PROPER('DASMA INFO'!$E1339)," ",PROPER('DASMA INFO'!$F1339),"."," (",UPPER('DASMA INFO'!$H1339),")")</f>
        <v>Da, Ma Fay C. ()</v>
      </c>
      <c r="E1339" s="70" t="s">
        <v>2570</v>
      </c>
      <c r="F1339" s="70" t="s">
        <v>318</v>
      </c>
      <c r="G1339" s="70" t="s">
        <v>2571</v>
      </c>
      <c r="H1339" s="69"/>
      <c r="I1339" s="105">
        <v>0.12</v>
      </c>
      <c r="J1339" s="106">
        <v>1000.0</v>
      </c>
      <c r="K1339" s="73"/>
      <c r="L1339" s="73"/>
      <c r="M1339" s="73"/>
      <c r="N1339" s="74"/>
    </row>
    <row r="1340" ht="30.0" hidden="1" customHeight="1">
      <c r="A1340" s="68">
        <v>1351.0</v>
      </c>
      <c r="B1340" s="68"/>
      <c r="C1340" s="68"/>
      <c r="D1340" s="69" t="str">
        <f>CONCATENATE(PROPER('DASMA INFO'!$G1340),", ",PROPER('DASMA INFO'!$E1340)," ",PROPER('DASMA INFO'!$F1340),"."," (",UPPER('DASMA INFO'!$H1340),")")</f>
        <v>Custorio, Melinda P. ()</v>
      </c>
      <c r="E1340" s="70" t="s">
        <v>2572</v>
      </c>
      <c r="F1340" s="70" t="s">
        <v>513</v>
      </c>
      <c r="G1340" s="70" t="s">
        <v>2573</v>
      </c>
      <c r="H1340" s="69"/>
      <c r="I1340" s="92">
        <v>0.05</v>
      </c>
      <c r="J1340" s="93">
        <v>1000.0</v>
      </c>
      <c r="K1340" s="73" t="s">
        <v>2574</v>
      </c>
      <c r="L1340" s="73"/>
      <c r="M1340" s="73"/>
      <c r="N1340" s="74"/>
    </row>
    <row r="1341" ht="30.0" hidden="1" customHeight="1">
      <c r="A1341" s="68">
        <v>1352.0</v>
      </c>
      <c r="B1341" s="68"/>
      <c r="C1341" s="68"/>
      <c r="D1341" s="69" t="str">
        <f>CONCATENATE(PROPER('DASMA INFO'!$G1341),", ",PROPER('DASMA INFO'!$E1341)," ",PROPER('DASMA INFO'!$F1341),"."," (",UPPER('DASMA INFO'!$H1341),")")</f>
        <v>Miguel, Reynaldo G. ()</v>
      </c>
      <c r="E1341" s="70" t="s">
        <v>1028</v>
      </c>
      <c r="F1341" s="70" t="s">
        <v>1032</v>
      </c>
      <c r="G1341" s="70" t="s">
        <v>512</v>
      </c>
      <c r="H1341" s="69"/>
      <c r="I1341" s="105">
        <v>0.12</v>
      </c>
      <c r="J1341" s="106">
        <v>1000.0</v>
      </c>
      <c r="K1341" s="73" t="s">
        <v>2488</v>
      </c>
      <c r="L1341" s="73"/>
      <c r="M1341" s="73"/>
      <c r="N1341" s="74"/>
    </row>
    <row r="1342" ht="30.0" hidden="1" customHeight="1">
      <c r="A1342" s="68">
        <v>1353.0</v>
      </c>
      <c r="B1342" s="68"/>
      <c r="C1342" s="68"/>
      <c r="D1342" s="69" t="str">
        <f>CONCATENATE(PROPER('DASMA INFO'!$G1342),", ",PROPER('DASMA INFO'!$E1342)," ",PROPER('DASMA INFO'!$F1342),"."," (",UPPER('DASMA INFO'!$H1342),")")</f>
        <v>Francisco, Sean G. ()</v>
      </c>
      <c r="E1342" s="70" t="s">
        <v>2575</v>
      </c>
      <c r="F1342" s="70" t="s">
        <v>1032</v>
      </c>
      <c r="G1342" s="70" t="s">
        <v>509</v>
      </c>
      <c r="H1342" s="69"/>
      <c r="I1342" s="105">
        <v>0.12</v>
      </c>
      <c r="J1342" s="106">
        <v>1000.0</v>
      </c>
      <c r="K1342" s="73" t="s">
        <v>2423</v>
      </c>
      <c r="L1342" s="73"/>
      <c r="M1342" s="73"/>
      <c r="N1342" s="74"/>
    </row>
    <row r="1343" ht="30.0" hidden="1" customHeight="1">
      <c r="A1343" s="68">
        <v>1354.0</v>
      </c>
      <c r="B1343" s="68"/>
      <c r="C1343" s="68"/>
      <c r="D1343" s="69" t="str">
        <f>CONCATENATE(PROPER('DASMA INFO'!$G1343),", ",PROPER('DASMA INFO'!$E1343)," ",PROPER('DASMA INFO'!$F1343),"."," (",UPPER('DASMA INFO'!$H1343),")")</f>
        <v>Secreto, Unizeth V. ()</v>
      </c>
      <c r="E1343" s="70" t="s">
        <v>2576</v>
      </c>
      <c r="F1343" s="70" t="s">
        <v>620</v>
      </c>
      <c r="G1343" s="70" t="s">
        <v>2577</v>
      </c>
      <c r="H1343" s="69"/>
      <c r="I1343" s="105">
        <v>0.12</v>
      </c>
      <c r="J1343" s="106">
        <v>1000.0</v>
      </c>
      <c r="K1343" s="73" t="s">
        <v>1038</v>
      </c>
      <c r="L1343" s="73"/>
      <c r="M1343" s="73"/>
      <c r="N1343" s="74"/>
    </row>
    <row r="1344" ht="30.0" hidden="1" customHeight="1">
      <c r="A1344" s="68">
        <v>1355.0</v>
      </c>
      <c r="B1344" s="68"/>
      <c r="C1344" s="68"/>
      <c r="D1344" s="69" t="str">
        <f>CONCATENATE(PROPER('DASMA INFO'!$G1344),", ",PROPER('DASMA INFO'!$E1344)," ",PROPER('DASMA INFO'!$F1344),"."," (",UPPER('DASMA INFO'!$H1344),")")</f>
        <v>Sieterales, Irene F. ()</v>
      </c>
      <c r="E1344" s="70" t="s">
        <v>46</v>
      </c>
      <c r="F1344" s="70" t="s">
        <v>1738</v>
      </c>
      <c r="G1344" s="70" t="s">
        <v>2578</v>
      </c>
      <c r="H1344" s="69"/>
      <c r="I1344" s="105">
        <v>0.12</v>
      </c>
      <c r="J1344" s="106">
        <v>1000.0</v>
      </c>
      <c r="K1344" s="73"/>
      <c r="L1344" s="73"/>
      <c r="M1344" s="73"/>
      <c r="N1344" s="74"/>
    </row>
    <row r="1345" ht="30.0" hidden="1" customHeight="1">
      <c r="A1345" s="68">
        <v>1356.0</v>
      </c>
      <c r="B1345" s="68"/>
      <c r="C1345" s="68"/>
      <c r="D1345" s="69" t="str">
        <f>CONCATENATE(PROPER('DASMA INFO'!$G1345),", ",PROPER('DASMA INFO'!$E1345)," ",PROPER('DASMA INFO'!$F1345),"."," (",UPPER('DASMA INFO'!$H1345),")")</f>
        <v>Valentin, Pepito D. ()</v>
      </c>
      <c r="E1345" s="70" t="s">
        <v>2579</v>
      </c>
      <c r="F1345" s="70" t="s">
        <v>1078</v>
      </c>
      <c r="G1345" s="70" t="s">
        <v>2580</v>
      </c>
      <c r="H1345" s="69"/>
      <c r="I1345" s="105">
        <v>0.12</v>
      </c>
      <c r="J1345" s="106">
        <v>1000.0</v>
      </c>
      <c r="K1345" s="73" t="s">
        <v>1475</v>
      </c>
      <c r="L1345" s="73"/>
      <c r="M1345" s="73"/>
      <c r="N1345" s="74"/>
    </row>
    <row r="1346" ht="30.0" hidden="1" customHeight="1">
      <c r="A1346" s="68">
        <v>1357.0</v>
      </c>
      <c r="B1346" s="68"/>
      <c r="C1346" s="68"/>
      <c r="D1346" s="69" t="str">
        <f>CONCATENATE(PROPER('DASMA INFO'!$G1346),", ",PROPER('DASMA INFO'!$E1346)," ",PROPER('DASMA INFO'!$F1346),"."," (",UPPER('DASMA INFO'!$H1346),")")</f>
        <v>,  . ()</v>
      </c>
      <c r="E1346" s="70"/>
      <c r="F1346" s="70"/>
      <c r="G1346" s="70"/>
      <c r="H1346" s="69"/>
      <c r="I1346" s="105">
        <v>0.12</v>
      </c>
      <c r="J1346" s="106">
        <v>1000.0</v>
      </c>
      <c r="K1346" s="73"/>
      <c r="L1346" s="73"/>
      <c r="M1346" s="73"/>
      <c r="N1346" s="74"/>
    </row>
    <row r="1347" ht="30.0" hidden="1" customHeight="1">
      <c r="A1347" s="68">
        <v>1358.0</v>
      </c>
      <c r="B1347" s="68"/>
      <c r="C1347" s="68"/>
      <c r="D1347" s="69" t="str">
        <f>CONCATENATE(PROPER('DASMA INFO'!$G1347),", ",PROPER('DASMA INFO'!$E1347)," ",PROPER('DASMA INFO'!$F1347),"."," (",UPPER('DASMA INFO'!$H1347),")")</f>
        <v>,  . ()</v>
      </c>
      <c r="E1347" s="70"/>
      <c r="F1347" s="70"/>
      <c r="G1347" s="70"/>
      <c r="H1347" s="69"/>
      <c r="I1347" s="105">
        <v>0.12</v>
      </c>
      <c r="J1347" s="106">
        <v>1000.0</v>
      </c>
      <c r="K1347" s="73"/>
      <c r="L1347" s="73"/>
      <c r="M1347" s="73"/>
      <c r="N1347" s="74"/>
    </row>
    <row r="1348" ht="30.0" hidden="1" customHeight="1">
      <c r="A1348" s="68">
        <v>1359.0</v>
      </c>
      <c r="B1348" s="68"/>
      <c r="C1348" s="68"/>
      <c r="D1348" s="69" t="str">
        <f>CONCATENATE(PROPER('DASMA INFO'!$G1348),", ",PROPER('DASMA INFO'!$E1348)," ",PROPER('DASMA INFO'!$F1348),"."," (",UPPER('DASMA INFO'!$H1348),")")</f>
        <v>,  . ()</v>
      </c>
      <c r="E1348" s="70"/>
      <c r="F1348" s="70"/>
      <c r="G1348" s="70"/>
      <c r="H1348" s="69"/>
      <c r="I1348" s="105">
        <v>0.12</v>
      </c>
      <c r="J1348" s="106">
        <v>1000.0</v>
      </c>
      <c r="K1348" s="73"/>
      <c r="L1348" s="73"/>
      <c r="M1348" s="73"/>
      <c r="N1348" s="74"/>
    </row>
    <row r="1349" ht="30.0" hidden="1" customHeight="1">
      <c r="A1349" s="68">
        <v>1360.0</v>
      </c>
      <c r="B1349" s="68"/>
      <c r="C1349" s="68"/>
      <c r="D1349" s="69" t="str">
        <f>CONCATENATE(PROPER('DASMA INFO'!$G1349),", ",PROPER('DASMA INFO'!$E1349)," ",PROPER('DASMA INFO'!$F1349),"."," (",UPPER('DASMA INFO'!$H1349),")")</f>
        <v>Carampot, Ma Rizalyn M. ()</v>
      </c>
      <c r="E1349" s="70" t="s">
        <v>2581</v>
      </c>
      <c r="F1349" s="70" t="s">
        <v>587</v>
      </c>
      <c r="G1349" s="70" t="s">
        <v>2582</v>
      </c>
      <c r="H1349" s="69"/>
      <c r="I1349" s="105">
        <v>0.12</v>
      </c>
      <c r="J1349" s="106">
        <v>1000.0</v>
      </c>
      <c r="K1349" s="73" t="s">
        <v>1475</v>
      </c>
      <c r="L1349" s="73"/>
      <c r="M1349" s="73"/>
      <c r="N1349" s="74"/>
    </row>
    <row r="1350" ht="30.0" hidden="1" customHeight="1">
      <c r="A1350" s="68">
        <v>1361.0</v>
      </c>
      <c r="B1350" s="68"/>
      <c r="C1350" s="68"/>
      <c r="D1350" s="69" t="str">
        <f>CONCATENATE(PROPER('DASMA INFO'!$G1350),", ",PROPER('DASMA INFO'!$E1350)," ",PROPER('DASMA INFO'!$F1350),"."," (",UPPER('DASMA INFO'!$H1350),")")</f>
        <v>Verame, Oliver M. ()</v>
      </c>
      <c r="E1350" s="70" t="s">
        <v>349</v>
      </c>
      <c r="F1350" s="70" t="s">
        <v>587</v>
      </c>
      <c r="G1350" s="70" t="s">
        <v>2169</v>
      </c>
      <c r="H1350" s="69"/>
      <c r="I1350" s="92">
        <v>0.05</v>
      </c>
      <c r="J1350" s="93">
        <v>1000.0</v>
      </c>
      <c r="K1350" s="73" t="s">
        <v>2103</v>
      </c>
      <c r="L1350" s="73"/>
      <c r="M1350" s="73"/>
      <c r="N1350" s="74"/>
    </row>
    <row r="1351" ht="30.0" hidden="1" customHeight="1">
      <c r="A1351" s="68">
        <v>1363.0</v>
      </c>
      <c r="B1351" s="68"/>
      <c r="C1351" s="68"/>
      <c r="D1351" s="69" t="str">
        <f>CONCATENATE(PROPER('DASMA INFO'!$G1351),", ",PROPER('DASMA INFO'!$E1351)," ",PROPER('DASMA INFO'!$F1351),"."," (",UPPER('DASMA INFO'!$H1351),")")</f>
        <v>Dela Pena, Ramiro C. ()</v>
      </c>
      <c r="E1351" s="70" t="s">
        <v>2583</v>
      </c>
      <c r="F1351" s="70" t="s">
        <v>318</v>
      </c>
      <c r="G1351" s="70" t="s">
        <v>1622</v>
      </c>
      <c r="H1351" s="70"/>
      <c r="I1351" s="105">
        <v>0.12</v>
      </c>
      <c r="J1351" s="106">
        <v>1000.0</v>
      </c>
      <c r="K1351" s="73" t="s">
        <v>2584</v>
      </c>
      <c r="L1351" s="73"/>
      <c r="M1351" s="73"/>
      <c r="N1351" s="74"/>
    </row>
    <row r="1352" ht="30.0" hidden="1" customHeight="1">
      <c r="A1352" s="68">
        <v>1364.0</v>
      </c>
      <c r="B1352" s="68"/>
      <c r="C1352" s="68"/>
      <c r="D1352" s="69" t="str">
        <f>CONCATENATE(PROPER('DASMA INFO'!$G1352),", ",PROPER('DASMA INFO'!$E1352)," ",PROPER('DASMA INFO'!$F1352),"."," (",UPPER('DASMA INFO'!$H1352),")")</f>
        <v>Dilag/Alan, Regalado I. ()</v>
      </c>
      <c r="E1352" s="70" t="s">
        <v>1370</v>
      </c>
      <c r="F1352" s="70" t="s">
        <v>767</v>
      </c>
      <c r="G1352" s="70" t="s">
        <v>2585</v>
      </c>
      <c r="H1352" s="70"/>
      <c r="I1352" s="92">
        <v>0.05</v>
      </c>
      <c r="J1352" s="93">
        <v>1000.0</v>
      </c>
      <c r="K1352" s="73" t="s">
        <v>2586</v>
      </c>
      <c r="L1352" s="73"/>
      <c r="M1352" s="73"/>
      <c r="N1352" s="74"/>
    </row>
    <row r="1353" ht="30.0" hidden="1" customHeight="1">
      <c r="A1353" s="68">
        <v>1368.0</v>
      </c>
      <c r="B1353" s="68"/>
      <c r="C1353" s="68"/>
      <c r="D1353" s="69" t="str">
        <f>CONCATENATE(PROPER('DASMA INFO'!$G1353),", ",PROPER('DASMA INFO'!$E1353)," ",PROPER('DASMA INFO'!$F1353),"."," (",UPPER('DASMA INFO'!$H1353),")")</f>
        <v>Balberde, Editha C. ()</v>
      </c>
      <c r="E1353" s="70" t="s">
        <v>402</v>
      </c>
      <c r="F1353" s="70" t="s">
        <v>318</v>
      </c>
      <c r="G1353" s="70" t="s">
        <v>2587</v>
      </c>
      <c r="H1353" s="69"/>
      <c r="I1353" s="92">
        <v>0.05</v>
      </c>
      <c r="J1353" s="93">
        <v>1000.0</v>
      </c>
      <c r="K1353" s="73" t="s">
        <v>50</v>
      </c>
      <c r="L1353" s="73"/>
      <c r="M1353" s="73"/>
      <c r="N1353" s="74"/>
    </row>
    <row r="1354" ht="30.0" hidden="1" customHeight="1">
      <c r="A1354" s="68">
        <v>1369.0</v>
      </c>
      <c r="B1354" s="68"/>
      <c r="C1354" s="68"/>
      <c r="D1354" s="69" t="str">
        <f>CONCATENATE(PROPER('DASMA INFO'!$G1354),", ",PROPER('DASMA INFO'!$E1354)," ",PROPER('DASMA INFO'!$F1354),"."," (",UPPER('DASMA INFO'!$H1354),")")</f>
        <v>Bertulfo, Sylvia P. ()</v>
      </c>
      <c r="E1354" s="70" t="s">
        <v>2588</v>
      </c>
      <c r="F1354" s="70" t="s">
        <v>513</v>
      </c>
      <c r="G1354" s="70" t="s">
        <v>2589</v>
      </c>
      <c r="H1354" s="69"/>
      <c r="I1354" s="105">
        <v>0.12</v>
      </c>
      <c r="J1354" s="106">
        <v>1000.0</v>
      </c>
      <c r="K1354" s="73" t="s">
        <v>2590</v>
      </c>
      <c r="L1354" s="73"/>
      <c r="M1354" s="73"/>
      <c r="N1354" s="74"/>
    </row>
    <row r="1355" ht="30.0" hidden="1" customHeight="1">
      <c r="A1355" s="68">
        <v>1370.0</v>
      </c>
      <c r="B1355" s="68"/>
      <c r="C1355" s="68"/>
      <c r="D1355" s="69" t="str">
        <f>CONCATENATE(PROPER('DASMA INFO'!$G1355),", ",PROPER('DASMA INFO'!$E1355)," ",PROPER('DASMA INFO'!$F1355),"."," (",UPPER('DASMA INFO'!$H1355),")")</f>
        <v>Cabugao, Vera C. ()</v>
      </c>
      <c r="E1355" s="70" t="s">
        <v>2591</v>
      </c>
      <c r="F1355" s="70" t="s">
        <v>318</v>
      </c>
      <c r="G1355" s="70" t="s">
        <v>185</v>
      </c>
      <c r="H1355" s="69"/>
      <c r="I1355" s="105">
        <v>0.12</v>
      </c>
      <c r="J1355" s="106">
        <v>1000.0</v>
      </c>
      <c r="K1355" s="73" t="s">
        <v>1131</v>
      </c>
      <c r="L1355" s="73"/>
      <c r="M1355" s="73"/>
      <c r="N1355" s="74"/>
    </row>
    <row r="1356" ht="30.0" hidden="1" customHeight="1">
      <c r="A1356" s="68">
        <v>1371.0</v>
      </c>
      <c r="B1356" s="68"/>
      <c r="C1356" s="68"/>
      <c r="D1356" s="69" t="str">
        <f>CONCATENATE(PROPER('DASMA INFO'!$G1356),", ",PROPER('DASMA INFO'!$E1356)," ",PROPER('DASMA INFO'!$F1356),"."," (",UPPER('DASMA INFO'!$H1356),")")</f>
        <v>Bulaong, Joselito P. ()</v>
      </c>
      <c r="E1356" s="70" t="s">
        <v>315</v>
      </c>
      <c r="F1356" s="70" t="s">
        <v>513</v>
      </c>
      <c r="G1356" s="70" t="s">
        <v>420</v>
      </c>
      <c r="H1356" s="69"/>
      <c r="I1356" s="105">
        <v>0.12</v>
      </c>
      <c r="J1356" s="106">
        <v>1000.0</v>
      </c>
      <c r="K1356" s="73" t="s">
        <v>1053</v>
      </c>
      <c r="L1356" s="73"/>
      <c r="M1356" s="73"/>
      <c r="N1356" s="74"/>
    </row>
    <row r="1357" ht="30.0" hidden="1" customHeight="1">
      <c r="A1357" s="68">
        <v>1372.0</v>
      </c>
      <c r="B1357" s="68"/>
      <c r="C1357" s="68"/>
      <c r="D1357" s="69" t="str">
        <f>CONCATENATE(PROPER('DASMA INFO'!$G1357),", ",PROPER('DASMA INFO'!$E1357)," ",PROPER('DASMA INFO'!$F1357),"."," (",UPPER('DASMA INFO'!$H1357),")")</f>
        <v>Unsana, Ian Wilfred P. ()</v>
      </c>
      <c r="E1357" s="70" t="s">
        <v>2592</v>
      </c>
      <c r="F1357" s="70" t="s">
        <v>513</v>
      </c>
      <c r="G1357" s="70" t="s">
        <v>2593</v>
      </c>
      <c r="H1357" s="69"/>
      <c r="I1357" s="92">
        <v>0.05</v>
      </c>
      <c r="J1357" s="93">
        <v>1000.0</v>
      </c>
      <c r="K1357" s="73" t="s">
        <v>2594</v>
      </c>
      <c r="L1357" s="73"/>
      <c r="M1357" s="73"/>
      <c r="N1357" s="74"/>
    </row>
    <row r="1358" ht="30.0" hidden="1" customHeight="1">
      <c r="A1358" s="68">
        <v>1373.0</v>
      </c>
      <c r="B1358" s="68"/>
      <c r="C1358" s="68"/>
      <c r="D1358" s="69" t="str">
        <f>CONCATENATE(PROPER('DASMA INFO'!$G1358),", ",PROPER('DASMA INFO'!$E1358)," ",PROPER('DASMA INFO'!$F1358),"."," (",UPPER('DASMA INFO'!$H1358),")")</f>
        <v>Lauren, Emelita B. ()</v>
      </c>
      <c r="E1358" s="70" t="s">
        <v>2595</v>
      </c>
      <c r="F1358" s="70" t="s">
        <v>627</v>
      </c>
      <c r="G1358" s="70" t="s">
        <v>292</v>
      </c>
      <c r="H1358" s="69"/>
      <c r="I1358" s="105">
        <v>0.12</v>
      </c>
      <c r="J1358" s="106">
        <v>1000.0</v>
      </c>
      <c r="K1358" s="73" t="s">
        <v>963</v>
      </c>
      <c r="L1358" s="73"/>
      <c r="M1358" s="73"/>
      <c r="N1358" s="74"/>
    </row>
    <row r="1359" ht="30.0" hidden="1" customHeight="1">
      <c r="A1359" s="68">
        <v>1374.0</v>
      </c>
      <c r="B1359" s="68"/>
      <c r="C1359" s="68"/>
      <c r="D1359" s="69" t="str">
        <f>CONCATENATE(PROPER('DASMA INFO'!$G1359),", ",PROPER('DASMA INFO'!$E1359)," ",PROPER('DASMA INFO'!$F1359),"."," (",UPPER('DASMA INFO'!$H1359),")")</f>
        <v>Dadobo, Renato J. ()</v>
      </c>
      <c r="E1359" s="70" t="s">
        <v>201</v>
      </c>
      <c r="F1359" s="70" t="s">
        <v>613</v>
      </c>
      <c r="G1359" s="70" t="s">
        <v>2596</v>
      </c>
      <c r="H1359" s="69"/>
      <c r="I1359" s="105">
        <v>0.12</v>
      </c>
      <c r="J1359" s="106">
        <v>1000.0</v>
      </c>
      <c r="K1359" s="73" t="s">
        <v>1144</v>
      </c>
      <c r="L1359" s="73"/>
      <c r="M1359" s="73"/>
      <c r="N1359" s="74"/>
    </row>
    <row r="1360" ht="30.0" hidden="1" customHeight="1">
      <c r="A1360" s="68">
        <v>1375.0</v>
      </c>
      <c r="B1360" s="68"/>
      <c r="C1360" s="68"/>
      <c r="D1360" s="69" t="str">
        <f>CONCATENATE(PROPER('DASMA INFO'!$G1360),", ",PROPER('DASMA INFO'!$E1360)," ",PROPER('DASMA INFO'!$F1360),"."," (",UPPER('DASMA INFO'!$H1360),")")</f>
        <v>Mad, Jenny A. ()</v>
      </c>
      <c r="E1360" s="70" t="s">
        <v>540</v>
      </c>
      <c r="F1360" s="70" t="s">
        <v>427</v>
      </c>
      <c r="G1360" s="70" t="s">
        <v>2597</v>
      </c>
      <c r="H1360" s="69"/>
      <c r="I1360" s="92">
        <v>0.05</v>
      </c>
      <c r="J1360" s="93">
        <v>1000.0</v>
      </c>
      <c r="K1360" s="73" t="s">
        <v>2598</v>
      </c>
      <c r="L1360" s="73"/>
      <c r="M1360" s="73"/>
      <c r="N1360" s="74"/>
    </row>
    <row r="1361" ht="30.0" hidden="1" customHeight="1">
      <c r="A1361" s="68">
        <v>1376.0</v>
      </c>
      <c r="B1361" s="68"/>
      <c r="C1361" s="68"/>
      <c r="D1361" s="69" t="str">
        <f>CONCATENATE(PROPER('DASMA INFO'!$G1361),", ",PROPER('DASMA INFO'!$E1361)," ",PROPER('DASMA INFO'!$F1361),"."," (",UPPER('DASMA INFO'!$H1361),")")</f>
        <v>Obina, Angela Jhin R. ()</v>
      </c>
      <c r="E1361" s="70" t="s">
        <v>2521</v>
      </c>
      <c r="F1361" s="70" t="s">
        <v>260</v>
      </c>
      <c r="G1361" s="70" t="s">
        <v>2522</v>
      </c>
      <c r="H1361" s="69"/>
      <c r="I1361" s="105">
        <v>0.12</v>
      </c>
      <c r="J1361" s="106">
        <v>1000.0</v>
      </c>
      <c r="K1361" s="73" t="s">
        <v>2027</v>
      </c>
      <c r="L1361" s="73"/>
      <c r="M1361" s="73"/>
      <c r="N1361" s="74"/>
    </row>
    <row r="1362" ht="30.0" hidden="1" customHeight="1">
      <c r="A1362" s="68">
        <v>1377.0</v>
      </c>
      <c r="B1362" s="68"/>
      <c r="C1362" s="68"/>
      <c r="D1362" s="69" t="str">
        <f>CONCATENATE(PROPER('DASMA INFO'!$G1362),", ",PROPER('DASMA INFO'!$E1362)," ",PROPER('DASMA INFO'!$F1362),"."," (",UPPER('DASMA INFO'!$H1362),")")</f>
        <v>Dipalac, Sherwin G. ()</v>
      </c>
      <c r="E1362" s="70" t="s">
        <v>1299</v>
      </c>
      <c r="F1362" s="70" t="s">
        <v>1032</v>
      </c>
      <c r="G1362" s="70" t="s">
        <v>1284</v>
      </c>
      <c r="H1362" s="69"/>
      <c r="I1362" s="105">
        <v>0.12</v>
      </c>
      <c r="J1362" s="106">
        <v>1000.0</v>
      </c>
      <c r="K1362" s="73" t="s">
        <v>2599</v>
      </c>
      <c r="L1362" s="73"/>
      <c r="M1362" s="73"/>
      <c r="N1362" s="74"/>
    </row>
    <row r="1363" ht="30.0" hidden="1" customHeight="1">
      <c r="A1363" s="68">
        <v>1378.0</v>
      </c>
      <c r="B1363" s="68"/>
      <c r="C1363" s="68"/>
      <c r="D1363" s="69" t="str">
        <f>CONCATENATE(PROPER('DASMA INFO'!$G1363),", ",PROPER('DASMA INFO'!$E1363)," ",PROPER('DASMA INFO'!$F1363),"."," (",UPPER('DASMA INFO'!$H1363),")")</f>
        <v>Balaoro, Valeriana A. ()</v>
      </c>
      <c r="E1363" s="70" t="s">
        <v>2600</v>
      </c>
      <c r="F1363" s="70" t="s">
        <v>427</v>
      </c>
      <c r="G1363" s="70" t="s">
        <v>2601</v>
      </c>
      <c r="H1363" s="69"/>
      <c r="I1363" s="105">
        <v>0.12</v>
      </c>
      <c r="J1363" s="106">
        <v>1000.0</v>
      </c>
      <c r="K1363" s="73" t="s">
        <v>2602</v>
      </c>
      <c r="L1363" s="73"/>
      <c r="M1363" s="73"/>
      <c r="N1363" s="74"/>
    </row>
    <row r="1364" ht="30.0" hidden="1" customHeight="1">
      <c r="A1364" s="68">
        <v>1379.0</v>
      </c>
      <c r="B1364" s="68"/>
      <c r="C1364" s="68"/>
      <c r="D1364" s="69" t="str">
        <f>CONCATENATE(PROPER('DASMA INFO'!$G1364),", ",PROPER('DASMA INFO'!$E1364)," ",PROPER('DASMA INFO'!$F1364),"."," (",UPPER('DASMA INFO'!$H1364),")")</f>
        <v>Buising, Alex L. ()</v>
      </c>
      <c r="E1364" s="70" t="s">
        <v>82</v>
      </c>
      <c r="F1364" s="70" t="s">
        <v>648</v>
      </c>
      <c r="G1364" s="70" t="s">
        <v>2566</v>
      </c>
      <c r="H1364" s="69"/>
      <c r="I1364" s="105">
        <v>0.12</v>
      </c>
      <c r="J1364" s="106">
        <v>1000.0</v>
      </c>
      <c r="K1364" s="73" t="s">
        <v>1475</v>
      </c>
      <c r="L1364" s="73"/>
      <c r="M1364" s="73"/>
      <c r="N1364" s="74"/>
    </row>
    <row r="1365" ht="30.0" hidden="1" customHeight="1">
      <c r="A1365" s="68">
        <v>1380.0</v>
      </c>
      <c r="B1365" s="68"/>
      <c r="C1365" s="68"/>
      <c r="D1365" s="69" t="str">
        <f>CONCATENATE(PROPER('DASMA INFO'!$G1365),", ",PROPER('DASMA INFO'!$E1365)," ",PROPER('DASMA INFO'!$F1365),"."," (",UPPER('DASMA INFO'!$H1365),")")</f>
        <v>De Cerda, Kevin Leonardo . ()</v>
      </c>
      <c r="E1365" s="70" t="s">
        <v>2603</v>
      </c>
      <c r="F1365" s="70"/>
      <c r="G1365" s="70" t="s">
        <v>2604</v>
      </c>
      <c r="H1365" s="70"/>
      <c r="I1365" s="92">
        <v>0.05</v>
      </c>
      <c r="J1365" s="93">
        <v>1000.0</v>
      </c>
      <c r="K1365" s="73" t="s">
        <v>2605</v>
      </c>
      <c r="L1365" s="73"/>
      <c r="M1365" s="73"/>
      <c r="N1365" s="74"/>
    </row>
    <row r="1366" ht="30.0" hidden="1" customHeight="1">
      <c r="A1366" s="68">
        <v>1381.0</v>
      </c>
      <c r="B1366" s="68"/>
      <c r="C1366" s="68"/>
      <c r="D1366" s="69" t="str">
        <f>CONCATENATE(PROPER('DASMA INFO'!$G1366),", ",PROPER('DASMA INFO'!$E1366)," ",PROPER('DASMA INFO'!$F1366),"."," (",UPPER('DASMA INFO'!$H1366),")")</f>
        <v>Arigola, Fernan . ()</v>
      </c>
      <c r="E1366" s="70" t="s">
        <v>301</v>
      </c>
      <c r="F1366" s="70"/>
      <c r="G1366" s="69" t="s">
        <v>2606</v>
      </c>
      <c r="H1366" s="69"/>
      <c r="I1366" s="105">
        <v>0.12</v>
      </c>
      <c r="J1366" s="106">
        <v>1000.0</v>
      </c>
      <c r="K1366" s="73" t="s">
        <v>1144</v>
      </c>
      <c r="L1366" s="73"/>
      <c r="M1366" s="73"/>
      <c r="N1366" s="74"/>
    </row>
    <row r="1367" ht="30.0" hidden="1" customHeight="1">
      <c r="A1367" s="68">
        <v>1382.0</v>
      </c>
      <c r="B1367" s="68"/>
      <c r="C1367" s="68"/>
      <c r="D1367" s="69" t="str">
        <f>CONCATENATE(PROPER('DASMA INFO'!$G1367),", ",PROPER('DASMA INFO'!$E1367)," ",PROPER('DASMA INFO'!$F1367),"."," (",UPPER('DASMA INFO'!$H1367),")")</f>
        <v>Labrador, Bernie O. ()</v>
      </c>
      <c r="E1367" s="70" t="s">
        <v>1463</v>
      </c>
      <c r="F1367" s="70" t="s">
        <v>634</v>
      </c>
      <c r="G1367" s="70" t="s">
        <v>2089</v>
      </c>
      <c r="H1367" s="69"/>
      <c r="I1367" s="105">
        <v>0.12</v>
      </c>
      <c r="J1367" s="106">
        <v>1000.0</v>
      </c>
      <c r="K1367" s="73" t="s">
        <v>1053</v>
      </c>
      <c r="L1367" s="73"/>
      <c r="M1367" s="73"/>
      <c r="N1367" s="74"/>
    </row>
    <row r="1368" ht="30.0" hidden="1" customHeight="1">
      <c r="A1368" s="68">
        <v>1383.0</v>
      </c>
      <c r="B1368" s="68"/>
      <c r="C1368" s="68"/>
      <c r="D1368" s="69" t="str">
        <f>CONCATENATE(PROPER('DASMA INFO'!$G1368),", ",PROPER('DASMA INFO'!$E1368)," ",PROPER('DASMA INFO'!$F1368),"."," (",UPPER('DASMA INFO'!$H1368),")")</f>
        <v>Alcuran, Lexter Jay M. ()</v>
      </c>
      <c r="E1368" s="70" t="s">
        <v>2607</v>
      </c>
      <c r="F1368" s="70" t="s">
        <v>587</v>
      </c>
      <c r="G1368" s="70" t="s">
        <v>244</v>
      </c>
      <c r="H1368" s="69"/>
      <c r="I1368" s="105">
        <v>0.12</v>
      </c>
      <c r="J1368" s="106">
        <v>1000.0</v>
      </c>
      <c r="K1368" s="73" t="s">
        <v>2608</v>
      </c>
      <c r="L1368" s="73"/>
      <c r="M1368" s="73"/>
      <c r="N1368" s="74"/>
    </row>
    <row r="1369" ht="30.0" hidden="1" customHeight="1">
      <c r="A1369" s="68">
        <v>1384.0</v>
      </c>
      <c r="B1369" s="68"/>
      <c r="C1369" s="68"/>
      <c r="D1369" s="69" t="str">
        <f>CONCATENATE(PROPER('DASMA INFO'!$G1369),", ",PROPER('DASMA INFO'!$E1369)," ",PROPER('DASMA INFO'!$F1369),"."," (",UPPER('DASMA INFO'!$H1369),")")</f>
        <v>,  . ()</v>
      </c>
      <c r="E1369" s="70"/>
      <c r="F1369" s="70"/>
      <c r="G1369" s="70"/>
      <c r="H1369" s="69"/>
      <c r="I1369" s="105">
        <v>0.12</v>
      </c>
      <c r="J1369" s="106">
        <v>1000.0</v>
      </c>
      <c r="K1369" s="73"/>
      <c r="L1369" s="73"/>
      <c r="M1369" s="73"/>
      <c r="N1369" s="74"/>
    </row>
    <row r="1370" ht="30.0" hidden="1" customHeight="1">
      <c r="A1370" s="68">
        <v>1385.0</v>
      </c>
      <c r="B1370" s="68"/>
      <c r="C1370" s="68"/>
      <c r="D1370" s="69" t="str">
        <f>CONCATENATE(PROPER('DASMA INFO'!$G1370),", ",PROPER('DASMA INFO'!$E1370)," ",PROPER('DASMA INFO'!$F1370),"."," (",UPPER('DASMA INFO'!$H1370),")")</f>
        <v>Judge, Nina Jewels P. ()</v>
      </c>
      <c r="E1370" s="70" t="s">
        <v>2609</v>
      </c>
      <c r="F1370" s="70" t="s">
        <v>513</v>
      </c>
      <c r="G1370" s="70" t="s">
        <v>2610</v>
      </c>
      <c r="H1370" s="69"/>
      <c r="I1370" s="105">
        <v>0.12</v>
      </c>
      <c r="J1370" s="106">
        <v>1000.0</v>
      </c>
      <c r="K1370" s="73" t="s">
        <v>2611</v>
      </c>
      <c r="L1370" s="73"/>
      <c r="M1370" s="73"/>
      <c r="N1370" s="74"/>
    </row>
    <row r="1371" ht="30.0" hidden="1" customHeight="1">
      <c r="A1371" s="68">
        <v>1386.0</v>
      </c>
      <c r="B1371" s="68"/>
      <c r="C1371" s="68"/>
      <c r="D1371" s="69" t="str">
        <f>CONCATENATE(PROPER('DASMA INFO'!$G1371),", ",PROPER('DASMA INFO'!$E1371)," ",PROPER('DASMA INFO'!$F1371),"."," (",UPPER('DASMA INFO'!$H1371),")")</f>
        <v>Delfino, Ma Goyena A. ()</v>
      </c>
      <c r="E1371" s="70" t="s">
        <v>2612</v>
      </c>
      <c r="F1371" s="70" t="s">
        <v>427</v>
      </c>
      <c r="G1371" s="70" t="s">
        <v>2613</v>
      </c>
      <c r="H1371" s="69"/>
      <c r="I1371" s="105">
        <v>0.12</v>
      </c>
      <c r="J1371" s="106">
        <v>1000.0</v>
      </c>
      <c r="K1371" s="73"/>
      <c r="L1371" s="73"/>
      <c r="M1371" s="73"/>
      <c r="N1371" s="74"/>
    </row>
    <row r="1372" ht="30.0" hidden="1" customHeight="1">
      <c r="A1372" s="68">
        <v>1387.0</v>
      </c>
      <c r="B1372" s="68"/>
      <c r="C1372" s="68"/>
      <c r="D1372" s="69" t="str">
        <f>CONCATENATE(PROPER('DASMA INFO'!$G1372),", ",PROPER('DASMA INFO'!$E1372)," ",PROPER('DASMA INFO'!$F1372),"."," (",UPPER('DASMA INFO'!$H1372),")")</f>
        <v>Pedro, Nolasco F. ()</v>
      </c>
      <c r="E1372" s="70" t="s">
        <v>2614</v>
      </c>
      <c r="F1372" s="70" t="s">
        <v>1738</v>
      </c>
      <c r="G1372" s="70" t="s">
        <v>2615</v>
      </c>
      <c r="H1372" s="69"/>
      <c r="I1372" s="105">
        <v>0.12</v>
      </c>
      <c r="J1372" s="106">
        <v>1000.0</v>
      </c>
      <c r="K1372" s="73" t="s">
        <v>1131</v>
      </c>
      <c r="L1372" s="73"/>
      <c r="M1372" s="73"/>
      <c r="N1372" s="74"/>
    </row>
    <row r="1373" ht="30.0" hidden="1" customHeight="1">
      <c r="A1373" s="68">
        <v>1388.0</v>
      </c>
      <c r="B1373" s="68"/>
      <c r="C1373" s="68"/>
      <c r="D1373" s="69" t="str">
        <f>CONCATENATE(PROPER('DASMA INFO'!$G1373),", ",PROPER('DASMA INFO'!$E1373)," ",PROPER('DASMA INFO'!$F1373),"."," (",UPPER('DASMA INFO'!$H1373),")")</f>
        <v>Del, Julia Noemi P. ()</v>
      </c>
      <c r="E1373" s="70" t="s">
        <v>2616</v>
      </c>
      <c r="F1373" s="70" t="s">
        <v>513</v>
      </c>
      <c r="G1373" s="70" t="s">
        <v>2617</v>
      </c>
      <c r="H1373" s="69"/>
      <c r="I1373" s="105">
        <v>0.12</v>
      </c>
      <c r="J1373" s="106">
        <v>1000.0</v>
      </c>
      <c r="K1373" s="73" t="s">
        <v>1351</v>
      </c>
      <c r="L1373" s="73"/>
      <c r="M1373" s="73"/>
      <c r="N1373" s="74"/>
    </row>
    <row r="1374" ht="30.0" hidden="1" customHeight="1">
      <c r="A1374" s="68">
        <v>1390.0</v>
      </c>
      <c r="B1374" s="68"/>
      <c r="C1374" s="68"/>
      <c r="D1374" s="69" t="str">
        <f>CONCATENATE(PROPER('DASMA INFO'!$G1374),", ",PROPER('DASMA INFO'!$E1374)," ",PROPER('DASMA INFO'!$F1374),"."," (",UPPER('DASMA INFO'!$H1374),")")</f>
        <v>Caraan, Julia Noemi D. ()</v>
      </c>
      <c r="E1374" s="70" t="s">
        <v>2616</v>
      </c>
      <c r="F1374" s="70" t="s">
        <v>1078</v>
      </c>
      <c r="G1374" s="70" t="s">
        <v>2618</v>
      </c>
      <c r="H1374" s="69"/>
      <c r="I1374" s="105">
        <v>0.12</v>
      </c>
      <c r="J1374" s="106">
        <v>1000.0</v>
      </c>
      <c r="K1374" s="73" t="s">
        <v>2619</v>
      </c>
      <c r="L1374" s="73"/>
      <c r="M1374" s="73"/>
      <c r="N1374" s="74"/>
    </row>
    <row r="1375" ht="30.0" hidden="1" customHeight="1">
      <c r="A1375" s="68">
        <v>1391.0</v>
      </c>
      <c r="B1375" s="68"/>
      <c r="C1375" s="68"/>
      <c r="D1375" s="69" t="str">
        <f>CONCATENATE(PROPER('DASMA INFO'!$G1375),", ",PROPER('DASMA INFO'!$E1375)," ",PROPER('DASMA INFO'!$F1375),"."," (",UPPER('DASMA INFO'!$H1375),")")</f>
        <v>Pawig, Cherry N. ()</v>
      </c>
      <c r="E1375" s="70" t="s">
        <v>2620</v>
      </c>
      <c r="F1375" s="70" t="s">
        <v>1154</v>
      </c>
      <c r="G1375" s="70" t="s">
        <v>2621</v>
      </c>
      <c r="H1375" s="69"/>
      <c r="I1375" s="92">
        <v>0.05</v>
      </c>
      <c r="J1375" s="93">
        <v>1000.0</v>
      </c>
      <c r="K1375" s="73" t="s">
        <v>1555</v>
      </c>
      <c r="L1375" s="73"/>
      <c r="M1375" s="73"/>
      <c r="N1375" s="74"/>
    </row>
    <row r="1376" ht="30.0" hidden="1" customHeight="1">
      <c r="A1376" s="68">
        <v>1392.0</v>
      </c>
      <c r="B1376" s="68"/>
      <c r="C1376" s="68"/>
      <c r="D1376" s="69" t="str">
        <f>CONCATENATE(PROPER('DASMA INFO'!$G1376),", ",PROPER('DASMA INFO'!$E1376)," ",PROPER('DASMA INFO'!$F1376),"."," (",UPPER('DASMA INFO'!$H1376),")")</f>
        <v>Ocoma, John Henry S. ()</v>
      </c>
      <c r="E1376" s="70" t="s">
        <v>241</v>
      </c>
      <c r="F1376" s="70" t="s">
        <v>342</v>
      </c>
      <c r="G1376" s="70" t="s">
        <v>242</v>
      </c>
      <c r="H1376" s="69"/>
      <c r="I1376" s="92">
        <v>0.05</v>
      </c>
      <c r="J1376" s="93">
        <v>1000.0</v>
      </c>
      <c r="K1376" s="73" t="s">
        <v>2622</v>
      </c>
      <c r="L1376" s="73"/>
      <c r="M1376" s="73"/>
      <c r="N1376" s="74"/>
    </row>
    <row r="1377" ht="30.0" hidden="1" customHeight="1">
      <c r="A1377" s="68">
        <v>1393.0</v>
      </c>
      <c r="B1377" s="68"/>
      <c r="C1377" s="68"/>
      <c r="D1377" s="69" t="str">
        <f>CONCATENATE(PROPER('DASMA INFO'!$G1377),", ",PROPER('DASMA INFO'!$E1377)," ",PROPER('DASMA INFO'!$F1377),"."," (",UPPER('DASMA INFO'!$H1377),")")</f>
        <v>Lingon, John Robert E. ()</v>
      </c>
      <c r="E1377" s="70" t="s">
        <v>2623</v>
      </c>
      <c r="F1377" s="70" t="s">
        <v>299</v>
      </c>
      <c r="G1377" s="70" t="s">
        <v>2624</v>
      </c>
      <c r="H1377" s="69"/>
      <c r="I1377" s="92">
        <v>0.05</v>
      </c>
      <c r="J1377" s="93">
        <v>1000.0</v>
      </c>
      <c r="K1377" s="73" t="s">
        <v>2625</v>
      </c>
      <c r="L1377" s="73"/>
      <c r="M1377" s="73"/>
      <c r="N1377" s="74"/>
    </row>
    <row r="1378" ht="30.0" hidden="1" customHeight="1">
      <c r="A1378" s="68">
        <v>1394.0</v>
      </c>
      <c r="B1378" s="68"/>
      <c r="C1378" s="68"/>
      <c r="D1378" s="69" t="str">
        <f>CONCATENATE(PROPER('DASMA INFO'!$G1378),", ",PROPER('DASMA INFO'!$E1378)," ",PROPER('DASMA INFO'!$F1378),"."," (",UPPER('DASMA INFO'!$H1378),")")</f>
        <v>Santiago, Mylen F. ()</v>
      </c>
      <c r="E1378" s="70" t="s">
        <v>2626</v>
      </c>
      <c r="F1378" s="70" t="s">
        <v>1738</v>
      </c>
      <c r="G1378" s="70" t="s">
        <v>948</v>
      </c>
      <c r="H1378" s="69"/>
      <c r="I1378" s="105">
        <v>0.12</v>
      </c>
      <c r="J1378" s="106">
        <v>1000.0</v>
      </c>
      <c r="K1378" s="73" t="s">
        <v>2627</v>
      </c>
      <c r="L1378" s="73"/>
      <c r="M1378" s="73"/>
      <c r="N1378" s="74"/>
    </row>
    <row r="1379" ht="30.0" hidden="1" customHeight="1">
      <c r="A1379" s="68">
        <v>1395.0</v>
      </c>
      <c r="B1379" s="68"/>
      <c r="C1379" s="68"/>
      <c r="D1379" s="69" t="str">
        <f>CONCATENATE(PROPER('DASMA INFO'!$G1379),", ",PROPER('DASMA INFO'!$E1379)," ",PROPER('DASMA INFO'!$F1379),"."," (",UPPER('DASMA INFO'!$H1379),")")</f>
        <v>Dy, Antonio R. (JR)</v>
      </c>
      <c r="E1379" s="70" t="s">
        <v>76</v>
      </c>
      <c r="F1379" s="70" t="s">
        <v>260</v>
      </c>
      <c r="G1379" s="70" t="s">
        <v>1199</v>
      </c>
      <c r="H1379" s="70" t="s">
        <v>629</v>
      </c>
      <c r="I1379" s="105">
        <v>0.12</v>
      </c>
      <c r="J1379" s="106">
        <v>1000.0</v>
      </c>
      <c r="K1379" s="73" t="s">
        <v>2561</v>
      </c>
      <c r="L1379" s="73"/>
      <c r="M1379" s="73"/>
      <c r="N1379" s="74"/>
    </row>
    <row r="1380" ht="30.0" hidden="1" customHeight="1">
      <c r="A1380" s="68">
        <v>1396.0</v>
      </c>
      <c r="B1380" s="68"/>
      <c r="C1380" s="68"/>
      <c r="D1380" s="69" t="str">
        <f>CONCATENATE(PROPER('DASMA INFO'!$G1380),", ",PROPER('DASMA INFO'!$E1380)," ",PROPER('DASMA INFO'!$F1380),"."," (",UPPER('DASMA INFO'!$H1380),")")</f>
        <v>Ocop, Maria Josefa R. ()</v>
      </c>
      <c r="E1380" s="70" t="s">
        <v>2628</v>
      </c>
      <c r="F1380" s="70" t="s">
        <v>260</v>
      </c>
      <c r="G1380" s="70" t="s">
        <v>2629</v>
      </c>
      <c r="H1380" s="69"/>
      <c r="I1380" s="105">
        <v>0.12</v>
      </c>
      <c r="J1380" s="106">
        <v>1000.0</v>
      </c>
      <c r="K1380" s="73" t="s">
        <v>2517</v>
      </c>
      <c r="L1380" s="73"/>
      <c r="M1380" s="73"/>
      <c r="N1380" s="74"/>
    </row>
    <row r="1381" ht="30.0" hidden="1" customHeight="1">
      <c r="A1381" s="68">
        <v>1397.0</v>
      </c>
      <c r="B1381" s="68"/>
      <c r="C1381" s="68"/>
      <c r="D1381" s="69" t="str">
        <f>CONCATENATE(PROPER('DASMA INFO'!$G1381),", ",PROPER('DASMA INFO'!$E1381)," ",PROPER('DASMA INFO'!$F1381),"."," (",UPPER('DASMA INFO'!$H1381),")")</f>
        <v>Pawig, Sherwin V. ()</v>
      </c>
      <c r="E1381" s="70" t="s">
        <v>1299</v>
      </c>
      <c r="F1381" s="70" t="s">
        <v>620</v>
      </c>
      <c r="G1381" s="70" t="s">
        <v>2621</v>
      </c>
      <c r="H1381" s="69"/>
      <c r="I1381" s="92">
        <v>0.05</v>
      </c>
      <c r="J1381" s="93">
        <v>1000.0</v>
      </c>
      <c r="K1381" s="73" t="s">
        <v>2630</v>
      </c>
      <c r="L1381" s="73"/>
      <c r="M1381" s="73"/>
      <c r="N1381" s="74"/>
    </row>
    <row r="1382" ht="30.0" hidden="1" customHeight="1">
      <c r="A1382" s="68">
        <v>1398.0</v>
      </c>
      <c r="B1382" s="68"/>
      <c r="C1382" s="68"/>
      <c r="D1382" s="69" t="str">
        <f>CONCATENATE(PROPER('DASMA INFO'!$G1382),", ",PROPER('DASMA INFO'!$E1382)," ",PROPER('DASMA INFO'!$F1382),"."," (",UPPER('DASMA INFO'!$H1382),")")</f>
        <v>Rosal, Ana Maria L. ()</v>
      </c>
      <c r="E1382" s="70" t="s">
        <v>2631</v>
      </c>
      <c r="F1382" s="70" t="s">
        <v>648</v>
      </c>
      <c r="G1382" s="70" t="s">
        <v>71</v>
      </c>
      <c r="H1382" s="69"/>
      <c r="I1382" s="92">
        <v>0.05</v>
      </c>
      <c r="J1382" s="93">
        <v>1000.0</v>
      </c>
      <c r="K1382" s="73" t="s">
        <v>2437</v>
      </c>
      <c r="L1382" s="73"/>
      <c r="M1382" s="73"/>
      <c r="N1382" s="74"/>
    </row>
    <row r="1383" ht="30.0" hidden="1" customHeight="1">
      <c r="A1383" s="68">
        <v>1399.0</v>
      </c>
      <c r="B1383" s="68"/>
      <c r="C1383" s="68"/>
      <c r="D1383" s="69" t="str">
        <f>CONCATENATE(PROPER('DASMA INFO'!$G1383),", ",PROPER('DASMA INFO'!$E1383)," ",PROPER('DASMA INFO'!$F1383),"."," (",UPPER('DASMA INFO'!$H1383),")")</f>
        <v>Cruz, David J. ()</v>
      </c>
      <c r="E1383" s="70" t="s">
        <v>1840</v>
      </c>
      <c r="F1383" s="70" t="s">
        <v>613</v>
      </c>
      <c r="G1383" s="70" t="s">
        <v>676</v>
      </c>
      <c r="H1383" s="69"/>
      <c r="I1383" s="105">
        <v>0.12</v>
      </c>
      <c r="J1383" s="106">
        <v>1000.0</v>
      </c>
      <c r="K1383" s="73" t="s">
        <v>1748</v>
      </c>
      <c r="L1383" s="73"/>
      <c r="M1383" s="73"/>
      <c r="N1383" s="74"/>
    </row>
    <row r="1384" ht="30.0" hidden="1" customHeight="1">
      <c r="A1384" s="68">
        <v>1400.0</v>
      </c>
      <c r="B1384" s="68"/>
      <c r="C1384" s="68"/>
      <c r="D1384" s="69" t="str">
        <f>CONCATENATE(PROPER('DASMA INFO'!$G1384),", ",PROPER('DASMA INFO'!$E1384)," ",PROPER('DASMA INFO'!$F1384),"."," (",UPPER('DASMA INFO'!$H1384),")")</f>
        <v>Oliveros, Denis Lloyd V. ()</v>
      </c>
      <c r="E1384" s="70" t="s">
        <v>2632</v>
      </c>
      <c r="F1384" s="70" t="s">
        <v>620</v>
      </c>
      <c r="G1384" s="70" t="s">
        <v>541</v>
      </c>
      <c r="H1384" s="69"/>
      <c r="I1384" s="105">
        <v>0.12</v>
      </c>
      <c r="J1384" s="106">
        <v>1000.0</v>
      </c>
      <c r="K1384" s="73" t="s">
        <v>1017</v>
      </c>
      <c r="L1384" s="73"/>
      <c r="M1384" s="73"/>
      <c r="N1384" s="74"/>
    </row>
    <row r="1385" ht="30.0" hidden="1" customHeight="1">
      <c r="A1385" s="68">
        <v>1401.0</v>
      </c>
      <c r="B1385" s="68"/>
      <c r="C1385" s="68"/>
      <c r="D1385" s="69" t="str">
        <f>CONCATENATE(PROPER('DASMA INFO'!$G1385),", ",PROPER('DASMA INFO'!$E1385)," ",PROPER('DASMA INFO'!$F1385),"."," (",UPPER('DASMA INFO'!$H1385),")")</f>
        <v>Lalamonan, Joven A. ()</v>
      </c>
      <c r="E1385" s="70" t="s">
        <v>1653</v>
      </c>
      <c r="F1385" s="70" t="s">
        <v>427</v>
      </c>
      <c r="G1385" s="70" t="s">
        <v>2633</v>
      </c>
      <c r="H1385" s="69"/>
      <c r="I1385" s="105">
        <v>0.12</v>
      </c>
      <c r="J1385" s="106">
        <v>1000.0</v>
      </c>
      <c r="K1385" s="73" t="s">
        <v>1003</v>
      </c>
      <c r="L1385" s="73"/>
      <c r="M1385" s="73"/>
      <c r="N1385" s="74"/>
    </row>
    <row r="1386" ht="30.0" hidden="1" customHeight="1">
      <c r="A1386" s="68">
        <v>1402.0</v>
      </c>
      <c r="B1386" s="68"/>
      <c r="C1386" s="68"/>
      <c r="D1386" s="69" t="str">
        <f>CONCATENATE(PROPER('DASMA INFO'!$G1386),", ",PROPER('DASMA INFO'!$E1386)," ",PROPER('DASMA INFO'!$F1386),"."," (",UPPER('DASMA INFO'!$H1386),")")</f>
        <v>Ruiz, Ronald R. ()</v>
      </c>
      <c r="E1386" s="70" t="s">
        <v>573</v>
      </c>
      <c r="F1386" s="70" t="s">
        <v>260</v>
      </c>
      <c r="G1386" s="70" t="s">
        <v>300</v>
      </c>
      <c r="H1386" s="69"/>
      <c r="I1386" s="92">
        <v>0.05</v>
      </c>
      <c r="J1386" s="93">
        <v>1000.0</v>
      </c>
      <c r="K1386" s="73" t="s">
        <v>2634</v>
      </c>
      <c r="L1386" s="73"/>
      <c r="M1386" s="73"/>
      <c r="N1386" s="74"/>
    </row>
    <row r="1387" ht="30.0" hidden="1" customHeight="1">
      <c r="A1387" s="68">
        <v>1403.0</v>
      </c>
      <c r="B1387" s="68"/>
      <c r="C1387" s="68"/>
      <c r="D1387" s="69" t="str">
        <f>CONCATENATE(PROPER('DASMA INFO'!$G1387),", ",PROPER('DASMA INFO'!$E1387)," ",PROPER('DASMA INFO'!$F1387),"."," (",UPPER('DASMA INFO'!$H1387),")")</f>
        <v>Pitargue, Jennylyn A. ()</v>
      </c>
      <c r="E1387" s="70" t="s">
        <v>2635</v>
      </c>
      <c r="F1387" s="70" t="s">
        <v>427</v>
      </c>
      <c r="G1387" s="70" t="s">
        <v>2636</v>
      </c>
      <c r="H1387" s="69"/>
      <c r="I1387" s="105">
        <v>0.12</v>
      </c>
      <c r="J1387" s="106">
        <v>1000.0</v>
      </c>
      <c r="K1387" s="73" t="s">
        <v>1351</v>
      </c>
      <c r="L1387" s="73"/>
      <c r="M1387" s="73"/>
      <c r="N1387" s="74"/>
    </row>
    <row r="1388" ht="30.0" hidden="1" customHeight="1">
      <c r="A1388" s="68">
        <v>1404.0</v>
      </c>
      <c r="B1388" s="68"/>
      <c r="C1388" s="68"/>
      <c r="D1388" s="69" t="str">
        <f>CONCATENATE(PROPER('DASMA INFO'!$G1388),", ",PROPER('DASMA INFO'!$E1388)," ",PROPER('DASMA INFO'!$F1388),"."," (",UPPER('DASMA INFO'!$H1388),")")</f>
        <v>Cruz, Lino A. (JR)</v>
      </c>
      <c r="E1388" s="70" t="s">
        <v>369</v>
      </c>
      <c r="F1388" s="70" t="s">
        <v>427</v>
      </c>
      <c r="G1388" s="70" t="s">
        <v>676</v>
      </c>
      <c r="H1388" s="70" t="s">
        <v>629</v>
      </c>
      <c r="I1388" s="105">
        <v>0.12</v>
      </c>
      <c r="J1388" s="106">
        <v>1000.0</v>
      </c>
      <c r="K1388" s="73" t="s">
        <v>968</v>
      </c>
      <c r="L1388" s="73"/>
      <c r="M1388" s="73"/>
      <c r="N1388" s="74"/>
    </row>
    <row r="1389" ht="30.0" hidden="1" customHeight="1">
      <c r="A1389" s="68">
        <v>1405.0</v>
      </c>
      <c r="B1389" s="68"/>
      <c r="C1389" s="68"/>
      <c r="D1389" s="69" t="str">
        <f>CONCATENATE(PROPER('DASMA INFO'!$G1389),", ",PROPER('DASMA INFO'!$E1389)," ",PROPER('DASMA INFO'!$F1389),"."," (",UPPER('DASMA INFO'!$H1389),")")</f>
        <v>Timarao, Vicente G. ()</v>
      </c>
      <c r="E1389" s="70" t="s">
        <v>1490</v>
      </c>
      <c r="F1389" s="70" t="s">
        <v>1032</v>
      </c>
      <c r="G1389" s="70" t="s">
        <v>2637</v>
      </c>
      <c r="H1389" s="69"/>
      <c r="I1389" s="105">
        <v>0.12</v>
      </c>
      <c r="J1389" s="106">
        <v>1000.0</v>
      </c>
      <c r="K1389" s="73" t="s">
        <v>2423</v>
      </c>
      <c r="L1389" s="73"/>
      <c r="M1389" s="73"/>
      <c r="N1389" s="74"/>
    </row>
    <row r="1390" ht="30.0" hidden="1" customHeight="1">
      <c r="A1390" s="68">
        <v>1406.0</v>
      </c>
      <c r="B1390" s="68"/>
      <c r="C1390" s="68"/>
      <c r="D1390" s="69" t="str">
        <f>CONCATENATE(PROPER('DASMA INFO'!$G1390),", ",PROPER('DASMA INFO'!$E1390)," ",PROPER('DASMA INFO'!$F1390),"."," (",UPPER('DASMA INFO'!$H1390),")")</f>
        <v>Akim, Ferwin G. ()</v>
      </c>
      <c r="E1390" s="70" t="s">
        <v>2638</v>
      </c>
      <c r="F1390" s="70" t="s">
        <v>1032</v>
      </c>
      <c r="G1390" s="70" t="s">
        <v>2639</v>
      </c>
      <c r="H1390" s="69"/>
      <c r="I1390" s="105">
        <v>0.12</v>
      </c>
      <c r="J1390" s="106">
        <v>1000.0</v>
      </c>
      <c r="K1390" s="73" t="s">
        <v>1017</v>
      </c>
      <c r="L1390" s="73"/>
      <c r="M1390" s="73"/>
      <c r="N1390" s="74"/>
    </row>
    <row r="1391" ht="30.0" hidden="1" customHeight="1">
      <c r="A1391" s="68">
        <v>1407.0</v>
      </c>
      <c r="B1391" s="68"/>
      <c r="C1391" s="68"/>
      <c r="D1391" s="69" t="str">
        <f>CONCATENATE(PROPER('DASMA INFO'!$G1391),", ",PROPER('DASMA INFO'!$E1391)," ",PROPER('DASMA INFO'!$F1391),"."," (",UPPER('DASMA INFO'!$H1391),")")</f>
        <v>Padilla, Elizabeth D. ()</v>
      </c>
      <c r="E1391" s="70" t="s">
        <v>458</v>
      </c>
      <c r="F1391" s="70" t="s">
        <v>1078</v>
      </c>
      <c r="G1391" s="70" t="s">
        <v>1914</v>
      </c>
      <c r="H1391" s="69"/>
      <c r="I1391" s="105">
        <v>0.05</v>
      </c>
      <c r="J1391" s="106">
        <v>1000.0</v>
      </c>
      <c r="K1391" s="73" t="s">
        <v>2640</v>
      </c>
      <c r="L1391" s="73"/>
      <c r="M1391" s="73"/>
      <c r="N1391" s="74"/>
    </row>
    <row r="1392" ht="30.0" hidden="1" customHeight="1">
      <c r="A1392" s="68">
        <v>1408.0</v>
      </c>
      <c r="B1392" s="68"/>
      <c r="C1392" s="68"/>
      <c r="D1392" s="69" t="str">
        <f>CONCATENATE(PROPER('DASMA INFO'!$G1392),", ",PROPER('DASMA INFO'!$E1392)," ",PROPER('DASMA INFO'!$F1392),"."," (",UPPER('DASMA INFO'!$H1392),")")</f>
        <v>Bayog, Cecilia E. ()</v>
      </c>
      <c r="E1392" s="70" t="s">
        <v>306</v>
      </c>
      <c r="F1392" s="70" t="s">
        <v>299</v>
      </c>
      <c r="G1392" s="70" t="s">
        <v>2641</v>
      </c>
      <c r="H1392" s="69"/>
      <c r="I1392" s="105">
        <v>0.12</v>
      </c>
      <c r="J1392" s="106">
        <v>1000.0</v>
      </c>
      <c r="K1392" s="73" t="s">
        <v>960</v>
      </c>
      <c r="L1392" s="73"/>
      <c r="M1392" s="73"/>
      <c r="N1392" s="74"/>
    </row>
    <row r="1393" ht="30.0" hidden="1" customHeight="1">
      <c r="A1393" s="68">
        <v>1409.0</v>
      </c>
      <c r="B1393" s="68"/>
      <c r="C1393" s="68"/>
      <c r="D1393" s="69" t="str">
        <f>CONCATENATE(PROPER('DASMA INFO'!$G1393),", ",PROPER('DASMA INFO'!$E1393)," ",PROPER('DASMA INFO'!$F1393),"."," (",UPPER('DASMA INFO'!$H1393),")")</f>
        <v>Espineli, Ma Teresa C. ()</v>
      </c>
      <c r="E1393" s="70" t="s">
        <v>821</v>
      </c>
      <c r="F1393" s="70" t="s">
        <v>318</v>
      </c>
      <c r="G1393" s="70" t="s">
        <v>2401</v>
      </c>
      <c r="H1393" s="69"/>
      <c r="I1393" s="105">
        <v>0.12</v>
      </c>
      <c r="J1393" s="106">
        <v>1000.0</v>
      </c>
      <c r="K1393" s="73" t="s">
        <v>2642</v>
      </c>
      <c r="L1393" s="73"/>
      <c r="M1393" s="73"/>
      <c r="N1393" s="74"/>
    </row>
    <row r="1394" ht="30.0" hidden="1" customHeight="1">
      <c r="A1394" s="68">
        <v>1410.0</v>
      </c>
      <c r="B1394" s="68"/>
      <c r="C1394" s="68"/>
      <c r="D1394" s="69" t="str">
        <f>CONCATENATE(PROPER('DASMA INFO'!$G1394),", ",PROPER('DASMA INFO'!$E1394)," ",PROPER('DASMA INFO'!$F1394),"."," (",UPPER('DASMA INFO'!$H1394),")")</f>
        <v>Bayani, Raul A. ()</v>
      </c>
      <c r="E1394" s="70" t="s">
        <v>1452</v>
      </c>
      <c r="F1394" s="70" t="s">
        <v>427</v>
      </c>
      <c r="G1394" s="70" t="s">
        <v>1062</v>
      </c>
      <c r="H1394" s="69"/>
      <c r="I1394" s="105">
        <v>0.12</v>
      </c>
      <c r="J1394" s="106">
        <v>1000.0</v>
      </c>
      <c r="K1394" s="73" t="s">
        <v>1017</v>
      </c>
      <c r="L1394" s="73"/>
      <c r="M1394" s="73"/>
      <c r="N1394" s="74"/>
    </row>
    <row r="1395" ht="30.0" hidden="1" customHeight="1">
      <c r="A1395" s="68">
        <v>1411.0</v>
      </c>
      <c r="B1395" s="68"/>
      <c r="C1395" s="68"/>
      <c r="D1395" s="69" t="str">
        <f>CONCATENATE(PROPER('DASMA INFO'!$G1395),", ",PROPER('DASMA INFO'!$E1395)," ",PROPER('DASMA INFO'!$F1395),"."," (",UPPER('DASMA INFO'!$H1395),")")</f>
        <v>Luistro, Banjo B. ()</v>
      </c>
      <c r="E1395" s="70" t="s">
        <v>2643</v>
      </c>
      <c r="F1395" s="70" t="s">
        <v>627</v>
      </c>
      <c r="G1395" s="70" t="s">
        <v>800</v>
      </c>
      <c r="H1395" s="69"/>
      <c r="I1395" s="105">
        <v>0.12</v>
      </c>
      <c r="J1395" s="106">
        <v>1000.0</v>
      </c>
      <c r="K1395" s="73"/>
      <c r="L1395" s="73"/>
      <c r="M1395" s="73"/>
      <c r="N1395" s="74"/>
    </row>
    <row r="1396" ht="30.0" hidden="1" customHeight="1">
      <c r="A1396" s="68">
        <v>1412.0</v>
      </c>
      <c r="B1396" s="68"/>
      <c r="C1396" s="68"/>
      <c r="D1396" s="69" t="str">
        <f>CONCATENATE(PROPER('DASMA INFO'!$G1396),", ",PROPER('DASMA INFO'!$E1396)," ",PROPER('DASMA INFO'!$F1396),"."," (",UPPER('DASMA INFO'!$H1396),")")</f>
        <v>Padilla, Ramonchito G. ()</v>
      </c>
      <c r="E1396" s="70" t="s">
        <v>2644</v>
      </c>
      <c r="F1396" s="70" t="s">
        <v>1032</v>
      </c>
      <c r="G1396" s="70" t="s">
        <v>1914</v>
      </c>
      <c r="H1396" s="69"/>
      <c r="I1396" s="105">
        <v>0.12</v>
      </c>
      <c r="J1396" s="106">
        <v>1000.0</v>
      </c>
      <c r="K1396" s="73" t="s">
        <v>968</v>
      </c>
      <c r="L1396" s="73"/>
      <c r="M1396" s="73"/>
      <c r="N1396" s="74"/>
    </row>
    <row r="1397" ht="30.0" hidden="1" customHeight="1">
      <c r="A1397" s="68">
        <v>1413.0</v>
      </c>
      <c r="B1397" s="68"/>
      <c r="C1397" s="68"/>
      <c r="D1397" s="69" t="str">
        <f>CONCATENATE(PROPER('DASMA INFO'!$G1397),", ",PROPER('DASMA INFO'!$E1397)," ",PROPER('DASMA INFO'!$F1397),"."," (",UPPER('DASMA INFO'!$H1397),")")</f>
        <v>Sarno, Emelyn G. ()</v>
      </c>
      <c r="E1397" s="70" t="s">
        <v>1405</v>
      </c>
      <c r="F1397" s="70" t="s">
        <v>1032</v>
      </c>
      <c r="G1397" s="70" t="s">
        <v>2645</v>
      </c>
      <c r="H1397" s="69"/>
      <c r="I1397" s="92">
        <v>0.05</v>
      </c>
      <c r="J1397" s="93">
        <v>1000.0</v>
      </c>
      <c r="K1397" s="73" t="s">
        <v>1733</v>
      </c>
      <c r="L1397" s="73"/>
      <c r="M1397" s="73"/>
      <c r="N1397" s="74"/>
    </row>
    <row r="1398" ht="30.0" hidden="1" customHeight="1">
      <c r="A1398" s="68">
        <v>1414.0</v>
      </c>
      <c r="B1398" s="68"/>
      <c r="C1398" s="68"/>
      <c r="D1398" s="69" t="str">
        <f>CONCATENATE(PROPER('DASMA INFO'!$G1398),", ",PROPER('DASMA INFO'!$E1398)," ",PROPER('DASMA INFO'!$F1398),"."," (",UPPER('DASMA INFO'!$H1398),")")</f>
        <v>Gonzales, Rolando H. (II)</v>
      </c>
      <c r="E1398" s="70" t="s">
        <v>337</v>
      </c>
      <c r="F1398" s="70" t="s">
        <v>2537</v>
      </c>
      <c r="G1398" s="70" t="s">
        <v>394</v>
      </c>
      <c r="H1398" s="70" t="s">
        <v>2646</v>
      </c>
      <c r="I1398" s="92">
        <v>0.05</v>
      </c>
      <c r="J1398" s="93">
        <v>1000.0</v>
      </c>
      <c r="K1398" s="73" t="s">
        <v>2630</v>
      </c>
      <c r="L1398" s="73"/>
      <c r="M1398" s="73"/>
      <c r="N1398" s="74"/>
    </row>
    <row r="1399" ht="30.0" hidden="1" customHeight="1">
      <c r="A1399" s="68">
        <v>1415.0</v>
      </c>
      <c r="B1399" s="68"/>
      <c r="C1399" s="68"/>
      <c r="D1399" s="69" t="str">
        <f>CONCATENATE(PROPER('DASMA INFO'!$G1399),", ",PROPER('DASMA INFO'!$E1399)," ",PROPER('DASMA INFO'!$F1399),"."," (",UPPER('DASMA INFO'!$H1399),")")</f>
        <v>Padilla, Cornelio V. ()</v>
      </c>
      <c r="E1399" s="70" t="s">
        <v>1160</v>
      </c>
      <c r="F1399" s="70" t="s">
        <v>620</v>
      </c>
      <c r="G1399" s="70" t="s">
        <v>1914</v>
      </c>
      <c r="H1399" s="69"/>
      <c r="I1399" s="92">
        <v>0.05</v>
      </c>
      <c r="J1399" s="93">
        <v>1000.0</v>
      </c>
      <c r="K1399" s="73" t="s">
        <v>2647</v>
      </c>
      <c r="L1399" s="73"/>
      <c r="M1399" s="73"/>
      <c r="N1399" s="74"/>
    </row>
    <row r="1400" ht="30.0" hidden="1" customHeight="1">
      <c r="A1400" s="68">
        <v>1416.0</v>
      </c>
      <c r="B1400" s="68"/>
      <c r="C1400" s="68"/>
      <c r="D1400" s="69" t="str">
        <f>CONCATENATE(PROPER('DASMA INFO'!$G1400),", ",PROPER('DASMA INFO'!$E1400)," ",PROPER('DASMA INFO'!$F1400),"."," (",UPPER('DASMA INFO'!$H1400),")")</f>
        <v>D, Meldrick Johnson. (FIGUERAS)</v>
      </c>
      <c r="E1400" s="70" t="s">
        <v>2648</v>
      </c>
      <c r="F1400" s="70" t="s">
        <v>2649</v>
      </c>
      <c r="G1400" s="70" t="s">
        <v>1078</v>
      </c>
      <c r="H1400" s="70" t="s">
        <v>2650</v>
      </c>
      <c r="I1400" s="105">
        <v>0.12</v>
      </c>
      <c r="J1400" s="106">
        <v>1000.0</v>
      </c>
      <c r="K1400" s="73" t="s">
        <v>953</v>
      </c>
      <c r="L1400" s="73"/>
      <c r="M1400" s="73"/>
      <c r="N1400" s="74"/>
    </row>
    <row r="1401" ht="30.0" hidden="1" customHeight="1">
      <c r="A1401" s="68">
        <v>1417.0</v>
      </c>
      <c r="B1401" s="68"/>
      <c r="C1401" s="68"/>
      <c r="D1401" s="69" t="str">
        <f>CONCATENATE(PROPER('DASMA INFO'!$G1401),", ",PROPER('DASMA INFO'!$E1401)," ",PROPER('DASMA INFO'!$F1401),"."," (",UPPER('DASMA INFO'!$H1401),")")</f>
        <v>Chua, Marvin I. ()</v>
      </c>
      <c r="E1401" s="70" t="s">
        <v>809</v>
      </c>
      <c r="F1401" s="70" t="s">
        <v>767</v>
      </c>
      <c r="G1401" s="70" t="s">
        <v>1944</v>
      </c>
      <c r="H1401" s="69"/>
      <c r="I1401" s="92">
        <v>0.05</v>
      </c>
      <c r="J1401" s="93">
        <v>1000.0</v>
      </c>
      <c r="K1401" s="73" t="s">
        <v>2651</v>
      </c>
      <c r="L1401" s="73"/>
      <c r="M1401" s="73"/>
      <c r="N1401" s="74"/>
    </row>
    <row r="1402" ht="30.0" hidden="1" customHeight="1">
      <c r="A1402" s="68">
        <v>1418.0</v>
      </c>
      <c r="B1402" s="68"/>
      <c r="C1402" s="68"/>
      <c r="D1402" s="69" t="str">
        <f>CONCATENATE(PROPER('DASMA INFO'!$G1402),", ",PROPER('DASMA INFO'!$E1402)," ",PROPER('DASMA INFO'!$F1402),"."," (",UPPER('DASMA INFO'!$H1402),")")</f>
        <v>Hernandez, Marissa E. ()</v>
      </c>
      <c r="E1402" s="70" t="s">
        <v>227</v>
      </c>
      <c r="F1402" s="70" t="s">
        <v>299</v>
      </c>
      <c r="G1402" s="70" t="s">
        <v>635</v>
      </c>
      <c r="H1402" s="69"/>
      <c r="I1402" s="92">
        <v>0.05</v>
      </c>
      <c r="J1402" s="93">
        <v>1000.0</v>
      </c>
      <c r="K1402" s="73" t="s">
        <v>2652</v>
      </c>
      <c r="L1402" s="73"/>
      <c r="M1402" s="73"/>
      <c r="N1402" s="74"/>
    </row>
    <row r="1403" ht="30.0" hidden="1" customHeight="1">
      <c r="A1403" s="68">
        <v>1419.0</v>
      </c>
      <c r="B1403" s="68"/>
      <c r="C1403" s="68"/>
      <c r="D1403" s="69" t="str">
        <f>CONCATENATE(PROPER('DASMA INFO'!$G1403),", ",PROPER('DASMA INFO'!$E1403)," ",PROPER('DASMA INFO'!$F1403),"."," (",UPPER('DASMA INFO'!$H1403),")")</f>
        <v>, Jenefer Fornal. ()</v>
      </c>
      <c r="E1403" s="70" t="s">
        <v>172</v>
      </c>
      <c r="F1403" s="70" t="s">
        <v>173</v>
      </c>
      <c r="G1403" s="69"/>
      <c r="H1403" s="69"/>
      <c r="I1403" s="92">
        <v>0.05</v>
      </c>
      <c r="J1403" s="93">
        <v>1000.0</v>
      </c>
      <c r="K1403" s="73"/>
      <c r="L1403" s="73"/>
      <c r="M1403" s="73"/>
      <c r="N1403" s="74"/>
    </row>
    <row r="1404" ht="30.0" hidden="1" customHeight="1">
      <c r="A1404" s="68">
        <v>1420.0</v>
      </c>
      <c r="B1404" s="68"/>
      <c r="C1404" s="68"/>
      <c r="D1404" s="69" t="str">
        <f>CONCATENATE(PROPER('DASMA INFO'!$G1404),", ",PROPER('DASMA INFO'!$E1404)," ",PROPER('DASMA INFO'!$F1404),"."," (",UPPER('DASMA INFO'!$H1404),")")</f>
        <v>Lalamonan, Joven A. ()</v>
      </c>
      <c r="E1404" s="70" t="s">
        <v>1653</v>
      </c>
      <c r="F1404" s="70" t="s">
        <v>427</v>
      </c>
      <c r="G1404" s="70" t="s">
        <v>2633</v>
      </c>
      <c r="H1404" s="69"/>
      <c r="I1404" s="105">
        <v>0.12</v>
      </c>
      <c r="J1404" s="106">
        <v>1000.0</v>
      </c>
      <c r="K1404" s="73" t="s">
        <v>1003</v>
      </c>
      <c r="L1404" s="73"/>
      <c r="M1404" s="73"/>
      <c r="N1404" s="74"/>
    </row>
    <row r="1405" ht="30.0" hidden="1" customHeight="1">
      <c r="A1405" s="68">
        <v>1421.0</v>
      </c>
      <c r="B1405" s="68"/>
      <c r="C1405" s="68"/>
      <c r="D1405" s="69" t="str">
        <f>CONCATENATE(PROPER('DASMA INFO'!$G1405),", ",PROPER('DASMA INFO'!$E1405)," ",PROPER('DASMA INFO'!$F1405),"."," (",UPPER('DASMA INFO'!$H1405),")")</f>
        <v>Bautista, Mayette R. ()</v>
      </c>
      <c r="E1405" s="70" t="s">
        <v>2456</v>
      </c>
      <c r="F1405" s="70" t="s">
        <v>260</v>
      </c>
      <c r="G1405" s="70" t="s">
        <v>275</v>
      </c>
      <c r="H1405" s="69"/>
      <c r="I1405" s="105">
        <v>0.12</v>
      </c>
      <c r="J1405" s="106">
        <v>1000.0</v>
      </c>
      <c r="K1405" s="73"/>
      <c r="L1405" s="73"/>
      <c r="M1405" s="73"/>
      <c r="N1405" s="74"/>
    </row>
    <row r="1406" ht="30.0" hidden="1" customHeight="1">
      <c r="A1406" s="68">
        <v>1422.0</v>
      </c>
      <c r="B1406" s="68"/>
      <c r="C1406" s="68"/>
      <c r="D1406" s="69" t="str">
        <f>CONCATENATE(PROPER('DASMA INFO'!$G1406),", ",PROPER('DASMA INFO'!$E1406)," ",PROPER('DASMA INFO'!$F1406),"."," (",UPPER('DASMA INFO'!$H1406),")")</f>
        <v>, Fernan Arigola. ()</v>
      </c>
      <c r="E1406" s="70" t="s">
        <v>301</v>
      </c>
      <c r="F1406" s="70" t="s">
        <v>2606</v>
      </c>
      <c r="G1406" s="69"/>
      <c r="H1406" s="69"/>
      <c r="I1406" s="105">
        <v>0.12</v>
      </c>
      <c r="J1406" s="106">
        <v>1000.0</v>
      </c>
      <c r="K1406" s="73" t="s">
        <v>1066</v>
      </c>
      <c r="L1406" s="73"/>
      <c r="M1406" s="73"/>
      <c r="N1406" s="74"/>
    </row>
    <row r="1407" ht="30.0" hidden="1" customHeight="1">
      <c r="A1407" s="68">
        <v>1423.0</v>
      </c>
      <c r="B1407" s="68"/>
      <c r="C1407" s="68"/>
      <c r="D1407" s="69" t="str">
        <f>CONCATENATE(PROPER('DASMA INFO'!$G1407),", ",PROPER('DASMA INFO'!$E1407)," ",PROPER('DASMA INFO'!$F1407),"."," (",UPPER('DASMA INFO'!$H1407),")")</f>
        <v>Cunanan, Roween S. ()</v>
      </c>
      <c r="E1407" s="70" t="s">
        <v>2399</v>
      </c>
      <c r="F1407" s="70" t="s">
        <v>342</v>
      </c>
      <c r="G1407" s="70" t="s">
        <v>2400</v>
      </c>
      <c r="H1407" s="69"/>
      <c r="I1407" s="105">
        <v>0.12</v>
      </c>
      <c r="J1407" s="106">
        <v>1000.0</v>
      </c>
      <c r="K1407" s="73"/>
      <c r="L1407" s="73"/>
      <c r="M1407" s="73"/>
      <c r="N1407" s="74"/>
    </row>
    <row r="1408" ht="30.0" hidden="1" customHeight="1">
      <c r="A1408" s="68">
        <v>1424.0</v>
      </c>
      <c r="B1408" s="68"/>
      <c r="C1408" s="68"/>
      <c r="D1408" s="69" t="str">
        <f>CONCATENATE(PROPER('DASMA INFO'!$G1408),", ",PROPER('DASMA INFO'!$E1408)," ",PROPER('DASMA INFO'!$F1408),"."," (",UPPER('DASMA INFO'!$H1408),")")</f>
        <v>Lepardo, Ramir P. ()</v>
      </c>
      <c r="E1408" s="70" t="s">
        <v>2653</v>
      </c>
      <c r="F1408" s="70" t="s">
        <v>513</v>
      </c>
      <c r="G1408" s="70" t="s">
        <v>2654</v>
      </c>
      <c r="H1408" s="69"/>
      <c r="I1408" s="105">
        <v>0.12</v>
      </c>
      <c r="J1408" s="106">
        <v>1000.0</v>
      </c>
      <c r="K1408" s="73" t="s">
        <v>953</v>
      </c>
      <c r="L1408" s="73"/>
      <c r="M1408" s="73"/>
      <c r="N1408" s="74"/>
    </row>
    <row r="1409" ht="30.0" hidden="1" customHeight="1">
      <c r="A1409" s="68">
        <v>1425.0</v>
      </c>
      <c r="B1409" s="68"/>
      <c r="C1409" s="68"/>
      <c r="D1409" s="69" t="str">
        <f>CONCATENATE(PROPER('DASMA INFO'!$G1409),", ",PROPER('DASMA INFO'!$E1409)," ",PROPER('DASMA INFO'!$F1409),"."," (",UPPER('DASMA INFO'!$H1409),")")</f>
        <v>Aguirre, Lorenzo O. ()</v>
      </c>
      <c r="E1409" s="70" t="s">
        <v>2655</v>
      </c>
      <c r="F1409" s="70" t="s">
        <v>634</v>
      </c>
      <c r="G1409" s="70" t="s">
        <v>1880</v>
      </c>
      <c r="H1409" s="69"/>
      <c r="I1409" s="92">
        <v>0.05</v>
      </c>
      <c r="J1409" s="93">
        <v>1000.0</v>
      </c>
      <c r="K1409" s="73" t="s">
        <v>2586</v>
      </c>
      <c r="L1409" s="73"/>
      <c r="M1409" s="73"/>
      <c r="N1409" s="74"/>
    </row>
    <row r="1410" ht="30.0" hidden="1" customHeight="1">
      <c r="A1410" s="68">
        <v>1426.0</v>
      </c>
      <c r="B1410" s="68"/>
      <c r="C1410" s="68"/>
      <c r="D1410" s="69" t="str">
        <f>CONCATENATE(PROPER('DASMA INFO'!$G1410),", ",PROPER('DASMA INFO'!$E1410)," ",PROPER('DASMA INFO'!$F1410),"."," (",UPPER('DASMA INFO'!$H1410),")")</f>
        <v>Mercado, Josephine G. ()</v>
      </c>
      <c r="E1410" s="70" t="s">
        <v>137</v>
      </c>
      <c r="F1410" s="70" t="s">
        <v>1032</v>
      </c>
      <c r="G1410" s="70" t="s">
        <v>840</v>
      </c>
      <c r="H1410" s="69"/>
      <c r="I1410" s="105">
        <v>0.12</v>
      </c>
      <c r="J1410" s="106">
        <v>1000.0</v>
      </c>
      <c r="K1410" s="73" t="s">
        <v>1066</v>
      </c>
      <c r="L1410" s="73"/>
      <c r="M1410" s="73"/>
      <c r="N1410" s="74"/>
    </row>
    <row r="1411" ht="30.0" hidden="1" customHeight="1">
      <c r="A1411" s="68">
        <v>1427.0</v>
      </c>
      <c r="B1411" s="68"/>
      <c r="C1411" s="68"/>
      <c r="D1411" s="69" t="str">
        <f>CONCATENATE(PROPER('DASMA INFO'!$G1411),", ",PROPER('DASMA INFO'!$E1411)," ",PROPER('DASMA INFO'!$F1411),"."," (",UPPER('DASMA INFO'!$H1411),")")</f>
        <v>Ravanera, Lucila E. ()</v>
      </c>
      <c r="E1411" s="70" t="s">
        <v>2656</v>
      </c>
      <c r="F1411" s="70" t="s">
        <v>299</v>
      </c>
      <c r="G1411" s="70" t="s">
        <v>2657</v>
      </c>
      <c r="H1411" s="69"/>
      <c r="I1411" s="92">
        <v>0.05</v>
      </c>
      <c r="J1411" s="93">
        <v>1000.0</v>
      </c>
      <c r="K1411" s="73" t="s">
        <v>1775</v>
      </c>
      <c r="L1411" s="73"/>
      <c r="M1411" s="73"/>
      <c r="N1411" s="74"/>
    </row>
    <row r="1412" ht="30.0" hidden="1" customHeight="1">
      <c r="A1412" s="68">
        <v>1428.0</v>
      </c>
      <c r="B1412" s="68"/>
      <c r="C1412" s="68"/>
      <c r="D1412" s="69" t="str">
        <f>CONCATENATE(PROPER('DASMA INFO'!$G1412),", ",PROPER('DASMA INFO'!$E1412)," ",PROPER('DASMA INFO'!$F1412),"."," (",UPPER('DASMA INFO'!$H1412),")")</f>
        <v>Soloren, Carmelita M. ()</v>
      </c>
      <c r="E1412" s="70" t="s">
        <v>1714</v>
      </c>
      <c r="F1412" s="70" t="s">
        <v>587</v>
      </c>
      <c r="G1412" s="70" t="s">
        <v>2658</v>
      </c>
      <c r="H1412" s="69"/>
      <c r="I1412" s="105">
        <v>0.12</v>
      </c>
      <c r="J1412" s="106">
        <v>1000.0</v>
      </c>
      <c r="K1412" s="73" t="s">
        <v>983</v>
      </c>
      <c r="L1412" s="73"/>
      <c r="M1412" s="73"/>
      <c r="N1412" s="74"/>
    </row>
    <row r="1413" ht="30.0" hidden="1" customHeight="1">
      <c r="A1413" s="68">
        <v>1429.0</v>
      </c>
      <c r="B1413" s="68"/>
      <c r="C1413" s="68"/>
      <c r="D1413" s="69" t="str">
        <f>CONCATENATE(PROPER('DASMA INFO'!$G1413),", ",PROPER('DASMA INFO'!$E1413)," ",PROPER('DASMA INFO'!$F1413),"."," (",UPPER('DASMA INFO'!$H1413),")")</f>
        <v>Paderes, Christopher G. ()</v>
      </c>
      <c r="E1413" s="70" t="s">
        <v>1101</v>
      </c>
      <c r="F1413" s="70" t="s">
        <v>1032</v>
      </c>
      <c r="G1413" s="70" t="s">
        <v>2659</v>
      </c>
      <c r="H1413" s="69"/>
      <c r="I1413" s="105">
        <v>0.12</v>
      </c>
      <c r="J1413" s="106">
        <v>1000.0</v>
      </c>
      <c r="K1413" s="73" t="s">
        <v>2660</v>
      </c>
      <c r="L1413" s="73"/>
      <c r="M1413" s="73"/>
      <c r="N1413" s="74"/>
    </row>
    <row r="1414" ht="30.0" hidden="1" customHeight="1">
      <c r="A1414" s="68">
        <v>1430.0</v>
      </c>
      <c r="B1414" s="68"/>
      <c r="C1414" s="68"/>
      <c r="D1414" s="69" t="str">
        <f>CONCATENATE(PROPER('DASMA INFO'!$G1414),", ",PROPER('DASMA INFO'!$E1414)," ",PROPER('DASMA INFO'!$F1414),"."," (",UPPER('DASMA INFO'!$H1414),")")</f>
        <v>Angeles, Evelyn N. ()</v>
      </c>
      <c r="E1414" s="70" t="s">
        <v>229</v>
      </c>
      <c r="F1414" s="70" t="s">
        <v>1154</v>
      </c>
      <c r="G1414" s="70" t="s">
        <v>202</v>
      </c>
      <c r="H1414" s="69"/>
      <c r="I1414" s="92">
        <v>0.05</v>
      </c>
      <c r="J1414" s="93">
        <v>1000.0</v>
      </c>
      <c r="K1414" s="73" t="s">
        <v>2661</v>
      </c>
      <c r="L1414" s="73"/>
      <c r="M1414" s="73"/>
      <c r="N1414" s="74"/>
    </row>
    <row r="1415" ht="30.0" hidden="1" customHeight="1">
      <c r="A1415" s="68">
        <v>1431.0</v>
      </c>
      <c r="B1415" s="68"/>
      <c r="C1415" s="68"/>
      <c r="D1415" s="69" t="str">
        <f>CONCATENATE(PROPER('DASMA INFO'!$G1415),", ",PROPER('DASMA INFO'!$E1415)," ",PROPER('DASMA INFO'!$F1415),"."," (",UPPER('DASMA INFO'!$H1415),")")</f>
        <v>Fernando, Christopher A. ()</v>
      </c>
      <c r="E1415" s="70" t="s">
        <v>1101</v>
      </c>
      <c r="F1415" s="70" t="s">
        <v>427</v>
      </c>
      <c r="G1415" s="70" t="s">
        <v>414</v>
      </c>
      <c r="H1415" s="69"/>
      <c r="I1415" s="105">
        <v>0.12</v>
      </c>
      <c r="J1415" s="106">
        <v>1000.0</v>
      </c>
      <c r="K1415" s="73" t="s">
        <v>2662</v>
      </c>
      <c r="L1415" s="73"/>
      <c r="M1415" s="73"/>
      <c r="N1415" s="74"/>
    </row>
    <row r="1416" ht="30.0" hidden="1" customHeight="1">
      <c r="A1416" s="68">
        <v>1432.0</v>
      </c>
      <c r="B1416" s="68"/>
      <c r="C1416" s="68"/>
      <c r="D1416" s="69" t="str">
        <f>CONCATENATE(PROPER('DASMA INFO'!$G1416),", ",PROPER('DASMA INFO'!$E1416)," ",PROPER('DASMA INFO'!$F1416),"."," (",UPPER('DASMA INFO'!$H1416),")")</f>
        <v>Pena, Alfredo F. ()</v>
      </c>
      <c r="E1416" s="70" t="s">
        <v>2663</v>
      </c>
      <c r="F1416" s="70" t="s">
        <v>1738</v>
      </c>
      <c r="G1416" s="70" t="s">
        <v>2664</v>
      </c>
      <c r="H1416" s="69"/>
      <c r="I1416" s="105">
        <v>0.12</v>
      </c>
      <c r="J1416" s="106">
        <v>1000.0</v>
      </c>
      <c r="K1416" s="73" t="s">
        <v>953</v>
      </c>
      <c r="L1416" s="73"/>
      <c r="M1416" s="73"/>
      <c r="N1416" s="74"/>
    </row>
    <row r="1417" ht="30.0" hidden="1" customHeight="1">
      <c r="A1417" s="68">
        <v>1433.0</v>
      </c>
      <c r="B1417" s="68"/>
      <c r="C1417" s="68"/>
      <c r="D1417" s="69" t="str">
        <f>CONCATENATE(PROPER('DASMA INFO'!$G1417),", ",PROPER('DASMA INFO'!$E1417)," ",PROPER('DASMA INFO'!$F1417),"."," (",UPPER('DASMA INFO'!$H1417),")")</f>
        <v>Q, Paola Bianca. (AJES)</v>
      </c>
      <c r="E1417" s="70" t="s">
        <v>2665</v>
      </c>
      <c r="F1417" s="70" t="s">
        <v>2666</v>
      </c>
      <c r="G1417" s="70" t="s">
        <v>545</v>
      </c>
      <c r="H1417" s="70" t="s">
        <v>2526</v>
      </c>
      <c r="I1417" s="105">
        <v>0.12</v>
      </c>
      <c r="J1417" s="106">
        <v>1000.0</v>
      </c>
      <c r="K1417" s="73" t="s">
        <v>2667</v>
      </c>
      <c r="L1417" s="73"/>
      <c r="M1417" s="73"/>
      <c r="N1417" s="74"/>
    </row>
    <row r="1418" ht="30.0" hidden="1" customHeight="1">
      <c r="A1418" s="68">
        <v>1434.0</v>
      </c>
      <c r="B1418" s="68"/>
      <c r="C1418" s="68"/>
      <c r="D1418" s="69" t="str">
        <f>CONCATENATE(PROPER('DASMA INFO'!$G1418),", ",PROPER('DASMA INFO'!$E1418)," ",PROPER('DASMA INFO'!$F1418),"."," (",UPPER('DASMA INFO'!$H1418),")")</f>
        <v>Noceja, Pablo A. ()</v>
      </c>
      <c r="E1418" s="70" t="s">
        <v>392</v>
      </c>
      <c r="F1418" s="70" t="s">
        <v>427</v>
      </c>
      <c r="G1418" s="70" t="s">
        <v>2668</v>
      </c>
      <c r="H1418" s="69"/>
      <c r="I1418" s="105">
        <v>0.12</v>
      </c>
      <c r="J1418" s="106">
        <v>1000.0</v>
      </c>
      <c r="K1418" s="73" t="s">
        <v>2669</v>
      </c>
      <c r="L1418" s="73"/>
      <c r="M1418" s="73"/>
      <c r="N1418" s="74"/>
    </row>
    <row r="1419" ht="30.0" hidden="1" customHeight="1">
      <c r="A1419" s="68">
        <v>1435.0</v>
      </c>
      <c r="B1419" s="68"/>
      <c r="C1419" s="68"/>
      <c r="D1419" s="69" t="str">
        <f>CONCATENATE(PROPER('DASMA INFO'!$G1419),", ",PROPER('DASMA INFO'!$E1419)," ",PROPER('DASMA INFO'!$F1419),"."," (",UPPER('DASMA INFO'!$H1419),")")</f>
        <v>Gonzales, Ernancita E. ()</v>
      </c>
      <c r="E1419" s="70" t="s">
        <v>2670</v>
      </c>
      <c r="F1419" s="70" t="s">
        <v>299</v>
      </c>
      <c r="G1419" s="70" t="s">
        <v>394</v>
      </c>
      <c r="H1419" s="69"/>
      <c r="I1419" s="105">
        <v>0.12</v>
      </c>
      <c r="J1419" s="106">
        <v>1000.0</v>
      </c>
      <c r="K1419" s="73" t="s">
        <v>1053</v>
      </c>
      <c r="L1419" s="73"/>
      <c r="M1419" s="73"/>
      <c r="N1419" s="74"/>
    </row>
    <row r="1420" ht="30.0" hidden="1" customHeight="1">
      <c r="A1420" s="68">
        <v>1436.0</v>
      </c>
      <c r="B1420" s="68"/>
      <c r="C1420" s="68"/>
      <c r="D1420" s="69" t="str">
        <f>CONCATENATE(PROPER('DASMA INFO'!$G1420),", ",PROPER('DASMA INFO'!$E1420)," ",PROPER('DASMA INFO'!$F1420),"."," (",UPPER('DASMA INFO'!$H1420),")")</f>
        <v>Ciar, Erwin T. ()</v>
      </c>
      <c r="E1420" s="70" t="s">
        <v>891</v>
      </c>
      <c r="F1420" s="70" t="s">
        <v>752</v>
      </c>
      <c r="G1420" s="70" t="s">
        <v>2671</v>
      </c>
      <c r="H1420" s="69"/>
      <c r="I1420" s="105">
        <v>0.12</v>
      </c>
      <c r="J1420" s="106">
        <v>1000.0</v>
      </c>
      <c r="K1420" s="73" t="s">
        <v>2672</v>
      </c>
      <c r="L1420" s="73"/>
      <c r="M1420" s="73"/>
      <c r="N1420" s="74"/>
    </row>
    <row r="1421" ht="30.0" hidden="1" customHeight="1">
      <c r="A1421" s="68">
        <v>1437.0</v>
      </c>
      <c r="B1421" s="68"/>
      <c r="C1421" s="68"/>
      <c r="D1421" s="69" t="str">
        <f>CONCATENATE(PROPER('DASMA INFO'!$G1421),", ",PROPER('DASMA INFO'!$E1421)," ",PROPER('DASMA INFO'!$F1421),"."," (",UPPER('DASMA INFO'!$H1421),")")</f>
        <v>Claro, Nilo Z. ()</v>
      </c>
      <c r="E1421" s="70" t="s">
        <v>682</v>
      </c>
      <c r="F1421" s="70" t="s">
        <v>2673</v>
      </c>
      <c r="G1421" s="70" t="s">
        <v>2674</v>
      </c>
      <c r="H1421" s="69"/>
      <c r="I1421" s="105">
        <v>0.12</v>
      </c>
      <c r="J1421" s="106">
        <v>1000.0</v>
      </c>
      <c r="K1421" s="73" t="s">
        <v>960</v>
      </c>
      <c r="L1421" s="73"/>
      <c r="M1421" s="73"/>
      <c r="N1421" s="74"/>
    </row>
    <row r="1422" ht="30.0" hidden="1" customHeight="1">
      <c r="A1422" s="68">
        <v>1438.0</v>
      </c>
      <c r="B1422" s="68"/>
      <c r="C1422" s="68"/>
      <c r="D1422" s="69" t="str">
        <f>CONCATENATE(PROPER('DASMA INFO'!$G1422),", ",PROPER('DASMA INFO'!$E1422)," ",PROPER('DASMA INFO'!$F1422),"."," (",UPPER('DASMA INFO'!$H1422),")")</f>
        <v>Lee, Maria Victoria Ledesma. ()</v>
      </c>
      <c r="E1422" s="70" t="s">
        <v>2675</v>
      </c>
      <c r="F1422" s="70" t="s">
        <v>2676</v>
      </c>
      <c r="G1422" s="70" t="s">
        <v>853</v>
      </c>
      <c r="H1422" s="70"/>
      <c r="I1422" s="92">
        <v>0.05</v>
      </c>
      <c r="J1422" s="93">
        <v>1000.0</v>
      </c>
      <c r="K1422" s="73" t="s">
        <v>2428</v>
      </c>
      <c r="L1422" s="73" t="s">
        <v>2677</v>
      </c>
      <c r="M1422" s="73">
        <v>2022.0</v>
      </c>
      <c r="N1422" s="74"/>
    </row>
    <row r="1423" ht="30.0" hidden="1" customHeight="1">
      <c r="A1423" s="68">
        <v>1439.0</v>
      </c>
      <c r="B1423" s="68"/>
      <c r="C1423" s="68"/>
      <c r="D1423" s="69" t="str">
        <f>CONCATENATE(PROPER('DASMA INFO'!$G1423),", ",PROPER('DASMA INFO'!$E1423)," ",PROPER('DASMA INFO'!$F1423),"."," (",UPPER('DASMA INFO'!$H1423),")")</f>
        <v>Lesaca, Alvin S. ()</v>
      </c>
      <c r="E1423" s="70" t="s">
        <v>451</v>
      </c>
      <c r="F1423" s="70" t="s">
        <v>342</v>
      </c>
      <c r="G1423" s="70" t="s">
        <v>2678</v>
      </c>
      <c r="H1423" s="69"/>
      <c r="I1423" s="105">
        <v>0.12</v>
      </c>
      <c r="J1423" s="106">
        <v>1000.0</v>
      </c>
      <c r="K1423" s="73" t="s">
        <v>953</v>
      </c>
      <c r="L1423" s="73"/>
      <c r="M1423" s="73"/>
      <c r="N1423" s="74"/>
    </row>
    <row r="1424" ht="30.0" hidden="1" customHeight="1">
      <c r="A1424" s="68">
        <v>1440.0</v>
      </c>
      <c r="B1424" s="68"/>
      <c r="C1424" s="68"/>
      <c r="D1424" s="69" t="str">
        <f>CONCATENATE(PROPER('DASMA INFO'!$G1424),", ",PROPER('DASMA INFO'!$E1424)," ",PROPER('DASMA INFO'!$F1424),"."," (",UPPER('DASMA INFO'!$H1424),")")</f>
        <v>,  . ()</v>
      </c>
      <c r="E1424" s="69"/>
      <c r="F1424" s="69"/>
      <c r="G1424" s="69"/>
      <c r="H1424" s="69"/>
      <c r="I1424" s="105">
        <v>0.12</v>
      </c>
      <c r="J1424" s="106">
        <v>1000.0</v>
      </c>
      <c r="K1424" s="73"/>
      <c r="L1424" s="73"/>
      <c r="M1424" s="73"/>
      <c r="N1424" s="74"/>
    </row>
    <row r="1425" ht="30.0" hidden="1" customHeight="1">
      <c r="A1425" s="68">
        <v>1441.0</v>
      </c>
      <c r="B1425" s="68"/>
      <c r="C1425" s="68"/>
      <c r="D1425" s="69" t="str">
        <f>CONCATENATE(PROPER('DASMA INFO'!$G1425),", ",PROPER('DASMA INFO'!$E1425)," ",PROPER('DASMA INFO'!$F1425),"."," (",UPPER('DASMA INFO'!$H1425),")")</f>
        <v>Violeta, Jerico James M. ()</v>
      </c>
      <c r="E1425" s="70" t="s">
        <v>1906</v>
      </c>
      <c r="F1425" s="70" t="s">
        <v>587</v>
      </c>
      <c r="G1425" s="70" t="s">
        <v>1827</v>
      </c>
      <c r="H1425" s="69"/>
      <c r="I1425" s="92">
        <v>0.05</v>
      </c>
      <c r="J1425" s="93">
        <v>1000.0</v>
      </c>
      <c r="K1425" s="73" t="s">
        <v>2679</v>
      </c>
      <c r="L1425" s="73"/>
      <c r="M1425" s="73"/>
      <c r="N1425" s="74"/>
    </row>
    <row r="1426" ht="30.0" hidden="1" customHeight="1">
      <c r="A1426" s="68">
        <v>1442.0</v>
      </c>
      <c r="B1426" s="68"/>
      <c r="C1426" s="68"/>
      <c r="D1426" s="69" t="str">
        <f>CONCATENATE(PROPER('DASMA INFO'!$G1426),", ",PROPER('DASMA INFO'!$E1426)," ",PROPER('DASMA INFO'!$F1426),"."," (",UPPER('DASMA INFO'!$H1426),")")</f>
        <v>,  . ()</v>
      </c>
      <c r="E1426" s="69"/>
      <c r="F1426" s="69"/>
      <c r="G1426" s="69"/>
      <c r="H1426" s="69"/>
      <c r="I1426" s="105">
        <v>0.12</v>
      </c>
      <c r="J1426" s="106">
        <v>1000.0</v>
      </c>
      <c r="K1426" s="73"/>
      <c r="L1426" s="73"/>
      <c r="M1426" s="73"/>
      <c r="N1426" s="74"/>
    </row>
    <row r="1427" ht="30.0" hidden="1" customHeight="1">
      <c r="A1427" s="68">
        <v>1443.0</v>
      </c>
      <c r="B1427" s="68"/>
      <c r="C1427" s="68"/>
      <c r="D1427" s="69" t="str">
        <f>CONCATENATE(PROPER('DASMA INFO'!$G1427),", ",PROPER('DASMA INFO'!$E1427)," ",PROPER('DASMA INFO'!$F1427),"."," (",UPPER('DASMA INFO'!$H1427),")")</f>
        <v>,  . ()</v>
      </c>
      <c r="E1427" s="69"/>
      <c r="F1427" s="69"/>
      <c r="G1427" s="69"/>
      <c r="H1427" s="69"/>
      <c r="I1427" s="105">
        <v>0.12</v>
      </c>
      <c r="J1427" s="106">
        <v>1000.0</v>
      </c>
      <c r="K1427" s="73"/>
      <c r="L1427" s="73"/>
      <c r="M1427" s="73"/>
      <c r="N1427" s="74"/>
    </row>
    <row r="1428" ht="30.0" hidden="1" customHeight="1">
      <c r="A1428" s="68">
        <v>1444.0</v>
      </c>
      <c r="B1428" s="68"/>
      <c r="C1428" s="68"/>
      <c r="D1428" s="69" t="str">
        <f>CONCATENATE(PROPER('DASMA INFO'!$G1428),", ",PROPER('DASMA INFO'!$E1428)," ",PROPER('DASMA INFO'!$F1428),"."," (",UPPER('DASMA INFO'!$H1428),")")</f>
        <v>Acosta, Rolando M. ()</v>
      </c>
      <c r="E1428" s="70" t="s">
        <v>337</v>
      </c>
      <c r="F1428" s="70" t="s">
        <v>587</v>
      </c>
      <c r="G1428" s="70" t="s">
        <v>2680</v>
      </c>
      <c r="H1428" s="69"/>
      <c r="I1428" s="105">
        <v>0.12</v>
      </c>
      <c r="J1428" s="106">
        <v>1000.0</v>
      </c>
      <c r="K1428" s="73" t="s">
        <v>968</v>
      </c>
      <c r="L1428" s="73"/>
      <c r="M1428" s="73"/>
      <c r="N1428" s="74"/>
    </row>
    <row r="1429" ht="30.0" hidden="1" customHeight="1">
      <c r="A1429" s="68">
        <v>1445.0</v>
      </c>
      <c r="B1429" s="68"/>
      <c r="C1429" s="68"/>
      <c r="D1429" s="69" t="str">
        <f>CONCATENATE(PROPER('DASMA INFO'!$G1429),", ",PROPER('DASMA INFO'!$E1429)," ",PROPER('DASMA INFO'!$F1429),"."," (",UPPER('DASMA INFO'!$H1429),")")</f>
        <v>Orong, Cleofe M. ()</v>
      </c>
      <c r="E1429" s="70" t="s">
        <v>2681</v>
      </c>
      <c r="F1429" s="70" t="s">
        <v>587</v>
      </c>
      <c r="G1429" s="70" t="s">
        <v>2682</v>
      </c>
      <c r="H1429" s="69"/>
      <c r="I1429" s="105">
        <v>0.12</v>
      </c>
      <c r="J1429" s="106">
        <v>1000.0</v>
      </c>
      <c r="K1429" s="73"/>
      <c r="L1429" s="73"/>
      <c r="M1429" s="73"/>
      <c r="N1429" s="74"/>
    </row>
    <row r="1430" ht="30.0" hidden="1" customHeight="1">
      <c r="A1430" s="68">
        <v>1446.0</v>
      </c>
      <c r="B1430" s="68"/>
      <c r="C1430" s="68"/>
      <c r="D1430" s="69" t="str">
        <f>CONCATENATE(PROPER('DASMA INFO'!$G1430),", ",PROPER('DASMA INFO'!$E1430)," ",PROPER('DASMA INFO'!$F1430),"."," (",UPPER('DASMA INFO'!$H1430),")")</f>
        <v>Morada, Jemuel C. ()</v>
      </c>
      <c r="E1430" s="70" t="s">
        <v>2683</v>
      </c>
      <c r="F1430" s="70" t="s">
        <v>318</v>
      </c>
      <c r="G1430" s="70" t="s">
        <v>2684</v>
      </c>
      <c r="H1430" s="69"/>
      <c r="I1430" s="105">
        <v>0.12</v>
      </c>
      <c r="J1430" s="106">
        <v>1000.0</v>
      </c>
      <c r="K1430" s="73" t="s">
        <v>1003</v>
      </c>
      <c r="L1430" s="73"/>
      <c r="M1430" s="73"/>
      <c r="N1430" s="74"/>
    </row>
    <row r="1431" ht="30.0" hidden="1" customHeight="1">
      <c r="A1431" s="68">
        <v>1447.0</v>
      </c>
      <c r="B1431" s="68"/>
      <c r="C1431" s="68"/>
      <c r="D1431" s="69" t="str">
        <f>CONCATENATE(PROPER('DASMA INFO'!$G1431),", ",PROPER('DASMA INFO'!$E1431)," ",PROPER('DASMA INFO'!$F1431),"."," (",UPPER('DASMA INFO'!$H1431),")")</f>
        <v>Redondo, Mark Francis D. ()</v>
      </c>
      <c r="E1431" s="70" t="s">
        <v>370</v>
      </c>
      <c r="F1431" s="70" t="s">
        <v>1078</v>
      </c>
      <c r="G1431" s="70" t="s">
        <v>371</v>
      </c>
      <c r="H1431" s="69"/>
      <c r="I1431" s="92">
        <v>0.05</v>
      </c>
      <c r="J1431" s="93">
        <v>1000.0</v>
      </c>
      <c r="K1431" s="73" t="s">
        <v>1475</v>
      </c>
      <c r="L1431" s="73"/>
      <c r="M1431" s="73"/>
      <c r="N1431" s="74"/>
    </row>
    <row r="1432" ht="30.0" hidden="1" customHeight="1">
      <c r="A1432" s="68">
        <v>1448.0</v>
      </c>
      <c r="B1432" s="68"/>
      <c r="C1432" s="68"/>
      <c r="D1432" s="69" t="str">
        <f>CONCATENATE(PROPER('DASMA INFO'!$G1432),", ",PROPER('DASMA INFO'!$E1432)," ",PROPER('DASMA INFO'!$F1432),"."," (",UPPER('DASMA INFO'!$H1432),")")</f>
        <v>Ponce, Christina S. ()</v>
      </c>
      <c r="E1432" s="70" t="s">
        <v>2685</v>
      </c>
      <c r="F1432" s="70" t="s">
        <v>342</v>
      </c>
      <c r="G1432" s="70" t="s">
        <v>743</v>
      </c>
      <c r="H1432" s="69"/>
      <c r="I1432" s="105">
        <v>0.12</v>
      </c>
      <c r="J1432" s="106">
        <v>1000.0</v>
      </c>
      <c r="K1432" s="73" t="s">
        <v>2599</v>
      </c>
      <c r="L1432" s="73"/>
      <c r="M1432" s="73"/>
      <c r="N1432" s="74"/>
    </row>
    <row r="1433" ht="30.0" hidden="1" customHeight="1">
      <c r="A1433" s="68">
        <v>1449.0</v>
      </c>
      <c r="B1433" s="68"/>
      <c r="C1433" s="68"/>
      <c r="D1433" s="69" t="str">
        <f>CONCATENATE(PROPER('DASMA INFO'!$G1433),", ",PROPER('DASMA INFO'!$E1433)," ",PROPER('DASMA INFO'!$F1433),"."," (",UPPER('DASMA INFO'!$H1433),")")</f>
        <v>Rubi, Edna A. ()</v>
      </c>
      <c r="E1433" s="70" t="s">
        <v>527</v>
      </c>
      <c r="F1433" s="70" t="s">
        <v>427</v>
      </c>
      <c r="G1433" s="70" t="s">
        <v>2686</v>
      </c>
      <c r="H1433" s="69"/>
      <c r="I1433" s="105">
        <v>0.12</v>
      </c>
      <c r="J1433" s="106">
        <v>1000.0</v>
      </c>
      <c r="K1433" s="73" t="s">
        <v>1551</v>
      </c>
      <c r="L1433" s="73"/>
      <c r="M1433" s="73"/>
      <c r="N1433" s="74"/>
    </row>
    <row r="1434" ht="30.0" hidden="1" customHeight="1">
      <c r="A1434" s="68">
        <v>1450.0</v>
      </c>
      <c r="B1434" s="68"/>
      <c r="C1434" s="68"/>
      <c r="D1434" s="69" t="str">
        <f>CONCATENATE(PROPER('DASMA INFO'!$G1434),", ",PROPER('DASMA INFO'!$E1434)," ",PROPER('DASMA INFO'!$F1434),"."," (",UPPER('DASMA INFO'!$H1434),")")</f>
        <v>Patena, Jaime T. ()</v>
      </c>
      <c r="E1434" s="70" t="s">
        <v>2063</v>
      </c>
      <c r="F1434" s="70" t="s">
        <v>752</v>
      </c>
      <c r="G1434" s="70" t="s">
        <v>2687</v>
      </c>
      <c r="H1434" s="69"/>
      <c r="I1434" s="105">
        <v>0.12</v>
      </c>
      <c r="J1434" s="106">
        <v>1000.0</v>
      </c>
      <c r="K1434" s="73" t="s">
        <v>968</v>
      </c>
      <c r="L1434" s="73"/>
      <c r="M1434" s="73"/>
      <c r="N1434" s="74"/>
    </row>
    <row r="1435" ht="30.0" hidden="1" customHeight="1">
      <c r="A1435" s="68">
        <v>1451.0</v>
      </c>
      <c r="B1435" s="68"/>
      <c r="C1435" s="68"/>
      <c r="D1435" s="69" t="str">
        <f>CONCATENATE(PROPER('DASMA INFO'!$G1435),", ",PROPER('DASMA INFO'!$E1435)," ",PROPER('DASMA INFO'!$F1435),"."," (",UPPER('DASMA INFO'!$H1435),")")</f>
        <v>Viterbo, Agnes M. ()</v>
      </c>
      <c r="E1435" s="70" t="s">
        <v>1426</v>
      </c>
      <c r="F1435" s="70" t="s">
        <v>587</v>
      </c>
      <c r="G1435" s="70" t="s">
        <v>2688</v>
      </c>
      <c r="H1435" s="69"/>
      <c r="I1435" s="105">
        <v>0.12</v>
      </c>
      <c r="J1435" s="106">
        <v>1000.0</v>
      </c>
      <c r="K1435" s="73" t="s">
        <v>1017</v>
      </c>
      <c r="L1435" s="73"/>
      <c r="M1435" s="73"/>
      <c r="N1435" s="74"/>
    </row>
    <row r="1436" ht="30.0" hidden="1" customHeight="1">
      <c r="A1436" s="68">
        <v>1452.0</v>
      </c>
      <c r="B1436" s="68"/>
      <c r="C1436" s="68"/>
      <c r="D1436" s="69" t="str">
        <f>CONCATENATE(PROPER('DASMA INFO'!$G1436),", ",PROPER('DASMA INFO'!$E1436)," ",PROPER('DASMA INFO'!$F1436),"."," (",UPPER('DASMA INFO'!$H1436),")")</f>
        <v>Rasay, Elisea C. ()</v>
      </c>
      <c r="E1436" s="70" t="s">
        <v>2689</v>
      </c>
      <c r="F1436" s="70" t="s">
        <v>318</v>
      </c>
      <c r="G1436" s="70" t="s">
        <v>2690</v>
      </c>
      <c r="H1436" s="69"/>
      <c r="I1436" s="105">
        <v>0.12</v>
      </c>
      <c r="J1436" s="106">
        <v>1000.0</v>
      </c>
      <c r="K1436" s="73" t="s">
        <v>968</v>
      </c>
      <c r="L1436" s="73"/>
      <c r="M1436" s="73"/>
      <c r="N1436" s="74"/>
    </row>
    <row r="1437" ht="30.0" hidden="1" customHeight="1">
      <c r="A1437" s="68">
        <v>1453.0</v>
      </c>
      <c r="B1437" s="68"/>
      <c r="C1437" s="68"/>
      <c r="D1437" s="69" t="str">
        <f>CONCATENATE(PROPER('DASMA INFO'!$G1437),", ",PROPER('DASMA INFO'!$E1437)," ",PROPER('DASMA INFO'!$F1437),"."," (",UPPER('DASMA INFO'!$H1437),")")</f>
        <v>Rivas, Ligaya M. ()</v>
      </c>
      <c r="E1437" s="70" t="s">
        <v>2691</v>
      </c>
      <c r="F1437" s="70" t="s">
        <v>587</v>
      </c>
      <c r="G1437" s="70" t="s">
        <v>2692</v>
      </c>
      <c r="H1437" s="69"/>
      <c r="I1437" s="105">
        <v>0.12</v>
      </c>
      <c r="J1437" s="106">
        <v>1000.0</v>
      </c>
      <c r="K1437" s="73" t="s">
        <v>2693</v>
      </c>
      <c r="L1437" s="73"/>
      <c r="M1437" s="73"/>
      <c r="N1437" s="74"/>
    </row>
    <row r="1438" ht="30.0" hidden="1" customHeight="1">
      <c r="A1438" s="68">
        <v>1454.0</v>
      </c>
      <c r="B1438" s="68"/>
      <c r="C1438" s="68"/>
      <c r="D1438" s="69" t="str">
        <f>CONCATENATE(PROPER('DASMA INFO'!$G1438),", ",PROPER('DASMA INFO'!$E1438)," ",PROPER('DASMA INFO'!$F1438),"."," (",UPPER('DASMA INFO'!$H1438),")")</f>
        <v>Boregon, Haide R. ()</v>
      </c>
      <c r="E1438" s="70" t="s">
        <v>170</v>
      </c>
      <c r="F1438" s="70" t="s">
        <v>260</v>
      </c>
      <c r="G1438" s="70" t="s">
        <v>171</v>
      </c>
      <c r="H1438" s="69"/>
      <c r="I1438" s="92">
        <v>0.05</v>
      </c>
      <c r="J1438" s="93">
        <v>1000.0</v>
      </c>
      <c r="K1438" s="73" t="s">
        <v>2694</v>
      </c>
      <c r="L1438" s="73"/>
      <c r="M1438" s="73"/>
      <c r="N1438" s="74"/>
    </row>
    <row r="1439" ht="30.0" hidden="1" customHeight="1">
      <c r="A1439" s="68">
        <v>1455.0</v>
      </c>
      <c r="B1439" s="68"/>
      <c r="C1439" s="68"/>
      <c r="D1439" s="69" t="str">
        <f>CONCATENATE(PROPER('DASMA INFO'!$G1439),", ",PROPER('DASMA INFO'!$E1439)," ",PROPER('DASMA INFO'!$F1439),"."," (",UPPER('DASMA INFO'!$H1439),")")</f>
        <v>Sarmiento, Rodel O. ()</v>
      </c>
      <c r="E1439" s="70" t="s">
        <v>2695</v>
      </c>
      <c r="F1439" s="70" t="s">
        <v>634</v>
      </c>
      <c r="G1439" s="70" t="s">
        <v>2696</v>
      </c>
      <c r="H1439" s="69"/>
      <c r="I1439" s="105">
        <v>0.12</v>
      </c>
      <c r="J1439" s="106">
        <v>1000.0</v>
      </c>
      <c r="K1439" s="73" t="s">
        <v>2627</v>
      </c>
      <c r="L1439" s="73"/>
      <c r="M1439" s="73"/>
      <c r="N1439" s="74"/>
    </row>
    <row r="1440" ht="30.0" hidden="1" customHeight="1">
      <c r="A1440" s="68">
        <v>1456.0</v>
      </c>
      <c r="B1440" s="68"/>
      <c r="C1440" s="68"/>
      <c r="D1440" s="69" t="str">
        <f>CONCATENATE(PROPER('DASMA INFO'!$G1440),", ",PROPER('DASMA INFO'!$E1440)," ",PROPER('DASMA INFO'!$F1440),"."," (",UPPER('DASMA INFO'!$H1440),")")</f>
        <v>Lamain, Nellia M. ()</v>
      </c>
      <c r="E1440" s="70" t="s">
        <v>2106</v>
      </c>
      <c r="F1440" s="70" t="s">
        <v>587</v>
      </c>
      <c r="G1440" s="70" t="s">
        <v>2697</v>
      </c>
      <c r="H1440" s="69"/>
      <c r="I1440" s="105">
        <v>0.12</v>
      </c>
      <c r="J1440" s="106">
        <v>1000.0</v>
      </c>
      <c r="K1440" s="73"/>
      <c r="L1440" s="73"/>
      <c r="M1440" s="73"/>
      <c r="N1440" s="74"/>
    </row>
    <row r="1441" ht="30.0" hidden="1" customHeight="1">
      <c r="A1441" s="68">
        <v>1457.0</v>
      </c>
      <c r="B1441" s="68"/>
      <c r="C1441" s="68"/>
      <c r="D1441" s="69" t="str">
        <f>CONCATENATE(PROPER('DASMA INFO'!$G1441),", ",PROPER('DASMA INFO'!$E1441)," ",PROPER('DASMA INFO'!$F1441),"."," (",UPPER('DASMA INFO'!$H1441),")")</f>
        <v>Rodriguez, Maridel B. ()</v>
      </c>
      <c r="E1441" s="70" t="s">
        <v>2698</v>
      </c>
      <c r="F1441" s="70" t="s">
        <v>627</v>
      </c>
      <c r="G1441" s="70" t="s">
        <v>2699</v>
      </c>
      <c r="H1441" s="69"/>
      <c r="I1441" s="105">
        <v>0.12</v>
      </c>
      <c r="J1441" s="106">
        <v>1000.0</v>
      </c>
      <c r="K1441" s="73" t="s">
        <v>1003</v>
      </c>
      <c r="L1441" s="73"/>
      <c r="M1441" s="73"/>
      <c r="N1441" s="74"/>
    </row>
    <row r="1442" ht="30.0" hidden="1" customHeight="1">
      <c r="A1442" s="68">
        <v>1458.0</v>
      </c>
      <c r="B1442" s="68"/>
      <c r="C1442" s="68"/>
      <c r="D1442" s="69" t="str">
        <f>CONCATENATE(PROPER('DASMA INFO'!$G1442),", ",PROPER('DASMA INFO'!$E1442)," ",PROPER('DASMA INFO'!$F1442),"."," (",UPPER('DASMA INFO'!$H1442),")")</f>
        <v>Argana, Mary Grace D. ()</v>
      </c>
      <c r="E1442" s="70" t="s">
        <v>474</v>
      </c>
      <c r="F1442" s="70" t="s">
        <v>1078</v>
      </c>
      <c r="G1442" s="70" t="s">
        <v>475</v>
      </c>
      <c r="H1442" s="69"/>
      <c r="I1442" s="92">
        <v>0.05</v>
      </c>
      <c r="J1442" s="93">
        <v>1000.0</v>
      </c>
      <c r="K1442" s="73" t="s">
        <v>2700</v>
      </c>
      <c r="L1442" s="73"/>
      <c r="M1442" s="73"/>
      <c r="N1442" s="74"/>
    </row>
    <row r="1443" ht="30.0" hidden="1" customHeight="1">
      <c r="A1443" s="68">
        <v>1459.0</v>
      </c>
      <c r="B1443" s="68"/>
      <c r="C1443" s="68"/>
      <c r="D1443" s="69" t="str">
        <f>CONCATENATE(PROPER('DASMA INFO'!$G1443),", ",PROPER('DASMA INFO'!$E1443)," ",PROPER('DASMA INFO'!$F1443),"."," (",UPPER('DASMA INFO'!$H1443),")")</f>
        <v>Betito, Lanie B. ()</v>
      </c>
      <c r="E1443" s="70" t="s">
        <v>2701</v>
      </c>
      <c r="F1443" s="70" t="s">
        <v>627</v>
      </c>
      <c r="G1443" s="70" t="s">
        <v>2702</v>
      </c>
      <c r="H1443" s="69"/>
      <c r="I1443" s="105">
        <v>0.12</v>
      </c>
      <c r="J1443" s="106">
        <v>1000.0</v>
      </c>
      <c r="K1443" s="73" t="s">
        <v>2703</v>
      </c>
      <c r="L1443" s="73"/>
      <c r="M1443" s="73"/>
      <c r="N1443" s="74"/>
    </row>
    <row r="1444" ht="30.0" hidden="1" customHeight="1">
      <c r="A1444" s="68">
        <v>1460.0</v>
      </c>
      <c r="B1444" s="68"/>
      <c r="C1444" s="68"/>
      <c r="D1444" s="69" t="str">
        <f>CONCATENATE(PROPER('DASMA INFO'!$G1444),", ",PROPER('DASMA INFO'!$E1444)," ",PROPER('DASMA INFO'!$F1444),"."," (",UPPER('DASMA INFO'!$H1444),")")</f>
        <v>Choi, Seoung Chon. ()</v>
      </c>
      <c r="E1444" s="70" t="s">
        <v>2704</v>
      </c>
      <c r="F1444" s="70" t="s">
        <v>2705</v>
      </c>
      <c r="G1444" s="70" t="s">
        <v>2330</v>
      </c>
      <c r="H1444" s="69"/>
      <c r="I1444" s="105">
        <v>0.12</v>
      </c>
      <c r="J1444" s="106">
        <v>1000.0</v>
      </c>
      <c r="K1444" s="73" t="s">
        <v>2706</v>
      </c>
      <c r="L1444" s="73"/>
      <c r="M1444" s="73"/>
      <c r="N1444" s="74"/>
    </row>
    <row r="1445" ht="30.0" hidden="1" customHeight="1">
      <c r="A1445" s="68">
        <v>1461.0</v>
      </c>
      <c r="B1445" s="68"/>
      <c r="C1445" s="68"/>
      <c r="D1445" s="69" t="str">
        <f>CONCATENATE(PROPER('DASMA INFO'!$G1445),", ",PROPER('DASMA INFO'!$E1445)," ",PROPER('DASMA INFO'!$F1445),"."," (",UPPER('DASMA INFO'!$H1445),")")</f>
        <v>Ancheta, Irene M. ()</v>
      </c>
      <c r="E1445" s="70" t="s">
        <v>46</v>
      </c>
      <c r="F1445" s="70" t="s">
        <v>587</v>
      </c>
      <c r="G1445" s="70" t="s">
        <v>387</v>
      </c>
      <c r="H1445" s="69"/>
      <c r="I1445" s="92">
        <v>0.05</v>
      </c>
      <c r="J1445" s="93">
        <v>1000.0</v>
      </c>
      <c r="K1445" s="73" t="s">
        <v>2707</v>
      </c>
      <c r="L1445" s="73"/>
      <c r="M1445" s="73"/>
      <c r="N1445" s="74"/>
    </row>
    <row r="1446" ht="30.0" hidden="1" customHeight="1">
      <c r="A1446" s="68">
        <v>1462.0</v>
      </c>
      <c r="B1446" s="68"/>
      <c r="C1446" s="68"/>
      <c r="D1446" s="69" t="str">
        <f>CONCATENATE(PROPER('DASMA INFO'!$G1446),", ",PROPER('DASMA INFO'!$E1446)," ",PROPER('DASMA INFO'!$F1446),"."," (",UPPER('DASMA INFO'!$H1446),")")</f>
        <v>Lim, Andy P. ()</v>
      </c>
      <c r="E1446" s="70" t="s">
        <v>2708</v>
      </c>
      <c r="F1446" s="70" t="s">
        <v>513</v>
      </c>
      <c r="G1446" s="70" t="s">
        <v>611</v>
      </c>
      <c r="H1446" s="69"/>
      <c r="I1446" s="105">
        <v>0.12</v>
      </c>
      <c r="J1446" s="106">
        <v>1000.0</v>
      </c>
      <c r="K1446" s="73" t="s">
        <v>2672</v>
      </c>
      <c r="L1446" s="73"/>
      <c r="M1446" s="73"/>
      <c r="N1446" s="74"/>
    </row>
    <row r="1447" ht="30.0" hidden="1" customHeight="1">
      <c r="A1447" s="68">
        <v>1463.0</v>
      </c>
      <c r="B1447" s="68"/>
      <c r="C1447" s="68"/>
      <c r="D1447" s="69" t="str">
        <f>CONCATENATE(PROPER('DASMA INFO'!$G1447),", ",PROPER('DASMA INFO'!$E1447)," ",PROPER('DASMA INFO'!$F1447),"."," (",UPPER('DASMA INFO'!$H1447),")")</f>
        <v>Talavera, Raquel V. ()</v>
      </c>
      <c r="E1447" s="70" t="s">
        <v>191</v>
      </c>
      <c r="F1447" s="70" t="s">
        <v>620</v>
      </c>
      <c r="G1447" s="70" t="s">
        <v>2709</v>
      </c>
      <c r="H1447" s="69"/>
      <c r="I1447" s="92">
        <v>0.05</v>
      </c>
      <c r="J1447" s="93">
        <v>1000.0</v>
      </c>
      <c r="K1447" s="73" t="s">
        <v>2586</v>
      </c>
      <c r="L1447" s="73"/>
      <c r="M1447" s="73"/>
      <c r="N1447" s="74"/>
    </row>
    <row r="1448" ht="30.0" hidden="1" customHeight="1">
      <c r="A1448" s="68">
        <v>1464.0</v>
      </c>
      <c r="B1448" s="68"/>
      <c r="C1448" s="68"/>
      <c r="D1448" s="69" t="str">
        <f>CONCATENATE(PROPER('DASMA INFO'!$G1448),", ",PROPER('DASMA INFO'!$E1448)," ",PROPER('DASMA INFO'!$F1448),"."," (",UPPER('DASMA INFO'!$H1448),")")</f>
        <v>Dumdum, Filipina M. ()</v>
      </c>
      <c r="E1448" s="70" t="s">
        <v>2710</v>
      </c>
      <c r="F1448" s="70" t="s">
        <v>587</v>
      </c>
      <c r="G1448" s="70" t="s">
        <v>2711</v>
      </c>
      <c r="H1448" s="69"/>
      <c r="I1448" s="105">
        <v>0.12</v>
      </c>
      <c r="J1448" s="106">
        <v>1000.0</v>
      </c>
      <c r="K1448" s="73"/>
      <c r="L1448" s="73"/>
      <c r="M1448" s="73"/>
      <c r="N1448" s="74"/>
    </row>
    <row r="1449" ht="30.0" hidden="1" customHeight="1">
      <c r="A1449" s="68">
        <v>1465.0</v>
      </c>
      <c r="B1449" s="68"/>
      <c r="C1449" s="68"/>
      <c r="D1449" s="69" t="str">
        <f>CONCATENATE(PROPER('DASMA INFO'!$G1449),", ",PROPER('DASMA INFO'!$E1449)," ",PROPER('DASMA INFO'!$F1449),"."," (",UPPER('DASMA INFO'!$H1449),")")</f>
        <v>Moral, Vilma V. ()</v>
      </c>
      <c r="E1449" s="70" t="s">
        <v>1509</v>
      </c>
      <c r="F1449" s="70" t="s">
        <v>620</v>
      </c>
      <c r="G1449" s="70" t="s">
        <v>522</v>
      </c>
      <c r="H1449" s="69"/>
      <c r="I1449" s="105">
        <v>0.12</v>
      </c>
      <c r="J1449" s="106">
        <v>1000.0</v>
      </c>
      <c r="K1449" s="73"/>
      <c r="L1449" s="73"/>
      <c r="M1449" s="73"/>
      <c r="N1449" s="74"/>
    </row>
    <row r="1450" ht="30.0" hidden="1" customHeight="1">
      <c r="A1450" s="68">
        <v>1466.0</v>
      </c>
      <c r="B1450" s="68"/>
      <c r="C1450" s="68"/>
      <c r="D1450" s="69" t="str">
        <f>CONCATENATE(PROPER('DASMA INFO'!$G1450),", ",PROPER('DASMA INFO'!$E1450)," ",PROPER('DASMA INFO'!$F1450),"."," (",UPPER('DASMA INFO'!$H1450),")")</f>
        <v>Moral, Vilma V. ()</v>
      </c>
      <c r="E1450" s="70" t="s">
        <v>1509</v>
      </c>
      <c r="F1450" s="70" t="s">
        <v>620</v>
      </c>
      <c r="G1450" s="70" t="s">
        <v>522</v>
      </c>
      <c r="H1450" s="69"/>
      <c r="I1450" s="105">
        <v>0.12</v>
      </c>
      <c r="J1450" s="106">
        <v>1000.0</v>
      </c>
      <c r="K1450" s="73" t="s">
        <v>1053</v>
      </c>
      <c r="L1450" s="73"/>
      <c r="M1450" s="73"/>
      <c r="N1450" s="74"/>
    </row>
    <row r="1451" ht="30.0" hidden="1" customHeight="1">
      <c r="A1451" s="68">
        <v>1467.0</v>
      </c>
      <c r="B1451" s="68"/>
      <c r="C1451" s="68"/>
      <c r="D1451" s="69" t="str">
        <f>CONCATENATE(PROPER('DASMA INFO'!$G1451),", ",PROPER('DASMA INFO'!$E1451)," ",PROPER('DASMA INFO'!$F1451),"."," (",UPPER('DASMA INFO'!$H1451),")")</f>
        <v>Manlapaz, Lailanie A. ()</v>
      </c>
      <c r="E1451" s="70" t="s">
        <v>2712</v>
      </c>
      <c r="F1451" s="70" t="s">
        <v>427</v>
      </c>
      <c r="G1451" s="70" t="s">
        <v>2713</v>
      </c>
      <c r="H1451" s="69"/>
      <c r="I1451" s="92">
        <v>0.05</v>
      </c>
      <c r="J1451" s="93">
        <v>2000.0</v>
      </c>
      <c r="K1451" s="73" t="s">
        <v>2714</v>
      </c>
      <c r="L1451" s="73"/>
      <c r="M1451" s="73"/>
      <c r="N1451" s="74"/>
    </row>
    <row r="1452" ht="30.0" hidden="1" customHeight="1">
      <c r="A1452" s="68">
        <v>1468.0</v>
      </c>
      <c r="B1452" s="68"/>
      <c r="C1452" s="68"/>
      <c r="D1452" s="69" t="str">
        <f>CONCATENATE(PROPER('DASMA INFO'!$G1452),", ",PROPER('DASMA INFO'!$E1452)," ",PROPER('DASMA INFO'!$F1452),"."," (",UPPER('DASMA INFO'!$H1452),")")</f>
        <v>Ibanalo, Mary Anne V. ()</v>
      </c>
      <c r="E1452" s="70" t="s">
        <v>58</v>
      </c>
      <c r="F1452" s="70" t="s">
        <v>620</v>
      </c>
      <c r="G1452" s="70" t="s">
        <v>2715</v>
      </c>
      <c r="H1452" s="69"/>
      <c r="I1452" s="105">
        <v>0.12</v>
      </c>
      <c r="J1452" s="106">
        <v>1000.0</v>
      </c>
      <c r="K1452" s="73" t="s">
        <v>1131</v>
      </c>
      <c r="L1452" s="73"/>
      <c r="M1452" s="73"/>
      <c r="N1452" s="74"/>
    </row>
    <row r="1453" ht="30.0" hidden="1" customHeight="1">
      <c r="A1453" s="68">
        <v>1469.0</v>
      </c>
      <c r="B1453" s="68"/>
      <c r="C1453" s="68"/>
      <c r="D1453" s="69" t="str">
        <f>CONCATENATE(PROPER('DASMA INFO'!$G1453),", ",PROPER('DASMA INFO'!$E1453)," ",PROPER('DASMA INFO'!$F1453),"."," (",UPPER('DASMA INFO'!$H1453),")")</f>
        <v>Polo, Bernadette A. ()</v>
      </c>
      <c r="E1453" s="70" t="s">
        <v>2716</v>
      </c>
      <c r="F1453" s="70" t="s">
        <v>427</v>
      </c>
      <c r="G1453" s="70" t="s">
        <v>2717</v>
      </c>
      <c r="H1453" s="69"/>
      <c r="I1453" s="105">
        <v>0.12</v>
      </c>
      <c r="J1453" s="106">
        <v>1000.0</v>
      </c>
      <c r="K1453" s="73" t="s">
        <v>2520</v>
      </c>
      <c r="L1453" s="73"/>
      <c r="M1453" s="73"/>
      <c r="N1453" s="74"/>
    </row>
    <row r="1454" ht="30.0" hidden="1" customHeight="1">
      <c r="A1454" s="68">
        <v>1470.0</v>
      </c>
      <c r="B1454" s="68"/>
      <c r="C1454" s="68"/>
      <c r="D1454" s="69" t="str">
        <f>CONCATENATE(PROPER('DASMA INFO'!$G1454),", ",PROPER('DASMA INFO'!$E1454)," ",PROPER('DASMA INFO'!$F1454),"."," (",UPPER('DASMA INFO'!$H1454),")")</f>
        <v>Sisno, James Arnold M. ()</v>
      </c>
      <c r="E1454" s="70" t="s">
        <v>2718</v>
      </c>
      <c r="F1454" s="70" t="s">
        <v>587</v>
      </c>
      <c r="G1454" s="70" t="s">
        <v>2719</v>
      </c>
      <c r="H1454" s="69"/>
      <c r="I1454" s="105">
        <v>0.12</v>
      </c>
      <c r="J1454" s="106">
        <v>1000.0</v>
      </c>
      <c r="K1454" s="73" t="s">
        <v>1231</v>
      </c>
      <c r="L1454" s="73"/>
      <c r="M1454" s="73"/>
      <c r="N1454" s="74"/>
    </row>
    <row r="1455" ht="30.0" hidden="1" customHeight="1">
      <c r="A1455" s="68">
        <v>1471.0</v>
      </c>
      <c r="B1455" s="68"/>
      <c r="C1455" s="68"/>
      <c r="D1455" s="69" t="str">
        <f>CONCATENATE(PROPER('DASMA INFO'!$G1455),", ",PROPER('DASMA INFO'!$E1455)," ",PROPER('DASMA INFO'!$F1455),"."," (",UPPER('DASMA INFO'!$H1455),")")</f>
        <v>Villalobos, Borromeo S. ()</v>
      </c>
      <c r="E1455" s="70" t="s">
        <v>277</v>
      </c>
      <c r="F1455" s="70" t="s">
        <v>342</v>
      </c>
      <c r="G1455" s="70" t="s">
        <v>2720</v>
      </c>
      <c r="H1455" s="69"/>
      <c r="I1455" s="92">
        <v>0.05</v>
      </c>
      <c r="J1455" s="93">
        <v>1000.0</v>
      </c>
      <c r="K1455" s="73" t="s">
        <v>2721</v>
      </c>
      <c r="L1455" s="73"/>
      <c r="M1455" s="73"/>
      <c r="N1455" s="74"/>
    </row>
    <row r="1456" ht="30.0" hidden="1" customHeight="1">
      <c r="A1456" s="68">
        <v>1472.0</v>
      </c>
      <c r="B1456" s="68"/>
      <c r="C1456" s="68"/>
      <c r="D1456" s="69" t="str">
        <f>CONCATENATE(PROPER('DASMA INFO'!$G1456),", ",PROPER('DASMA INFO'!$E1456)," ",PROPER('DASMA INFO'!$F1456),"."," (",UPPER('DASMA INFO'!$H1456),")")</f>
        <v>Causing, Ludy Ko . ()</v>
      </c>
      <c r="E1456" s="70" t="s">
        <v>2722</v>
      </c>
      <c r="F1456" s="69"/>
      <c r="G1456" s="70" t="s">
        <v>2051</v>
      </c>
      <c r="H1456" s="69"/>
      <c r="I1456" s="92">
        <v>0.05</v>
      </c>
      <c r="J1456" s="93">
        <v>1000.0</v>
      </c>
      <c r="K1456" s="73" t="s">
        <v>2723</v>
      </c>
      <c r="L1456" s="73"/>
      <c r="M1456" s="73"/>
      <c r="N1456" s="74"/>
    </row>
    <row r="1457" ht="30.0" hidden="1" customHeight="1">
      <c r="A1457" s="68">
        <v>1473.0</v>
      </c>
      <c r="B1457" s="68"/>
      <c r="C1457" s="68"/>
      <c r="D1457" s="69" t="str">
        <f>CONCATENATE(PROPER('DASMA INFO'!$G1457),", ",PROPER('DASMA INFO'!$E1457)," ",PROPER('DASMA INFO'!$F1457),"."," (",UPPER('DASMA INFO'!$H1457),")")</f>
        <v>Bringas, Jazmin Mojica. ()</v>
      </c>
      <c r="E1457" s="70" t="s">
        <v>2724</v>
      </c>
      <c r="F1457" s="70" t="s">
        <v>2462</v>
      </c>
      <c r="G1457" s="70" t="s">
        <v>2725</v>
      </c>
      <c r="H1457" s="69"/>
      <c r="I1457" s="92">
        <v>0.05</v>
      </c>
      <c r="J1457" s="93">
        <v>1000.0</v>
      </c>
      <c r="K1457" s="73" t="s">
        <v>1187</v>
      </c>
      <c r="L1457" s="73"/>
      <c r="M1457" s="73"/>
      <c r="N1457" s="74"/>
    </row>
    <row r="1458" ht="30.0" hidden="1" customHeight="1">
      <c r="A1458" s="68">
        <v>1474.0</v>
      </c>
      <c r="B1458" s="68"/>
      <c r="C1458" s="68"/>
      <c r="D1458" s="69" t="str">
        <f>CONCATENATE(PROPER('DASMA INFO'!$G1458),", ",PROPER('DASMA INFO'!$E1458)," ",PROPER('DASMA INFO'!$F1458),"."," (",UPPER('DASMA INFO'!$H1458),")")</f>
        <v>Ravanera, Antonio Rey. ()</v>
      </c>
      <c r="E1458" s="70" t="s">
        <v>76</v>
      </c>
      <c r="F1458" s="70" t="s">
        <v>1047</v>
      </c>
      <c r="G1458" s="70" t="s">
        <v>2657</v>
      </c>
      <c r="H1458" s="69"/>
      <c r="I1458" s="92">
        <v>0.05</v>
      </c>
      <c r="J1458" s="93">
        <v>1000.0</v>
      </c>
      <c r="K1458" s="73" t="s">
        <v>2726</v>
      </c>
      <c r="L1458" s="73"/>
      <c r="M1458" s="73"/>
      <c r="N1458" s="74"/>
    </row>
    <row r="1459" ht="30.0" hidden="1" customHeight="1">
      <c r="A1459" s="68">
        <v>1475.0</v>
      </c>
      <c r="B1459" s="68"/>
      <c r="C1459" s="68"/>
      <c r="D1459" s="69" t="str">
        <f>CONCATENATE(PROPER('DASMA INFO'!$G1459),", ",PROPER('DASMA INFO'!$E1459)," ",PROPER('DASMA INFO'!$F1459),"."," (",UPPER('DASMA INFO'!$H1459),")")</f>
        <v>Candao, Raihan Sharif R. ()</v>
      </c>
      <c r="E1459" s="70" t="s">
        <v>2727</v>
      </c>
      <c r="F1459" s="70" t="s">
        <v>260</v>
      </c>
      <c r="G1459" s="70" t="s">
        <v>2728</v>
      </c>
      <c r="H1459" s="69"/>
      <c r="I1459" s="105">
        <v>0.12</v>
      </c>
      <c r="J1459" s="106">
        <v>1000.0</v>
      </c>
      <c r="K1459" s="73" t="s">
        <v>968</v>
      </c>
      <c r="L1459" s="73"/>
      <c r="M1459" s="73"/>
      <c r="N1459" s="74"/>
    </row>
    <row r="1460" ht="30.0" hidden="1" customHeight="1">
      <c r="A1460" s="68">
        <v>1476.0</v>
      </c>
      <c r="B1460" s="68"/>
      <c r="C1460" s="68"/>
      <c r="D1460" s="69" t="str">
        <f>CONCATENATE(PROPER('DASMA INFO'!$G1460),", ",PROPER('DASMA INFO'!$E1460)," ",PROPER('DASMA INFO'!$F1460),"."," (",UPPER('DASMA INFO'!$H1460),")")</f>
        <v>Limosnero, Lerma R. ()</v>
      </c>
      <c r="E1460" s="70" t="s">
        <v>2387</v>
      </c>
      <c r="F1460" s="70" t="s">
        <v>260</v>
      </c>
      <c r="G1460" s="70" t="s">
        <v>2729</v>
      </c>
      <c r="H1460" s="69"/>
      <c r="I1460" s="92">
        <v>0.05</v>
      </c>
      <c r="J1460" s="93">
        <v>1000.0</v>
      </c>
      <c r="K1460" s="73" t="s">
        <v>2730</v>
      </c>
      <c r="L1460" s="73"/>
      <c r="M1460" s="73"/>
      <c r="N1460" s="74"/>
    </row>
    <row r="1461" ht="30.0" hidden="1" customHeight="1">
      <c r="A1461" s="68">
        <v>1477.0</v>
      </c>
      <c r="B1461" s="68"/>
      <c r="C1461" s="68"/>
      <c r="D1461" s="69" t="str">
        <f>CONCATENATE(PROPER('DASMA INFO'!$G1461),", ",PROPER('DASMA INFO'!$E1461)," ",PROPER('DASMA INFO'!$F1461),"."," (",UPPER('DASMA INFO'!$H1461),")")</f>
        <v>Labrador, Raceline F. ()</v>
      </c>
      <c r="E1461" s="70" t="s">
        <v>2731</v>
      </c>
      <c r="F1461" s="70" t="s">
        <v>1738</v>
      </c>
      <c r="G1461" s="70" t="s">
        <v>2089</v>
      </c>
      <c r="H1461" s="69"/>
      <c r="I1461" s="105">
        <v>0.12</v>
      </c>
      <c r="J1461" s="106">
        <v>1000.0</v>
      </c>
      <c r="K1461" s="73" t="s">
        <v>2590</v>
      </c>
      <c r="L1461" s="73"/>
      <c r="M1461" s="73"/>
      <c r="N1461" s="74"/>
    </row>
    <row r="1462" ht="30.0" hidden="1" customHeight="1">
      <c r="A1462" s="68">
        <v>1478.0</v>
      </c>
      <c r="B1462" s="68"/>
      <c r="C1462" s="68"/>
      <c r="D1462" s="69" t="str">
        <f>CONCATENATE(PROPER('DASMA INFO'!$G1462),", ",PROPER('DASMA INFO'!$E1462)," ",PROPER('DASMA INFO'!$F1462),"."," (",UPPER('DASMA INFO'!$H1462),")")</f>
        <v>Murillo, Nonita O. ()</v>
      </c>
      <c r="E1462" s="70" t="s">
        <v>2732</v>
      </c>
      <c r="F1462" s="70" t="s">
        <v>634</v>
      </c>
      <c r="G1462" s="70" t="s">
        <v>2733</v>
      </c>
      <c r="H1462" s="69"/>
      <c r="I1462" s="105">
        <v>0.12</v>
      </c>
      <c r="J1462" s="106">
        <v>1000.0</v>
      </c>
      <c r="K1462" s="73" t="s">
        <v>1555</v>
      </c>
      <c r="L1462" s="73"/>
      <c r="M1462" s="73"/>
      <c r="N1462" s="74"/>
    </row>
    <row r="1463" ht="30.0" hidden="1" customHeight="1">
      <c r="A1463" s="68">
        <v>1479.0</v>
      </c>
      <c r="B1463" s="68"/>
      <c r="C1463" s="68"/>
      <c r="D1463" s="69" t="str">
        <f>CONCATENATE(PROPER('DASMA INFO'!$G1463),", ",PROPER('DASMA INFO'!$E1463)," ",PROPER('DASMA INFO'!$F1463),"."," (",UPPER('DASMA INFO'!$H1463),")")</f>
        <v>Padilla, Darylle Anne D. ()</v>
      </c>
      <c r="E1463" s="70" t="s">
        <v>2734</v>
      </c>
      <c r="F1463" s="70" t="s">
        <v>1078</v>
      </c>
      <c r="G1463" s="70" t="s">
        <v>1914</v>
      </c>
      <c r="H1463" s="69"/>
      <c r="I1463" s="105">
        <v>0.12</v>
      </c>
      <c r="J1463" s="106">
        <v>1000.0</v>
      </c>
      <c r="K1463" s="73" t="s">
        <v>960</v>
      </c>
      <c r="L1463" s="73"/>
      <c r="M1463" s="73"/>
      <c r="N1463" s="74"/>
    </row>
    <row r="1464" ht="30.0" hidden="1" customHeight="1">
      <c r="A1464" s="68">
        <v>1480.0</v>
      </c>
      <c r="B1464" s="68"/>
      <c r="C1464" s="68"/>
      <c r="D1464" s="69" t="str">
        <f>CONCATENATE(PROPER('DASMA INFO'!$G1464),", ",PROPER('DASMA INFO'!$E1464)," ",PROPER('DASMA INFO'!$F1464),"."," (",UPPER('DASMA INFO'!$H1464),")")</f>
        <v>Rosal, Gjianne Vera L. ()</v>
      </c>
      <c r="E1464" s="70" t="s">
        <v>2735</v>
      </c>
      <c r="F1464" s="70" t="s">
        <v>648</v>
      </c>
      <c r="G1464" s="70" t="s">
        <v>71</v>
      </c>
      <c r="H1464" s="69"/>
      <c r="I1464" s="105">
        <v>0.12</v>
      </c>
      <c r="J1464" s="106">
        <v>1000.0</v>
      </c>
      <c r="K1464" s="73" t="s">
        <v>2531</v>
      </c>
      <c r="L1464" s="73"/>
      <c r="M1464" s="73"/>
      <c r="N1464" s="74"/>
    </row>
    <row r="1465" ht="30.0" hidden="1" customHeight="1">
      <c r="A1465" s="68">
        <v>1481.0</v>
      </c>
      <c r="B1465" s="68"/>
      <c r="C1465" s="68"/>
      <c r="D1465" s="69" t="str">
        <f>CONCATENATE(PROPER('DASMA INFO'!$G1465),", ",PROPER('DASMA INFO'!$E1465)," ",PROPER('DASMA INFO'!$F1465),"."," (",UPPER('DASMA INFO'!$H1465),")")</f>
        <v>Soylon, Jeffrey M. ()</v>
      </c>
      <c r="E1465" s="70" t="s">
        <v>1577</v>
      </c>
      <c r="F1465" s="70" t="s">
        <v>587</v>
      </c>
      <c r="G1465" s="70" t="s">
        <v>189</v>
      </c>
      <c r="H1465" s="69"/>
      <c r="I1465" s="105">
        <v>0.12</v>
      </c>
      <c r="J1465" s="106">
        <v>1000.0</v>
      </c>
      <c r="K1465" s="73" t="s">
        <v>968</v>
      </c>
      <c r="L1465" s="73"/>
      <c r="M1465" s="73"/>
      <c r="N1465" s="74"/>
    </row>
    <row r="1466" ht="30.0" hidden="1" customHeight="1">
      <c r="A1466" s="68">
        <v>1482.0</v>
      </c>
      <c r="B1466" s="68"/>
      <c r="C1466" s="68"/>
      <c r="D1466" s="69" t="str">
        <f>CONCATENATE(PROPER('DASMA INFO'!$G1466),", ",PROPER('DASMA INFO'!$E1466)," ",PROPER('DASMA INFO'!$F1466),"."," (",UPPER('DASMA INFO'!$H1466),")")</f>
        <v>Piano, Zenaida P. ()</v>
      </c>
      <c r="E1466" s="70" t="s">
        <v>126</v>
      </c>
      <c r="F1466" s="70" t="s">
        <v>513</v>
      </c>
      <c r="G1466" s="70" t="s">
        <v>2736</v>
      </c>
      <c r="H1466" s="69"/>
      <c r="I1466" s="105">
        <v>0.12</v>
      </c>
      <c r="J1466" s="106">
        <v>1000.0</v>
      </c>
      <c r="K1466" s="73" t="s">
        <v>2737</v>
      </c>
      <c r="L1466" s="73"/>
      <c r="M1466" s="73"/>
      <c r="N1466" s="74"/>
    </row>
    <row r="1467" ht="30.0" hidden="1" customHeight="1">
      <c r="A1467" s="68">
        <v>1483.0</v>
      </c>
      <c r="B1467" s="68"/>
      <c r="C1467" s="68"/>
      <c r="D1467" s="69" t="str">
        <f>CONCATENATE(PROPER('DASMA INFO'!$G1467),", ",PROPER('DASMA INFO'!$E1467)," ",PROPER('DASMA INFO'!$F1467),"."," (",UPPER('DASMA INFO'!$H1467),")")</f>
        <v>Piano, Alyssa Marie P. ()</v>
      </c>
      <c r="E1467" s="70" t="s">
        <v>2738</v>
      </c>
      <c r="F1467" s="70" t="s">
        <v>513</v>
      </c>
      <c r="G1467" s="70" t="s">
        <v>2736</v>
      </c>
      <c r="H1467" s="69"/>
      <c r="I1467" s="105">
        <v>0.12</v>
      </c>
      <c r="J1467" s="106">
        <v>1000.0</v>
      </c>
      <c r="K1467" s="73" t="s">
        <v>953</v>
      </c>
      <c r="L1467" s="73"/>
      <c r="M1467" s="73"/>
      <c r="N1467" s="74"/>
    </row>
    <row r="1468" ht="30.0" hidden="1" customHeight="1">
      <c r="A1468" s="68">
        <v>1484.0</v>
      </c>
      <c r="B1468" s="68"/>
      <c r="C1468" s="68"/>
      <c r="D1468" s="69" t="str">
        <f>CONCATENATE(PROPER('DASMA INFO'!$G1468),", ",PROPER('DASMA INFO'!$E1468)," ",PROPER('DASMA INFO'!$F1468),"."," (",UPPER('DASMA INFO'!$H1468),")")</f>
        <v>Accad, Crispina B. ()</v>
      </c>
      <c r="E1468" s="70" t="s">
        <v>2739</v>
      </c>
      <c r="F1468" s="70" t="s">
        <v>627</v>
      </c>
      <c r="G1468" s="70" t="s">
        <v>2740</v>
      </c>
      <c r="H1468" s="69"/>
      <c r="I1468" s="105">
        <v>0.12</v>
      </c>
      <c r="J1468" s="106">
        <v>1000.0</v>
      </c>
      <c r="K1468" s="73" t="s">
        <v>2741</v>
      </c>
      <c r="L1468" s="73"/>
      <c r="M1468" s="73"/>
      <c r="N1468" s="74"/>
    </row>
    <row r="1469" ht="30.0" hidden="1" customHeight="1">
      <c r="A1469" s="68">
        <v>1485.0</v>
      </c>
      <c r="B1469" s="68"/>
      <c r="C1469" s="68"/>
      <c r="D1469" s="69" t="str">
        <f>CONCATENATE(PROPER('DASMA INFO'!$G1469),", ",PROPER('DASMA INFO'!$E1469)," ",PROPER('DASMA INFO'!$F1469),"."," (",UPPER('DASMA INFO'!$H1469),")")</f>
        <v>Rubia, Janela V. ()</v>
      </c>
      <c r="E1469" s="70" t="s">
        <v>2742</v>
      </c>
      <c r="F1469" s="70" t="s">
        <v>620</v>
      </c>
      <c r="G1469" s="70" t="s">
        <v>560</v>
      </c>
      <c r="H1469" s="69"/>
      <c r="I1469" s="105">
        <v>0.12</v>
      </c>
      <c r="J1469" s="106">
        <v>1000.0</v>
      </c>
      <c r="K1469" s="73" t="s">
        <v>2737</v>
      </c>
      <c r="L1469" s="73"/>
      <c r="M1469" s="73"/>
      <c r="N1469" s="74"/>
    </row>
    <row r="1470" ht="30.0" hidden="1" customHeight="1">
      <c r="A1470" s="68">
        <v>1486.0</v>
      </c>
      <c r="B1470" s="68"/>
      <c r="C1470" s="68"/>
      <c r="D1470" s="69" t="str">
        <f>CONCATENATE(PROPER('DASMA INFO'!$G1470),", ",PROPER('DASMA INFO'!$E1470)," ",PROPER('DASMA INFO'!$F1470),"."," (",UPPER('DASMA INFO'!$H1470),")")</f>
        <v>Pastorpide, Yolanda S. ()</v>
      </c>
      <c r="E1470" s="70" t="s">
        <v>961</v>
      </c>
      <c r="F1470" s="70" t="s">
        <v>342</v>
      </c>
      <c r="G1470" s="70" t="s">
        <v>962</v>
      </c>
      <c r="H1470" s="69"/>
      <c r="I1470" s="92">
        <v>0.05</v>
      </c>
      <c r="J1470" s="93">
        <v>1000.0</v>
      </c>
      <c r="K1470" s="73" t="s">
        <v>1017</v>
      </c>
      <c r="L1470" s="73"/>
      <c r="M1470" s="73"/>
      <c r="N1470" s="74"/>
    </row>
    <row r="1471" ht="30.0" hidden="1" customHeight="1">
      <c r="A1471" s="68">
        <v>1487.0</v>
      </c>
      <c r="B1471" s="68"/>
      <c r="C1471" s="68"/>
      <c r="D1471" s="69" t="str">
        <f>CONCATENATE(PROPER('DASMA INFO'!$G1471),", ",PROPER('DASMA INFO'!$E1471)," ",PROPER('DASMA INFO'!$F1471),"."," (",UPPER('DASMA INFO'!$H1471),")")</f>
        <v>Retardo, Roschel R. ()</v>
      </c>
      <c r="E1471" s="70" t="s">
        <v>357</v>
      </c>
      <c r="F1471" s="70" t="s">
        <v>260</v>
      </c>
      <c r="G1471" s="70" t="s">
        <v>132</v>
      </c>
      <c r="H1471" s="69"/>
      <c r="I1471" s="92">
        <v>0.05</v>
      </c>
      <c r="J1471" s="93">
        <v>1000.0</v>
      </c>
      <c r="K1471" s="73" t="s">
        <v>1265</v>
      </c>
      <c r="L1471" s="73"/>
      <c r="M1471" s="73"/>
      <c r="N1471" s="74"/>
    </row>
    <row r="1472" ht="30.0" hidden="1" customHeight="1">
      <c r="A1472" s="68">
        <v>1488.0</v>
      </c>
      <c r="B1472" s="68"/>
      <c r="C1472" s="68"/>
      <c r="D1472" s="69" t="str">
        <f>CONCATENATE(PROPER('DASMA INFO'!$G1472),", ",PROPER('DASMA INFO'!$E1472)," ",PROPER('DASMA INFO'!$F1472),"."," (",UPPER('DASMA INFO'!$H1472),")")</f>
        <v>Ko, Ferdinand T. ()</v>
      </c>
      <c r="E1472" s="70" t="s">
        <v>2743</v>
      </c>
      <c r="F1472" s="70" t="s">
        <v>752</v>
      </c>
      <c r="G1472" s="70" t="s">
        <v>2744</v>
      </c>
      <c r="H1472" s="69"/>
      <c r="I1472" s="92">
        <v>0.05</v>
      </c>
      <c r="J1472" s="93">
        <v>1000.0</v>
      </c>
      <c r="K1472" s="73" t="s">
        <v>2103</v>
      </c>
      <c r="L1472" s="73" t="s">
        <v>81</v>
      </c>
      <c r="M1472" s="73">
        <v>2022.0</v>
      </c>
      <c r="N1472" s="74"/>
    </row>
    <row r="1473" ht="30.0" hidden="1" customHeight="1">
      <c r="A1473" s="68">
        <v>1489.0</v>
      </c>
      <c r="B1473" s="68"/>
      <c r="C1473" s="68"/>
      <c r="D1473" s="69" t="str">
        <f>CONCATENATE(PROPER('DASMA INFO'!$G1473),", ",PROPER('DASMA INFO'!$E1473)," ",PROPER('DASMA INFO'!$F1473),"."," (",UPPER('DASMA INFO'!$H1473),")")</f>
        <v>Ko, Gina H. ()</v>
      </c>
      <c r="E1473" s="70" t="s">
        <v>1103</v>
      </c>
      <c r="F1473" s="70" t="s">
        <v>2537</v>
      </c>
      <c r="G1473" s="70" t="s">
        <v>2744</v>
      </c>
      <c r="H1473" s="69"/>
      <c r="I1473" s="92">
        <v>0.05</v>
      </c>
      <c r="J1473" s="93">
        <v>1000.0</v>
      </c>
      <c r="K1473" s="73" t="s">
        <v>2745</v>
      </c>
      <c r="L1473" s="73" t="s">
        <v>81</v>
      </c>
      <c r="M1473" s="73">
        <v>2022.0</v>
      </c>
      <c r="N1473" s="74"/>
    </row>
    <row r="1474" ht="30.0" hidden="1" customHeight="1">
      <c r="A1474" s="68">
        <v>1490.0</v>
      </c>
      <c r="B1474" s="68"/>
      <c r="C1474" s="68"/>
      <c r="D1474" s="69" t="str">
        <f>CONCATENATE(PROPER('DASMA INFO'!$G1474),", ",PROPER('DASMA INFO'!$E1474)," ",PROPER('DASMA INFO'!$F1474),"."," (",UPPER('DASMA INFO'!$H1474),")")</f>
        <v>Tenorio, Milagros R. ()</v>
      </c>
      <c r="E1474" s="70" t="s">
        <v>1381</v>
      </c>
      <c r="F1474" s="70" t="s">
        <v>260</v>
      </c>
      <c r="G1474" s="70" t="s">
        <v>2746</v>
      </c>
      <c r="H1474" s="69"/>
      <c r="I1474" s="105">
        <v>0.12</v>
      </c>
      <c r="J1474" s="106">
        <v>1000.0</v>
      </c>
      <c r="K1474" s="73" t="s">
        <v>2747</v>
      </c>
      <c r="L1474" s="73"/>
      <c r="M1474" s="73"/>
      <c r="N1474" s="74"/>
    </row>
    <row r="1475" ht="30.0" hidden="1" customHeight="1">
      <c r="A1475" s="68">
        <v>1491.0</v>
      </c>
      <c r="B1475" s="68"/>
      <c r="C1475" s="68"/>
      <c r="D1475" s="69" t="str">
        <f>CONCATENATE(PROPER('DASMA INFO'!$G1475),", ",PROPER('DASMA INFO'!$E1475)," ",PROPER('DASMA INFO'!$F1475),"."," (",UPPER('DASMA INFO'!$H1475),")")</f>
        <v>Guirit, Clarita E. ()</v>
      </c>
      <c r="E1475" s="70" t="s">
        <v>2748</v>
      </c>
      <c r="F1475" s="70" t="s">
        <v>299</v>
      </c>
      <c r="G1475" s="70" t="s">
        <v>2749</v>
      </c>
      <c r="H1475" s="69"/>
      <c r="I1475" s="105">
        <v>0.12</v>
      </c>
      <c r="J1475" s="106">
        <v>1000.0</v>
      </c>
      <c r="K1475" s="73" t="s">
        <v>1053</v>
      </c>
      <c r="L1475" s="73"/>
      <c r="M1475" s="73"/>
      <c r="N1475" s="74"/>
    </row>
    <row r="1476" ht="30.0" hidden="1" customHeight="1">
      <c r="A1476" s="68">
        <v>1492.0</v>
      </c>
      <c r="B1476" s="68"/>
      <c r="C1476" s="68"/>
      <c r="D1476" s="69" t="str">
        <f>CONCATENATE(PROPER('DASMA INFO'!$G1476),", ",PROPER('DASMA INFO'!$E1476)," ",PROPER('DASMA INFO'!$F1476),"."," (",UPPER('DASMA INFO'!$H1476),")")</f>
        <v>Serrano, Zernando R. ()</v>
      </c>
      <c r="E1476" s="70" t="s">
        <v>2750</v>
      </c>
      <c r="F1476" s="70" t="s">
        <v>260</v>
      </c>
      <c r="G1476" s="70" t="s">
        <v>2321</v>
      </c>
      <c r="H1476" s="69"/>
      <c r="I1476" s="105">
        <v>0.12</v>
      </c>
      <c r="J1476" s="106">
        <v>1000.0</v>
      </c>
      <c r="K1476" s="73" t="s">
        <v>968</v>
      </c>
      <c r="L1476" s="73"/>
      <c r="M1476" s="73"/>
      <c r="N1476" s="74"/>
    </row>
    <row r="1477" ht="30.0" hidden="1" customHeight="1">
      <c r="A1477" s="68">
        <v>1493.0</v>
      </c>
      <c r="B1477" s="68"/>
      <c r="C1477" s="68"/>
      <c r="D1477" s="69" t="str">
        <f>CONCATENATE(PROPER('DASMA INFO'!$G1477),", ",PROPER('DASMA INFO'!$E1477)," ",PROPER('DASMA INFO'!$F1477),"."," (",UPPER('DASMA INFO'!$H1477),")")</f>
        <v>Clavano, Anna Liza P. ()</v>
      </c>
      <c r="E1477" s="70" t="s">
        <v>2751</v>
      </c>
      <c r="F1477" s="70" t="s">
        <v>513</v>
      </c>
      <c r="G1477" s="70" t="s">
        <v>362</v>
      </c>
      <c r="H1477" s="69"/>
      <c r="I1477" s="92">
        <v>0.05</v>
      </c>
      <c r="J1477" s="93">
        <v>1000.0</v>
      </c>
      <c r="K1477" s="73" t="s">
        <v>2745</v>
      </c>
      <c r="L1477" s="73"/>
      <c r="M1477" s="73"/>
      <c r="N1477" s="74"/>
    </row>
    <row r="1478" ht="30.0" hidden="1" customHeight="1">
      <c r="A1478" s="68">
        <v>1494.0</v>
      </c>
      <c r="B1478" s="68"/>
      <c r="C1478" s="68"/>
      <c r="D1478" s="69" t="str">
        <f>CONCATENATE(PROPER('DASMA INFO'!$G1478),", ",PROPER('DASMA INFO'!$E1478)," ",PROPER('DASMA INFO'!$F1478),"."," (",UPPER('DASMA INFO'!$H1478),")")</f>
        <v>Aquino, Rufino C. ()</v>
      </c>
      <c r="E1478" s="70" t="s">
        <v>2752</v>
      </c>
      <c r="F1478" s="70" t="s">
        <v>318</v>
      </c>
      <c r="G1478" s="70" t="s">
        <v>331</v>
      </c>
      <c r="H1478" s="69"/>
      <c r="I1478" s="105">
        <v>0.12</v>
      </c>
      <c r="J1478" s="106">
        <v>1000.0</v>
      </c>
      <c r="K1478" s="73" t="s">
        <v>1187</v>
      </c>
      <c r="L1478" s="73"/>
      <c r="M1478" s="73"/>
      <c r="N1478" s="74"/>
    </row>
    <row r="1479" ht="30.0" hidden="1" customHeight="1">
      <c r="A1479" s="68">
        <v>1495.0</v>
      </c>
      <c r="B1479" s="68"/>
      <c r="C1479" s="68"/>
      <c r="D1479" s="69" t="str">
        <f>CONCATENATE(PROPER('DASMA INFO'!$G1479),", ",PROPER('DASMA INFO'!$E1479)," ",PROPER('DASMA INFO'!$F1479),"."," (",UPPER('DASMA INFO'!$H1479),")")</f>
        <v>Cruz, Victor D. ()</v>
      </c>
      <c r="E1479" s="70" t="s">
        <v>1804</v>
      </c>
      <c r="F1479" s="70" t="s">
        <v>1078</v>
      </c>
      <c r="G1479" s="70" t="s">
        <v>676</v>
      </c>
      <c r="H1479" s="69"/>
      <c r="I1479" s="105">
        <v>0.12</v>
      </c>
      <c r="J1479" s="106">
        <v>1000.0</v>
      </c>
      <c r="K1479" s="73" t="s">
        <v>968</v>
      </c>
      <c r="L1479" s="73"/>
      <c r="M1479" s="73"/>
      <c r="N1479" s="74"/>
    </row>
    <row r="1480" ht="30.0" hidden="1" customHeight="1">
      <c r="A1480" s="68">
        <v>1496.0</v>
      </c>
      <c r="B1480" s="68"/>
      <c r="C1480" s="68"/>
      <c r="D1480" s="69" t="str">
        <f>CONCATENATE(PROPER('DASMA INFO'!$G1480),", ",PROPER('DASMA INFO'!$E1480)," ",PROPER('DASMA INFO'!$F1480),"."," (",UPPER('DASMA INFO'!$H1480),")")</f>
        <v>Montillano, Arturo U. ()</v>
      </c>
      <c r="E1480" s="70" t="s">
        <v>2753</v>
      </c>
      <c r="F1480" s="70" t="s">
        <v>1628</v>
      </c>
      <c r="G1480" s="70" t="s">
        <v>2754</v>
      </c>
      <c r="H1480" s="69"/>
      <c r="I1480" s="105">
        <v>0.12</v>
      </c>
      <c r="J1480" s="106">
        <v>1000.0</v>
      </c>
      <c r="K1480" s="73" t="s">
        <v>2755</v>
      </c>
      <c r="L1480" s="73"/>
      <c r="M1480" s="73"/>
      <c r="N1480" s="74"/>
    </row>
    <row r="1481" ht="30.0" hidden="1" customHeight="1">
      <c r="A1481" s="68">
        <v>1497.0</v>
      </c>
      <c r="B1481" s="68"/>
      <c r="C1481" s="68"/>
      <c r="D1481" s="69" t="str">
        <f>CONCATENATE(PROPER('DASMA INFO'!$G1481),", ",PROPER('DASMA INFO'!$E1481)," ",PROPER('DASMA INFO'!$F1481),"."," (",UPPER('DASMA INFO'!$H1481),")")</f>
        <v>Agrimano, Medelito M. ()</v>
      </c>
      <c r="E1481" s="70" t="s">
        <v>2756</v>
      </c>
      <c r="F1481" s="70" t="s">
        <v>587</v>
      </c>
      <c r="G1481" s="70" t="s">
        <v>2757</v>
      </c>
      <c r="H1481" s="69"/>
      <c r="I1481" s="92">
        <v>0.05</v>
      </c>
      <c r="J1481" s="93">
        <v>1000.0</v>
      </c>
      <c r="K1481" s="73" t="s">
        <v>2586</v>
      </c>
      <c r="L1481" s="73"/>
      <c r="M1481" s="73"/>
      <c r="N1481" s="74"/>
    </row>
    <row r="1482" ht="30.0" hidden="1" customHeight="1">
      <c r="A1482" s="68">
        <v>1498.0</v>
      </c>
      <c r="B1482" s="68"/>
      <c r="C1482" s="68"/>
      <c r="D1482" s="69" t="str">
        <f>CONCATENATE(PROPER('DASMA INFO'!$G1482),", ",PROPER('DASMA INFO'!$E1482)," ",PROPER('DASMA INFO'!$F1482),"."," (",UPPER('DASMA INFO'!$H1482),")")</f>
        <v>Conde, Jerome U. ()</v>
      </c>
      <c r="E1482" s="70" t="s">
        <v>2450</v>
      </c>
      <c r="F1482" s="70" t="s">
        <v>1628</v>
      </c>
      <c r="G1482" s="70" t="s">
        <v>603</v>
      </c>
      <c r="H1482" s="69"/>
      <c r="I1482" s="92">
        <v>0.05</v>
      </c>
      <c r="J1482" s="93">
        <v>1000.0</v>
      </c>
      <c r="K1482" s="73" t="s">
        <v>2758</v>
      </c>
      <c r="L1482" s="73"/>
      <c r="M1482" s="73"/>
      <c r="N1482" s="74"/>
    </row>
    <row r="1483" ht="30.0" hidden="1" customHeight="1">
      <c r="A1483" s="68">
        <v>1499.0</v>
      </c>
      <c r="B1483" s="68"/>
      <c r="C1483" s="68"/>
      <c r="D1483" s="69" t="str">
        <f>CONCATENATE(PROPER('DASMA INFO'!$G1483),", ",PROPER('DASMA INFO'!$E1483)," ",PROPER('DASMA INFO'!$F1483),"."," (",UPPER('DASMA INFO'!$H1483),")")</f>
        <v>Arcigal, Myra V. ()</v>
      </c>
      <c r="E1483" s="70" t="s">
        <v>624</v>
      </c>
      <c r="F1483" s="70" t="s">
        <v>620</v>
      </c>
      <c r="G1483" s="70" t="s">
        <v>2759</v>
      </c>
      <c r="H1483" s="69"/>
      <c r="I1483" s="105">
        <v>0.12</v>
      </c>
      <c r="J1483" s="106">
        <v>1000.0</v>
      </c>
      <c r="K1483" s="73" t="s">
        <v>1053</v>
      </c>
      <c r="L1483" s="73"/>
      <c r="M1483" s="73"/>
      <c r="N1483" s="74"/>
    </row>
    <row r="1484" ht="30.0" hidden="1" customHeight="1">
      <c r="A1484" s="68">
        <v>1500.0</v>
      </c>
      <c r="B1484" s="68"/>
      <c r="C1484" s="68"/>
      <c r="D1484" s="69" t="str">
        <f>CONCATENATE(PROPER('DASMA INFO'!$G1484),", ",PROPER('DASMA INFO'!$E1484)," ",PROPER('DASMA INFO'!$F1484),"."," (",UPPER('DASMA INFO'!$H1484),")")</f>
        <v>Zantua, Erlinda V. ()</v>
      </c>
      <c r="E1484" s="70" t="s">
        <v>1533</v>
      </c>
      <c r="F1484" s="70" t="s">
        <v>620</v>
      </c>
      <c r="G1484" s="70" t="s">
        <v>2760</v>
      </c>
      <c r="H1484" s="69"/>
      <c r="I1484" s="105">
        <v>0.12</v>
      </c>
      <c r="J1484" s="106">
        <v>1000.0</v>
      </c>
      <c r="K1484" s="73" t="s">
        <v>2747</v>
      </c>
      <c r="L1484" s="73"/>
      <c r="M1484" s="73"/>
      <c r="N1484" s="74"/>
    </row>
    <row r="1485" ht="30.0" hidden="1" customHeight="1">
      <c r="A1485" s="68">
        <v>1501.0</v>
      </c>
      <c r="B1485" s="68"/>
      <c r="C1485" s="68"/>
      <c r="D1485" s="69" t="str">
        <f>CONCATENATE(PROPER('DASMA INFO'!$G1485),", ",PROPER('DASMA INFO'!$E1485)," ",PROPER('DASMA INFO'!$F1485),"."," (",UPPER('DASMA INFO'!$H1485),")")</f>
        <v>Brillo, Manuel B. ()</v>
      </c>
      <c r="E1485" s="70" t="s">
        <v>507</v>
      </c>
      <c r="F1485" s="70" t="s">
        <v>627</v>
      </c>
      <c r="G1485" s="70" t="s">
        <v>138</v>
      </c>
      <c r="H1485" s="69"/>
      <c r="I1485" s="92">
        <v>0.05</v>
      </c>
      <c r="J1485" s="93">
        <v>1000.0</v>
      </c>
      <c r="K1485" s="73" t="s">
        <v>2103</v>
      </c>
      <c r="L1485" s="73"/>
      <c r="M1485" s="73"/>
      <c r="N1485" s="74"/>
    </row>
    <row r="1486" ht="30.0" hidden="1" customHeight="1">
      <c r="A1486" s="68">
        <v>1502.0</v>
      </c>
      <c r="B1486" s="68"/>
      <c r="C1486" s="68"/>
      <c r="D1486" s="69" t="str">
        <f>CONCATENATE(PROPER('DASMA INFO'!$G1486),", ",PROPER('DASMA INFO'!$E1486)," ",PROPER('DASMA INFO'!$F1486),"."," (",UPPER('DASMA INFO'!$H1486),")")</f>
        <v>, Arcontica . ()</v>
      </c>
      <c r="E1486" s="75" t="s">
        <v>2761</v>
      </c>
      <c r="F1486" s="76"/>
      <c r="G1486" s="76"/>
      <c r="H1486" s="76"/>
      <c r="I1486" s="105">
        <v>0.12</v>
      </c>
      <c r="J1486" s="106">
        <v>1000.0</v>
      </c>
      <c r="K1486" s="73"/>
      <c r="L1486" s="73"/>
      <c r="M1486" s="73"/>
      <c r="N1486" s="74"/>
    </row>
    <row r="1487" ht="30.0" hidden="1" customHeight="1">
      <c r="A1487" s="68">
        <v>1503.0</v>
      </c>
      <c r="B1487" s="68"/>
      <c r="C1487" s="68"/>
      <c r="D1487" s="69" t="str">
        <f>CONCATENATE(PROPER('DASMA INFO'!$G1487),", ",PROPER('DASMA INFO'!$E1487)," ",PROPER('DASMA INFO'!$F1487),"."," (",UPPER('DASMA INFO'!$H1487),")")</f>
        <v>Borromeo, Jojie A. ()</v>
      </c>
      <c r="E1487" s="70" t="s">
        <v>2762</v>
      </c>
      <c r="F1487" s="70" t="s">
        <v>427</v>
      </c>
      <c r="G1487" s="70" t="s">
        <v>277</v>
      </c>
      <c r="H1487" s="69"/>
      <c r="I1487" s="105">
        <v>0.12</v>
      </c>
      <c r="J1487" s="106">
        <v>1000.0</v>
      </c>
      <c r="K1487" s="73" t="s">
        <v>2499</v>
      </c>
      <c r="L1487" s="73"/>
      <c r="M1487" s="73"/>
      <c r="N1487" s="74"/>
    </row>
    <row r="1488" ht="30.0" hidden="1" customHeight="1">
      <c r="A1488" s="68">
        <v>1504.0</v>
      </c>
      <c r="B1488" s="68"/>
      <c r="C1488" s="68"/>
      <c r="D1488" s="69" t="str">
        <f>CONCATENATE(PROPER('DASMA INFO'!$G1488),", ",PROPER('DASMA INFO'!$E1488)," ",PROPER('DASMA INFO'!$F1488),"."," (",UPPER('DASMA INFO'!$H1488),")")</f>
        <v>Caoile, Cecilia L. ()</v>
      </c>
      <c r="E1488" s="70" t="s">
        <v>306</v>
      </c>
      <c r="F1488" s="70" t="s">
        <v>648</v>
      </c>
      <c r="G1488" s="70" t="s">
        <v>307</v>
      </c>
      <c r="H1488" s="69"/>
      <c r="I1488" s="92">
        <v>0.05</v>
      </c>
      <c r="J1488" s="93">
        <v>1000.0</v>
      </c>
      <c r="K1488" s="73" t="s">
        <v>2170</v>
      </c>
      <c r="L1488" s="73"/>
      <c r="M1488" s="73"/>
      <c r="N1488" s="74"/>
    </row>
    <row r="1489" ht="30.0" hidden="1" customHeight="1">
      <c r="A1489" s="68">
        <v>1505.0</v>
      </c>
      <c r="B1489" s="68"/>
      <c r="C1489" s="68"/>
      <c r="D1489" s="69" t="str">
        <f>CONCATENATE(PROPER('DASMA INFO'!$G1489),", ",PROPER('DASMA INFO'!$E1489)," ",PROPER('DASMA INFO'!$F1489),"."," (",UPPER('DASMA INFO'!$H1489),")")</f>
        <v>Vicente, Marilyn G. ()</v>
      </c>
      <c r="E1489" s="70" t="s">
        <v>231</v>
      </c>
      <c r="F1489" s="70" t="s">
        <v>1032</v>
      </c>
      <c r="G1489" s="70" t="s">
        <v>1490</v>
      </c>
      <c r="H1489" s="69"/>
      <c r="I1489" s="105">
        <v>0.12</v>
      </c>
      <c r="J1489" s="106">
        <v>1000.0</v>
      </c>
      <c r="K1489" s="73" t="s">
        <v>2354</v>
      </c>
      <c r="L1489" s="73"/>
      <c r="M1489" s="73"/>
      <c r="N1489" s="74"/>
    </row>
    <row r="1490" ht="30.0" hidden="1" customHeight="1">
      <c r="A1490" s="68">
        <v>1506.0</v>
      </c>
      <c r="B1490" s="68"/>
      <c r="C1490" s="68"/>
      <c r="D1490" s="69" t="str">
        <f>CONCATENATE(PROPER('DASMA INFO'!$G1490),", ",PROPER('DASMA INFO'!$E1490)," ",PROPER('DASMA INFO'!$F1490),"."," (",UPPER('DASMA INFO'!$H1490),")")</f>
        <v>Angeles, Ma Gracia C. ()</v>
      </c>
      <c r="E1490" s="70" t="s">
        <v>2763</v>
      </c>
      <c r="F1490" s="70" t="s">
        <v>318</v>
      </c>
      <c r="G1490" s="70" t="s">
        <v>202</v>
      </c>
      <c r="H1490" s="69"/>
      <c r="I1490" s="105">
        <v>0.12</v>
      </c>
      <c r="J1490" s="106">
        <v>1000.0</v>
      </c>
      <c r="K1490" s="73" t="s">
        <v>2764</v>
      </c>
      <c r="L1490" s="73"/>
      <c r="M1490" s="73"/>
      <c r="N1490" s="74"/>
    </row>
    <row r="1491" ht="30.0" hidden="1" customHeight="1">
      <c r="A1491" s="68">
        <v>1507.0</v>
      </c>
      <c r="B1491" s="68"/>
      <c r="C1491" s="68"/>
      <c r="D1491" s="69" t="str">
        <f>CONCATENATE(PROPER('DASMA INFO'!$G1491),", ",PROPER('DASMA INFO'!$E1491)," ",PROPER('DASMA INFO'!$F1491),"."," (",UPPER('DASMA INFO'!$H1491),")")</f>
        <v>Verano, Sunshine N. ()</v>
      </c>
      <c r="E1491" s="70" t="s">
        <v>1958</v>
      </c>
      <c r="F1491" s="70" t="s">
        <v>1154</v>
      </c>
      <c r="G1491" s="70" t="s">
        <v>1006</v>
      </c>
      <c r="H1491" s="69"/>
      <c r="I1491" s="92">
        <v>0.05</v>
      </c>
      <c r="J1491" s="93">
        <v>1000.0</v>
      </c>
      <c r="K1491" s="73" t="s">
        <v>2661</v>
      </c>
      <c r="L1491" s="73"/>
      <c r="M1491" s="73"/>
      <c r="N1491" s="74"/>
    </row>
    <row r="1492" ht="30.0" hidden="1" customHeight="1">
      <c r="A1492" s="68">
        <v>1508.0</v>
      </c>
      <c r="B1492" s="68"/>
      <c r="C1492" s="68"/>
      <c r="D1492" s="69" t="str">
        <f>CONCATENATE(PROPER('DASMA INFO'!$G1492),", ",PROPER('DASMA INFO'!$E1492)," ",PROPER('DASMA INFO'!$F1492),"."," (",UPPER('DASMA INFO'!$H1492),")")</f>
        <v>Soylon, Angelita M. ()</v>
      </c>
      <c r="E1492" s="70" t="s">
        <v>2765</v>
      </c>
      <c r="F1492" s="70" t="s">
        <v>587</v>
      </c>
      <c r="G1492" s="70" t="s">
        <v>189</v>
      </c>
      <c r="H1492" s="69"/>
      <c r="I1492" s="105">
        <v>0.12</v>
      </c>
      <c r="J1492" s="106">
        <v>1000.0</v>
      </c>
      <c r="K1492" s="73" t="s">
        <v>968</v>
      </c>
      <c r="L1492" s="73"/>
      <c r="M1492" s="73"/>
      <c r="N1492" s="74"/>
    </row>
    <row r="1493" ht="30.0" hidden="1" customHeight="1">
      <c r="A1493" s="68">
        <v>1509.0</v>
      </c>
      <c r="B1493" s="68"/>
      <c r="C1493" s="68"/>
      <c r="D1493" s="69" t="str">
        <f>CONCATENATE(PROPER('DASMA INFO'!$G1493),", ",PROPER('DASMA INFO'!$E1493)," ",PROPER('DASMA INFO'!$F1493),"."," (",UPPER('DASMA INFO'!$H1493),")")</f>
        <v>Decino, Mercy L. ()</v>
      </c>
      <c r="E1493" s="70" t="s">
        <v>1422</v>
      </c>
      <c r="F1493" s="70" t="s">
        <v>648</v>
      </c>
      <c r="G1493" s="70" t="s">
        <v>2766</v>
      </c>
      <c r="H1493" s="69"/>
      <c r="I1493" s="105">
        <v>0.12</v>
      </c>
      <c r="J1493" s="106">
        <v>1000.0</v>
      </c>
      <c r="K1493" s="73" t="s">
        <v>968</v>
      </c>
      <c r="L1493" s="73"/>
      <c r="M1493" s="73"/>
      <c r="N1493" s="74"/>
    </row>
    <row r="1494" ht="30.0" hidden="1" customHeight="1">
      <c r="A1494" s="68">
        <v>1510.0</v>
      </c>
      <c r="B1494" s="68"/>
      <c r="C1494" s="68"/>
      <c r="D1494" s="69" t="str">
        <f>CONCATENATE(PROPER('DASMA INFO'!$G1494),", ",PROPER('DASMA INFO'!$E1494)," ",PROPER('DASMA INFO'!$F1494),"."," (",UPPER('DASMA INFO'!$H1494),")")</f>
        <v>Cruzada, Edna S. ()</v>
      </c>
      <c r="E1494" s="70" t="s">
        <v>527</v>
      </c>
      <c r="F1494" s="70" t="s">
        <v>342</v>
      </c>
      <c r="G1494" s="70" t="s">
        <v>2767</v>
      </c>
      <c r="H1494" s="69"/>
      <c r="I1494" s="92">
        <v>0.05</v>
      </c>
      <c r="J1494" s="93">
        <v>1000.0</v>
      </c>
      <c r="K1494" s="73" t="s">
        <v>2170</v>
      </c>
      <c r="L1494" s="73"/>
      <c r="M1494" s="73"/>
      <c r="N1494" s="74"/>
    </row>
    <row r="1495" ht="30.0" hidden="1" customHeight="1">
      <c r="A1495" s="68">
        <v>1511.0</v>
      </c>
      <c r="B1495" s="68"/>
      <c r="C1495" s="68"/>
      <c r="D1495" s="69" t="str">
        <f>CONCATENATE(PROPER('DASMA INFO'!$G1495),", ",PROPER('DASMA INFO'!$E1495)," ",PROPER('DASMA INFO'!$F1495),"."," (",UPPER('DASMA INFO'!$H1495),")")</f>
        <v>Renono, Rosife C. ()</v>
      </c>
      <c r="E1495" s="70" t="s">
        <v>2768</v>
      </c>
      <c r="F1495" s="70" t="s">
        <v>318</v>
      </c>
      <c r="G1495" s="70" t="s">
        <v>2769</v>
      </c>
      <c r="H1495" s="69"/>
      <c r="I1495" s="105">
        <v>0.12</v>
      </c>
      <c r="J1495" s="106">
        <v>1000.0</v>
      </c>
      <c r="K1495" s="73" t="s">
        <v>968</v>
      </c>
      <c r="L1495" s="73"/>
      <c r="M1495" s="73"/>
      <c r="N1495" s="74"/>
    </row>
    <row r="1496" ht="30.0" hidden="1" customHeight="1">
      <c r="A1496" s="68">
        <v>1512.0</v>
      </c>
      <c r="B1496" s="68"/>
      <c r="C1496" s="68"/>
      <c r="D1496" s="69" t="str">
        <f>CONCATENATE(PROPER('DASMA INFO'!$G1496),", ",PROPER('DASMA INFO'!$E1496)," ",PROPER('DASMA INFO'!$F1496),"."," (",UPPER('DASMA INFO'!$H1496),")")</f>
        <v>Malvar, Roger T. ()</v>
      </c>
      <c r="E1496" s="70" t="s">
        <v>2770</v>
      </c>
      <c r="F1496" s="70" t="s">
        <v>752</v>
      </c>
      <c r="G1496" s="70" t="s">
        <v>2771</v>
      </c>
      <c r="H1496" s="69"/>
      <c r="I1496" s="105">
        <v>0.12</v>
      </c>
      <c r="J1496" s="106">
        <v>1000.0</v>
      </c>
      <c r="K1496" s="73" t="s">
        <v>960</v>
      </c>
      <c r="L1496" s="73"/>
      <c r="M1496" s="73"/>
      <c r="N1496" s="74"/>
    </row>
    <row r="1497" ht="30.0" hidden="1" customHeight="1">
      <c r="A1497" s="68">
        <v>1513.0</v>
      </c>
      <c r="B1497" s="68"/>
      <c r="C1497" s="68"/>
      <c r="D1497" s="69" t="str">
        <f>CONCATENATE(PROPER('DASMA INFO'!$G1497),", ",PROPER('DASMA INFO'!$E1497)," ",PROPER('DASMA INFO'!$F1497),"."," (",UPPER('DASMA INFO'!$H1497),")")</f>
        <v>Cruz, Michael M. ()</v>
      </c>
      <c r="E1497" s="70" t="s">
        <v>38</v>
      </c>
      <c r="F1497" s="70" t="s">
        <v>587</v>
      </c>
      <c r="G1497" s="70" t="s">
        <v>676</v>
      </c>
      <c r="H1497" s="69"/>
      <c r="I1497" s="105">
        <v>0.12</v>
      </c>
      <c r="J1497" s="106">
        <v>1000.0</v>
      </c>
      <c r="K1497" s="73" t="s">
        <v>968</v>
      </c>
      <c r="L1497" s="73"/>
      <c r="M1497" s="73"/>
      <c r="N1497" s="74"/>
    </row>
    <row r="1498" ht="30.0" hidden="1" customHeight="1">
      <c r="A1498" s="68">
        <v>1514.0</v>
      </c>
      <c r="B1498" s="68"/>
      <c r="C1498" s="68"/>
      <c r="D1498" s="69" t="str">
        <f>CONCATENATE(PROPER('DASMA INFO'!$G1498),", ",PROPER('DASMA INFO'!$E1498)," ",PROPER('DASMA INFO'!$F1498),"."," (",UPPER('DASMA INFO'!$H1498),")")</f>
        <v>Ancheta, Buen Alex F. ()</v>
      </c>
      <c r="E1498" s="70" t="s">
        <v>2772</v>
      </c>
      <c r="F1498" s="70" t="s">
        <v>1738</v>
      </c>
      <c r="G1498" s="70" t="s">
        <v>387</v>
      </c>
      <c r="H1498" s="69"/>
      <c r="I1498" s="105">
        <v>0.12</v>
      </c>
      <c r="J1498" s="106">
        <v>1000.0</v>
      </c>
      <c r="K1498" s="73" t="s">
        <v>968</v>
      </c>
      <c r="L1498" s="73"/>
      <c r="M1498" s="73"/>
      <c r="N1498" s="74"/>
    </row>
    <row r="1499" ht="30.0" hidden="1" customHeight="1">
      <c r="A1499" s="68">
        <v>1515.0</v>
      </c>
      <c r="B1499" s="68"/>
      <c r="C1499" s="68"/>
      <c r="D1499" s="69" t="str">
        <f>CONCATENATE(PROPER('DASMA INFO'!$G1499),", ",PROPER('DASMA INFO'!$E1499)," ",PROPER('DASMA INFO'!$F1499),"."," (",UPPER('DASMA INFO'!$H1499),")")</f>
        <v>Bolanos, Wilma O. ()</v>
      </c>
      <c r="E1499" s="70" t="s">
        <v>471</v>
      </c>
      <c r="F1499" s="70" t="s">
        <v>634</v>
      </c>
      <c r="G1499" s="70" t="s">
        <v>2201</v>
      </c>
      <c r="H1499" s="69"/>
      <c r="I1499" s="105">
        <v>0.12</v>
      </c>
      <c r="J1499" s="106">
        <v>1000.0</v>
      </c>
      <c r="K1499" s="73" t="s">
        <v>2773</v>
      </c>
      <c r="L1499" s="73"/>
      <c r="M1499" s="73"/>
      <c r="N1499" s="74"/>
    </row>
    <row r="1500" ht="30.0" hidden="1" customHeight="1">
      <c r="A1500" s="68">
        <v>1516.0</v>
      </c>
      <c r="B1500" s="68"/>
      <c r="C1500" s="68"/>
      <c r="D1500" s="69" t="str">
        <f>CONCATENATE(PROPER('DASMA INFO'!$G1500),", ",PROPER('DASMA INFO'!$E1500)," ",PROPER('DASMA INFO'!$F1500),"."," (",UPPER('DASMA INFO'!$H1500),")")</f>
        <v>Chan, Janet L. ()</v>
      </c>
      <c r="E1500" s="70" t="s">
        <v>556</v>
      </c>
      <c r="F1500" s="70" t="s">
        <v>648</v>
      </c>
      <c r="G1500" s="70" t="s">
        <v>2774</v>
      </c>
      <c r="H1500" s="69"/>
      <c r="I1500" s="92">
        <v>0.05</v>
      </c>
      <c r="J1500" s="93">
        <v>1000.0</v>
      </c>
      <c r="K1500" s="73" t="s">
        <v>2103</v>
      </c>
      <c r="L1500" s="73"/>
      <c r="M1500" s="73"/>
      <c r="N1500" s="74"/>
    </row>
    <row r="1501" ht="30.0" hidden="1" customHeight="1">
      <c r="A1501" s="68">
        <v>1517.0</v>
      </c>
      <c r="B1501" s="68"/>
      <c r="C1501" s="68"/>
      <c r="D1501" s="69" t="str">
        <f>CONCATENATE(PROPER('DASMA INFO'!$G1501),", ",PROPER('DASMA INFO'!$E1501)," ",PROPER('DASMA INFO'!$F1501),"."," (",UPPER('DASMA INFO'!$H1501),")")</f>
        <v>Manalastas, Jessica B. ()</v>
      </c>
      <c r="E1501" s="70" t="s">
        <v>1734</v>
      </c>
      <c r="F1501" s="70" t="s">
        <v>627</v>
      </c>
      <c r="G1501" s="70" t="s">
        <v>2775</v>
      </c>
      <c r="H1501" s="69"/>
      <c r="I1501" s="105">
        <v>0.12</v>
      </c>
      <c r="J1501" s="106">
        <v>3000.0</v>
      </c>
      <c r="K1501" s="73" t="s">
        <v>960</v>
      </c>
      <c r="L1501" s="73"/>
      <c r="M1501" s="73"/>
      <c r="N1501" s="74"/>
    </row>
    <row r="1502" ht="30.0" hidden="1" customHeight="1">
      <c r="A1502" s="68">
        <v>1518.0</v>
      </c>
      <c r="B1502" s="68"/>
      <c r="C1502" s="68"/>
      <c r="D1502" s="69" t="str">
        <f>CONCATENATE(PROPER('DASMA INFO'!$G1502),", ",PROPER('DASMA INFO'!$E1502)," ",PROPER('DASMA INFO'!$F1502),"."," (",UPPER('DASMA INFO'!$H1502),")")</f>
        <v>Rosell, Jimmy B. ()</v>
      </c>
      <c r="E1502" s="70" t="s">
        <v>409</v>
      </c>
      <c r="F1502" s="70" t="s">
        <v>627</v>
      </c>
      <c r="G1502" s="70" t="s">
        <v>2776</v>
      </c>
      <c r="H1502" s="69"/>
      <c r="I1502" s="105">
        <v>0.12</v>
      </c>
      <c r="J1502" s="106">
        <v>1000.0</v>
      </c>
      <c r="K1502" s="73" t="s">
        <v>963</v>
      </c>
      <c r="L1502" s="73"/>
      <c r="M1502" s="73"/>
      <c r="N1502" s="74"/>
    </row>
    <row r="1503" ht="30.0" hidden="1" customHeight="1">
      <c r="A1503" s="68">
        <v>1519.0</v>
      </c>
      <c r="B1503" s="68"/>
      <c r="C1503" s="68"/>
      <c r="D1503" s="69" t="str">
        <f>CONCATENATE(PROPER('DASMA INFO'!$G1503),", ",PROPER('DASMA INFO'!$E1503)," ",PROPER('DASMA INFO'!$F1503),"."," (",UPPER('DASMA INFO'!$H1503),")")</f>
        <v>Babauta, Thelma B. ()</v>
      </c>
      <c r="E1503" s="70" t="s">
        <v>542</v>
      </c>
      <c r="F1503" s="70" t="s">
        <v>627</v>
      </c>
      <c r="G1503" s="70" t="s">
        <v>2777</v>
      </c>
      <c r="H1503" s="69"/>
      <c r="I1503" s="105">
        <v>0.12</v>
      </c>
      <c r="J1503" s="106">
        <v>3000.0</v>
      </c>
      <c r="K1503" s="73" t="s">
        <v>2202</v>
      </c>
      <c r="L1503" s="73"/>
      <c r="M1503" s="73"/>
      <c r="N1503" s="74"/>
    </row>
    <row r="1504" ht="30.0" hidden="1" customHeight="1">
      <c r="A1504" s="68">
        <v>1520.0</v>
      </c>
      <c r="B1504" s="68"/>
      <c r="C1504" s="68"/>
      <c r="D1504" s="69" t="str">
        <f>CONCATENATE(PROPER('DASMA INFO'!$G1504),", ",PROPER('DASMA INFO'!$E1504)," ",PROPER('DASMA INFO'!$F1504),"."," (",UPPER('DASMA INFO'!$H1504),")")</f>
        <v>Barretto, Norman C. ()</v>
      </c>
      <c r="E1504" s="70" t="s">
        <v>390</v>
      </c>
      <c r="F1504" s="70" t="s">
        <v>318</v>
      </c>
      <c r="G1504" s="70" t="s">
        <v>391</v>
      </c>
      <c r="H1504" s="69"/>
      <c r="I1504" s="92">
        <v>0.05</v>
      </c>
      <c r="J1504" s="93">
        <v>1000.0</v>
      </c>
      <c r="K1504" s="73" t="s">
        <v>2778</v>
      </c>
      <c r="L1504" s="73"/>
      <c r="M1504" s="73"/>
      <c r="N1504" s="74"/>
    </row>
    <row r="1505" ht="30.0" hidden="1" customHeight="1">
      <c r="A1505" s="68">
        <v>1521.0</v>
      </c>
      <c r="B1505" s="68"/>
      <c r="C1505" s="68"/>
      <c r="D1505" s="69" t="str">
        <f>CONCATENATE(PROPER('DASMA INFO'!$G1505),", ",PROPER('DASMA INFO'!$E1505)," ",PROPER('DASMA INFO'!$F1505),"."," (",UPPER('DASMA INFO'!$H1505),")")</f>
        <v>Jimenez, Carina J. ()</v>
      </c>
      <c r="E1505" s="70" t="s">
        <v>859</v>
      </c>
      <c r="F1505" s="70" t="s">
        <v>613</v>
      </c>
      <c r="G1505" s="70" t="s">
        <v>520</v>
      </c>
      <c r="H1505" s="69"/>
      <c r="I1505" s="105">
        <v>0.12</v>
      </c>
      <c r="J1505" s="106">
        <v>2000.0</v>
      </c>
      <c r="K1505" s="73" t="s">
        <v>1551</v>
      </c>
      <c r="L1505" s="73"/>
      <c r="M1505" s="73"/>
      <c r="N1505" s="74"/>
    </row>
    <row r="1506" ht="30.0" hidden="1" customHeight="1">
      <c r="A1506" s="68">
        <v>1522.0</v>
      </c>
      <c r="B1506" s="68"/>
      <c r="C1506" s="68"/>
      <c r="D1506" s="69" t="str">
        <f>CONCATENATE(PROPER('DASMA INFO'!$G1506),", ",PROPER('DASMA INFO'!$E1506)," ",PROPER('DASMA INFO'!$F1506),"."," (",UPPER('DASMA INFO'!$H1506),")")</f>
        <v>Funayama, Angelita D. ()</v>
      </c>
      <c r="E1506" s="70" t="s">
        <v>2765</v>
      </c>
      <c r="F1506" s="70" t="s">
        <v>1078</v>
      </c>
      <c r="G1506" s="70" t="s">
        <v>2779</v>
      </c>
      <c r="H1506" s="69"/>
      <c r="I1506" s="105">
        <v>0.12</v>
      </c>
      <c r="J1506" s="106">
        <v>1000.0</v>
      </c>
      <c r="K1506" s="73" t="s">
        <v>1144</v>
      </c>
      <c r="L1506" s="73"/>
      <c r="M1506" s="73"/>
      <c r="N1506" s="74"/>
    </row>
    <row r="1507" ht="30.0" hidden="1" customHeight="1">
      <c r="A1507" s="68">
        <v>1523.0</v>
      </c>
      <c r="B1507" s="68"/>
      <c r="C1507" s="68"/>
      <c r="D1507" s="69" t="str">
        <f>CONCATENATE(PROPER('DASMA INFO'!$G1507),", ",PROPER('DASMA INFO'!$E1507)," ",PROPER('DASMA INFO'!$F1507),"."," (",UPPER('DASMA INFO'!$H1507),")")</f>
        <v>Maza, Michael T. ()</v>
      </c>
      <c r="E1507" s="70" t="s">
        <v>38</v>
      </c>
      <c r="F1507" s="70" t="s">
        <v>752</v>
      </c>
      <c r="G1507" s="70" t="s">
        <v>2780</v>
      </c>
      <c r="H1507" s="69"/>
      <c r="I1507" s="92">
        <v>0.05</v>
      </c>
      <c r="J1507" s="93">
        <v>1000.0</v>
      </c>
      <c r="K1507" s="73" t="s">
        <v>2781</v>
      </c>
      <c r="L1507" s="73"/>
      <c r="M1507" s="73"/>
      <c r="N1507" s="74"/>
    </row>
    <row r="1508" ht="30.0" hidden="1" customHeight="1">
      <c r="A1508" s="68">
        <v>1524.0</v>
      </c>
      <c r="B1508" s="68"/>
      <c r="C1508" s="68"/>
      <c r="D1508" s="69" t="str">
        <f>CONCATENATE(PROPER('DASMA INFO'!$G1508),", ",PROPER('DASMA INFO'!$E1508)," ",PROPER('DASMA INFO'!$F1508),"."," (",UPPER('DASMA INFO'!$H1508),")")</f>
        <v>Dela Cruz, Juliene N. ()</v>
      </c>
      <c r="E1508" s="70" t="s">
        <v>2782</v>
      </c>
      <c r="F1508" s="70" t="s">
        <v>1154</v>
      </c>
      <c r="G1508" s="70" t="s">
        <v>636</v>
      </c>
      <c r="H1508" s="70"/>
      <c r="I1508" s="105">
        <v>0.12</v>
      </c>
      <c r="J1508" s="106">
        <v>3000.0</v>
      </c>
      <c r="K1508" s="73" t="s">
        <v>1555</v>
      </c>
      <c r="L1508" s="73"/>
      <c r="M1508" s="73"/>
      <c r="N1508" s="74"/>
    </row>
    <row r="1509" ht="30.0" hidden="1" customHeight="1">
      <c r="A1509" s="68">
        <v>1525.0</v>
      </c>
      <c r="B1509" s="68"/>
      <c r="C1509" s="68"/>
      <c r="D1509" s="69" t="str">
        <f>CONCATENATE(PROPER('DASMA INFO'!$G1509),", ",PROPER('DASMA INFO'!$E1509)," ",PROPER('DASMA INFO'!$F1509),"."," (",UPPER('DASMA INFO'!$H1509),")")</f>
        <v>Japitana, Joemarie G. ()</v>
      </c>
      <c r="E1509" s="70" t="s">
        <v>2783</v>
      </c>
      <c r="F1509" s="70" t="s">
        <v>1032</v>
      </c>
      <c r="G1509" s="70" t="s">
        <v>2784</v>
      </c>
      <c r="H1509" s="69"/>
      <c r="I1509" s="92">
        <v>0.05</v>
      </c>
      <c r="J1509" s="93">
        <v>1000.0</v>
      </c>
      <c r="K1509" s="73" t="s">
        <v>2103</v>
      </c>
      <c r="L1509" s="73"/>
      <c r="M1509" s="73"/>
      <c r="N1509" s="74"/>
    </row>
    <row r="1510" ht="30.0" hidden="1" customHeight="1">
      <c r="A1510" s="68">
        <v>1526.0</v>
      </c>
      <c r="B1510" s="68"/>
      <c r="C1510" s="68"/>
      <c r="D1510" s="69" t="str">
        <f>CONCATENATE(PROPER('DASMA INFO'!$G1510),", ",PROPER('DASMA INFO'!$E1510)," ",PROPER('DASMA INFO'!$F1510),"."," (",UPPER('DASMA INFO'!$H1510),")")</f>
        <v>Perol, Rodel S. ()</v>
      </c>
      <c r="E1510" s="70" t="s">
        <v>2695</v>
      </c>
      <c r="F1510" s="70" t="s">
        <v>342</v>
      </c>
      <c r="G1510" s="70" t="s">
        <v>2785</v>
      </c>
      <c r="H1510" s="69"/>
      <c r="I1510" s="105">
        <v>0.12</v>
      </c>
      <c r="J1510" s="106">
        <v>1000.0</v>
      </c>
      <c r="K1510" s="73" t="s">
        <v>968</v>
      </c>
      <c r="L1510" s="73"/>
      <c r="M1510" s="73"/>
      <c r="N1510" s="74"/>
    </row>
    <row r="1511" ht="30.0" hidden="1" customHeight="1">
      <c r="A1511" s="68">
        <v>1527.0</v>
      </c>
      <c r="B1511" s="68"/>
      <c r="C1511" s="68"/>
      <c r="D1511" s="69" t="str">
        <f>CONCATENATE(PROPER('DASMA INFO'!$G1511),", ",PROPER('DASMA INFO'!$E1511)," ",PROPER('DASMA INFO'!$F1511),"."," (",UPPER('DASMA INFO'!$H1511),")")</f>
        <v>Geron, Raymundo B. ()</v>
      </c>
      <c r="E1511" s="70" t="s">
        <v>1965</v>
      </c>
      <c r="F1511" s="70" t="s">
        <v>627</v>
      </c>
      <c r="G1511" s="70" t="s">
        <v>2786</v>
      </c>
      <c r="H1511" s="69"/>
      <c r="I1511" s="105">
        <v>0.12</v>
      </c>
      <c r="J1511" s="106">
        <v>1000.0</v>
      </c>
      <c r="K1511" s="73" t="s">
        <v>1156</v>
      </c>
      <c r="L1511" s="73"/>
      <c r="M1511" s="73"/>
      <c r="N1511" s="74"/>
    </row>
    <row r="1512" ht="30.0" hidden="1" customHeight="1">
      <c r="A1512" s="68">
        <v>1528.0</v>
      </c>
      <c r="B1512" s="68"/>
      <c r="C1512" s="68"/>
      <c r="D1512" s="69" t="str">
        <f>CONCATENATE(PROPER('DASMA INFO'!$G1512),", ",PROPER('DASMA INFO'!$E1512)," ",PROPER('DASMA INFO'!$F1512),"."," (",UPPER('DASMA INFO'!$H1512),")")</f>
        <v>Cardenas, Owin R. ()</v>
      </c>
      <c r="E1512" s="70" t="s">
        <v>2787</v>
      </c>
      <c r="F1512" s="70" t="s">
        <v>260</v>
      </c>
      <c r="G1512" s="70" t="s">
        <v>2788</v>
      </c>
      <c r="H1512" s="69"/>
      <c r="I1512" s="105">
        <v>0.12</v>
      </c>
      <c r="J1512" s="106">
        <v>1000.0</v>
      </c>
      <c r="K1512" s="73" t="s">
        <v>968</v>
      </c>
      <c r="L1512" s="73"/>
      <c r="M1512" s="73"/>
      <c r="N1512" s="74"/>
    </row>
    <row r="1513" ht="30.0" hidden="1" customHeight="1">
      <c r="A1513" s="68">
        <v>1529.0</v>
      </c>
      <c r="B1513" s="68"/>
      <c r="C1513" s="68"/>
      <c r="D1513" s="69" t="str">
        <f>CONCATENATE(PROPER('DASMA INFO'!$G1513),", ",PROPER('DASMA INFO'!$E1513)," ",PROPER('DASMA INFO'!$F1513),"."," (",UPPER('DASMA INFO'!$H1513),")")</f>
        <v>Rodelas, Arnulfo P. ()</v>
      </c>
      <c r="E1513" s="70" t="s">
        <v>2789</v>
      </c>
      <c r="F1513" s="70" t="s">
        <v>513</v>
      </c>
      <c r="G1513" s="70" t="s">
        <v>2790</v>
      </c>
      <c r="H1513" s="69"/>
      <c r="I1513" s="105">
        <v>0.12</v>
      </c>
      <c r="J1513" s="106">
        <v>1000.0</v>
      </c>
      <c r="K1513" s="73" t="s">
        <v>2672</v>
      </c>
      <c r="L1513" s="73"/>
      <c r="M1513" s="73"/>
      <c r="N1513" s="74"/>
    </row>
    <row r="1514" ht="30.0" hidden="1" customHeight="1">
      <c r="A1514" s="68">
        <v>1530.0</v>
      </c>
      <c r="B1514" s="68"/>
      <c r="C1514" s="68"/>
      <c r="D1514" s="69" t="str">
        <f>CONCATENATE(PROPER('DASMA INFO'!$G1514),", ",PROPER('DASMA INFO'!$E1514)," ",PROPER('DASMA INFO'!$F1514),"."," (",UPPER('DASMA INFO'!$H1514),")")</f>
        <v>Ligon, Ralph Martin P. ()</v>
      </c>
      <c r="E1514" s="70" t="s">
        <v>2791</v>
      </c>
      <c r="F1514" s="70" t="s">
        <v>513</v>
      </c>
      <c r="G1514" s="70" t="s">
        <v>2792</v>
      </c>
      <c r="H1514" s="69"/>
      <c r="I1514" s="105">
        <v>0.12</v>
      </c>
      <c r="J1514" s="106">
        <v>1000.0</v>
      </c>
      <c r="K1514" s="73" t="s">
        <v>968</v>
      </c>
      <c r="L1514" s="73"/>
      <c r="M1514" s="73"/>
      <c r="N1514" s="74"/>
    </row>
    <row r="1515" ht="30.0" hidden="1" customHeight="1">
      <c r="A1515" s="68">
        <v>1531.0</v>
      </c>
      <c r="B1515" s="68"/>
      <c r="C1515" s="68"/>
      <c r="D1515" s="69" t="str">
        <f>CONCATENATE(PROPER('DASMA INFO'!$G1515),", ",PROPER('DASMA INFO'!$E1515)," ",PROPER('DASMA INFO'!$F1515),"."," (",UPPER('DASMA INFO'!$H1515),")")</f>
        <v>Tan, Lucita C. ()</v>
      </c>
      <c r="E1515" s="70" t="s">
        <v>421</v>
      </c>
      <c r="F1515" s="70" t="s">
        <v>318</v>
      </c>
      <c r="G1515" s="70" t="s">
        <v>422</v>
      </c>
      <c r="H1515" s="69"/>
      <c r="I1515" s="92">
        <v>0.05</v>
      </c>
      <c r="J1515" s="93">
        <v>1000.0</v>
      </c>
      <c r="K1515" s="73" t="s">
        <v>2793</v>
      </c>
      <c r="L1515" s="73"/>
      <c r="M1515" s="73"/>
      <c r="N1515" s="74"/>
    </row>
    <row r="1516" ht="30.0" hidden="1" customHeight="1">
      <c r="A1516" s="68">
        <v>1532.0</v>
      </c>
      <c r="B1516" s="68"/>
      <c r="C1516" s="68"/>
      <c r="D1516" s="69" t="str">
        <f>CONCATENATE(PROPER('DASMA INFO'!$G1516),", ",PROPER('DASMA INFO'!$E1516)," ",PROPER('DASMA INFO'!$F1516),"."," (",UPPER('DASMA INFO'!$H1516),")")</f>
        <v>Traquena, Milagros L. ()</v>
      </c>
      <c r="E1516" s="70" t="s">
        <v>1381</v>
      </c>
      <c r="F1516" s="70" t="s">
        <v>648</v>
      </c>
      <c r="G1516" s="70" t="s">
        <v>2794</v>
      </c>
      <c r="H1516" s="69"/>
      <c r="I1516" s="105">
        <v>0.12</v>
      </c>
      <c r="J1516" s="106">
        <v>1000.0</v>
      </c>
      <c r="K1516" s="73" t="s">
        <v>960</v>
      </c>
      <c r="L1516" s="73"/>
      <c r="M1516" s="73"/>
      <c r="N1516" s="74"/>
    </row>
    <row r="1517" ht="30.0" hidden="1" customHeight="1">
      <c r="A1517" s="68">
        <v>1533.0</v>
      </c>
      <c r="B1517" s="68"/>
      <c r="C1517" s="68"/>
      <c r="D1517" s="69" t="str">
        <f>CONCATENATE(PROPER('DASMA INFO'!$G1517),", ",PROPER('DASMA INFO'!$E1517)," ",PROPER('DASMA INFO'!$F1517),"."," (",UPPER('DASMA INFO'!$H1517),")")</f>
        <v>Baquer, Vivina R. ()</v>
      </c>
      <c r="E1517" s="70" t="s">
        <v>434</v>
      </c>
      <c r="F1517" s="70" t="s">
        <v>260</v>
      </c>
      <c r="G1517" s="70" t="s">
        <v>2795</v>
      </c>
      <c r="H1517" s="69"/>
      <c r="I1517" s="92">
        <v>0.05</v>
      </c>
      <c r="J1517" s="93">
        <v>1000.0</v>
      </c>
      <c r="K1517" s="73" t="s">
        <v>2796</v>
      </c>
      <c r="L1517" s="73"/>
      <c r="M1517" s="73"/>
      <c r="N1517" s="74"/>
    </row>
    <row r="1518" ht="30.0" hidden="1" customHeight="1">
      <c r="A1518" s="68">
        <v>1534.0</v>
      </c>
      <c r="B1518" s="68"/>
      <c r="C1518" s="68"/>
      <c r="D1518" s="69" t="str">
        <f>CONCATENATE(PROPER('DASMA INFO'!$G1518),", ",PROPER('DASMA INFO'!$E1518)," ",PROPER('DASMA INFO'!$F1518),"."," (",UPPER('DASMA INFO'!$H1518),")")</f>
        <v>Gawaran, Rosita Sy. ()</v>
      </c>
      <c r="E1518" s="70" t="s">
        <v>1153</v>
      </c>
      <c r="F1518" s="70" t="s">
        <v>2797</v>
      </c>
      <c r="G1518" s="70" t="s">
        <v>2798</v>
      </c>
      <c r="H1518" s="69"/>
      <c r="I1518" s="105">
        <v>0.12</v>
      </c>
      <c r="J1518" s="106">
        <v>1000.0</v>
      </c>
      <c r="K1518" s="73" t="s">
        <v>1053</v>
      </c>
      <c r="L1518" s="73"/>
      <c r="M1518" s="73"/>
      <c r="N1518" s="74"/>
    </row>
    <row r="1519" ht="30.0" hidden="1" customHeight="1">
      <c r="A1519" s="68">
        <v>1535.0</v>
      </c>
      <c r="B1519" s="68"/>
      <c r="C1519" s="68"/>
      <c r="D1519" s="69" t="str">
        <f>CONCATENATE(PROPER('DASMA INFO'!$G1519),", ",PROPER('DASMA INFO'!$E1519)," ",PROPER('DASMA INFO'!$F1519),"."," (",UPPER('DASMA INFO'!$H1519),")")</f>
        <v>Reyes, Reynaldo B. ()</v>
      </c>
      <c r="E1519" s="70" t="s">
        <v>1028</v>
      </c>
      <c r="F1519" s="70" t="s">
        <v>627</v>
      </c>
      <c r="G1519" s="70" t="s">
        <v>122</v>
      </c>
      <c r="H1519" s="69"/>
      <c r="I1519" s="105">
        <v>0.12</v>
      </c>
      <c r="J1519" s="106">
        <v>1000.0</v>
      </c>
      <c r="K1519" s="73" t="s">
        <v>1131</v>
      </c>
      <c r="L1519" s="73"/>
      <c r="M1519" s="73"/>
      <c r="N1519" s="74"/>
    </row>
    <row r="1520" ht="30.0" hidden="1" customHeight="1">
      <c r="A1520" s="68">
        <v>1536.0</v>
      </c>
      <c r="B1520" s="68"/>
      <c r="C1520" s="68"/>
      <c r="D1520" s="69" t="str">
        <f>CONCATENATE(PROPER('DASMA INFO'!$G1520),", ",PROPER('DASMA INFO'!$E1520)," ",PROPER('DASMA INFO'!$F1520),"."," (",UPPER('DASMA INFO'!$H1520),")")</f>
        <v>Batongbacal, Eladio . ()</v>
      </c>
      <c r="E1520" s="70" t="s">
        <v>2799</v>
      </c>
      <c r="F1520" s="69"/>
      <c r="G1520" s="70" t="s">
        <v>2800</v>
      </c>
      <c r="H1520" s="69"/>
      <c r="I1520" s="105">
        <v>0.12</v>
      </c>
      <c r="J1520" s="106">
        <v>3000.0</v>
      </c>
      <c r="K1520" s="73" t="s">
        <v>1017</v>
      </c>
      <c r="L1520" s="73"/>
      <c r="M1520" s="73"/>
      <c r="N1520" s="74"/>
    </row>
    <row r="1521" ht="30.0" hidden="1" customHeight="1">
      <c r="A1521" s="68">
        <v>1537.0</v>
      </c>
      <c r="B1521" s="68"/>
      <c r="C1521" s="68"/>
      <c r="D1521" s="69" t="str">
        <f>CONCATENATE(PROPER('DASMA INFO'!$G1521),", ",PROPER('DASMA INFO'!$E1521)," ",PROPER('DASMA INFO'!$F1521),"."," (",UPPER('DASMA INFO'!$H1521),")")</f>
        <v>Divino, Rebecca R. ()</v>
      </c>
      <c r="E1521" s="70" t="s">
        <v>1537</v>
      </c>
      <c r="F1521" s="70" t="s">
        <v>260</v>
      </c>
      <c r="G1521" s="70" t="s">
        <v>2801</v>
      </c>
      <c r="H1521" s="69"/>
      <c r="I1521" s="105">
        <v>0.12</v>
      </c>
      <c r="J1521" s="106">
        <v>3000.0</v>
      </c>
      <c r="K1521" s="73" t="s">
        <v>1156</v>
      </c>
      <c r="L1521" s="73"/>
      <c r="M1521" s="73"/>
      <c r="N1521" s="74"/>
    </row>
    <row r="1522" ht="30.0" hidden="1" customHeight="1">
      <c r="A1522" s="68">
        <v>1538.0</v>
      </c>
      <c r="B1522" s="68"/>
      <c r="C1522" s="68"/>
      <c r="D1522" s="69" t="str">
        <f>CONCATENATE(PROPER('DASMA INFO'!$G1522),", ",PROPER('DASMA INFO'!$E1522)," ",PROPER('DASMA INFO'!$F1522),"."," (",UPPER('DASMA INFO'!$H1522),")")</f>
        <v>Miranda, Mark G. ()</v>
      </c>
      <c r="E1522" s="70" t="s">
        <v>99</v>
      </c>
      <c r="F1522" s="70" t="s">
        <v>1032</v>
      </c>
      <c r="G1522" s="70" t="s">
        <v>1255</v>
      </c>
      <c r="H1522" s="69"/>
      <c r="I1522" s="92">
        <v>0.05</v>
      </c>
      <c r="J1522" s="93">
        <v>1000.0</v>
      </c>
      <c r="K1522" s="73" t="s">
        <v>2802</v>
      </c>
      <c r="L1522" s="73"/>
      <c r="M1522" s="73"/>
      <c r="N1522" s="74"/>
    </row>
    <row r="1523" ht="30.0" hidden="1" customHeight="1">
      <c r="A1523" s="68">
        <v>1539.0</v>
      </c>
      <c r="B1523" s="68"/>
      <c r="C1523" s="68"/>
      <c r="D1523" s="69" t="str">
        <f>CONCATENATE(PROPER('DASMA INFO'!$G1523),", ",PROPER('DASMA INFO'!$E1523)," ",PROPER('DASMA INFO'!$F1523),"."," (",UPPER('DASMA INFO'!$H1523),")")</f>
        <v>Villanueva, Elvira T. ()</v>
      </c>
      <c r="E1523" s="70" t="s">
        <v>147</v>
      </c>
      <c r="F1523" s="70" t="s">
        <v>752</v>
      </c>
      <c r="G1523" s="70" t="s">
        <v>454</v>
      </c>
      <c r="H1523" s="69"/>
      <c r="I1523" s="105">
        <v>0.12</v>
      </c>
      <c r="J1523" s="106">
        <v>1000.0</v>
      </c>
      <c r="K1523" s="73" t="s">
        <v>1555</v>
      </c>
      <c r="L1523" s="73"/>
      <c r="M1523" s="73"/>
      <c r="N1523" s="74"/>
    </row>
    <row r="1524" ht="30.0" hidden="1" customHeight="1">
      <c r="A1524" s="68">
        <v>1540.0</v>
      </c>
      <c r="B1524" s="68"/>
      <c r="C1524" s="68"/>
      <c r="D1524" s="69" t="str">
        <f>CONCATENATE(PROPER('DASMA INFO'!$G1524),", ",PROPER('DASMA INFO'!$E1524)," ",PROPER('DASMA INFO'!$F1524),"."," (",UPPER('DASMA INFO'!$H1524),")")</f>
        <v>Villanueva, Senen T. ()</v>
      </c>
      <c r="E1524" s="70" t="s">
        <v>2803</v>
      </c>
      <c r="F1524" s="70" t="s">
        <v>752</v>
      </c>
      <c r="G1524" s="70" t="s">
        <v>454</v>
      </c>
      <c r="H1524" s="69"/>
      <c r="I1524" s="105">
        <v>0.12</v>
      </c>
      <c r="J1524" s="106">
        <v>1000.0</v>
      </c>
      <c r="K1524" s="73" t="s">
        <v>2804</v>
      </c>
      <c r="L1524" s="73"/>
      <c r="M1524" s="73"/>
      <c r="N1524" s="74"/>
    </row>
    <row r="1525" ht="30.0" hidden="1" customHeight="1">
      <c r="A1525" s="68">
        <v>1541.0</v>
      </c>
      <c r="B1525" s="68"/>
      <c r="C1525" s="68"/>
      <c r="D1525" s="69" t="str">
        <f>CONCATENATE(PROPER('DASMA INFO'!$G1525),", ",PROPER('DASMA INFO'!$E1525)," ",PROPER('DASMA INFO'!$F1525),"."," (",UPPER('DASMA INFO'!$H1525),")")</f>
        <v>Lising, Auxillum T. ()</v>
      </c>
      <c r="E1525" s="70" t="s">
        <v>2805</v>
      </c>
      <c r="F1525" s="70" t="s">
        <v>752</v>
      </c>
      <c r="G1525" s="70" t="s">
        <v>2806</v>
      </c>
      <c r="H1525" s="69"/>
      <c r="I1525" s="105">
        <v>0.12</v>
      </c>
      <c r="J1525" s="106">
        <v>1000.0</v>
      </c>
      <c r="K1525" s="73" t="s">
        <v>1555</v>
      </c>
      <c r="L1525" s="73"/>
      <c r="M1525" s="73"/>
      <c r="N1525" s="74"/>
    </row>
    <row r="1526" ht="30.0" hidden="1" customHeight="1">
      <c r="A1526" s="68">
        <v>1542.0</v>
      </c>
      <c r="B1526" s="68"/>
      <c r="C1526" s="68"/>
      <c r="D1526" s="69" t="str">
        <f>CONCATENATE(PROPER('DASMA INFO'!$G1526),", ",PROPER('DASMA INFO'!$E1526)," ",PROPER('DASMA INFO'!$F1526),"."," (",UPPER('DASMA INFO'!$H1526),")")</f>
        <v>Mercado, Sofronio D. (JR)</v>
      </c>
      <c r="E1526" s="70" t="s">
        <v>2807</v>
      </c>
      <c r="F1526" s="70" t="s">
        <v>1078</v>
      </c>
      <c r="G1526" s="70" t="s">
        <v>840</v>
      </c>
      <c r="H1526" s="70" t="s">
        <v>629</v>
      </c>
      <c r="I1526" s="105">
        <v>0.12</v>
      </c>
      <c r="J1526" s="106">
        <v>1000.0</v>
      </c>
      <c r="K1526" s="73" t="s">
        <v>2627</v>
      </c>
      <c r="L1526" s="73"/>
      <c r="M1526" s="73"/>
      <c r="N1526" s="74"/>
    </row>
    <row r="1527" ht="30.0" hidden="1" customHeight="1">
      <c r="A1527" s="68">
        <v>1543.0</v>
      </c>
      <c r="B1527" s="68"/>
      <c r="C1527" s="68"/>
      <c r="D1527" s="69" t="str">
        <f>CONCATENATE(PROPER('DASMA INFO'!$G1527),", ",PROPER('DASMA INFO'!$E1527)," ",PROPER('DASMA INFO'!$F1527),"."," (",UPPER('DASMA INFO'!$H1527),")")</f>
        <v>Teodosio, Marilyn B. ()</v>
      </c>
      <c r="E1527" s="70" t="s">
        <v>231</v>
      </c>
      <c r="F1527" s="70" t="s">
        <v>627</v>
      </c>
      <c r="G1527" s="70" t="s">
        <v>2808</v>
      </c>
      <c r="H1527" s="69"/>
      <c r="I1527" s="105">
        <v>0.12</v>
      </c>
      <c r="J1527" s="106">
        <v>1000.0</v>
      </c>
      <c r="K1527" s="73" t="s">
        <v>968</v>
      </c>
      <c r="L1527" s="73"/>
      <c r="M1527" s="73"/>
      <c r="N1527" s="74"/>
    </row>
    <row r="1528" ht="30.0" hidden="1" customHeight="1">
      <c r="A1528" s="68">
        <v>1544.0</v>
      </c>
      <c r="B1528" s="68"/>
      <c r="C1528" s="68"/>
      <c r="D1528" s="69" t="str">
        <f>CONCATENATE(PROPER('DASMA INFO'!$G1528),", ",PROPER('DASMA INFO'!$E1528)," ",PROPER('DASMA INFO'!$F1528),"."," (",UPPER('DASMA INFO'!$H1528),")")</f>
        <v>Calleja, Florencio E. ()</v>
      </c>
      <c r="E1528" s="70" t="s">
        <v>2809</v>
      </c>
      <c r="F1528" s="70" t="s">
        <v>299</v>
      </c>
      <c r="G1528" s="70" t="s">
        <v>1201</v>
      </c>
      <c r="H1528" s="69"/>
      <c r="I1528" s="105">
        <v>0.12</v>
      </c>
      <c r="J1528" s="106">
        <v>1000.0</v>
      </c>
      <c r="K1528" s="73" t="s">
        <v>968</v>
      </c>
      <c r="L1528" s="73"/>
      <c r="M1528" s="73"/>
      <c r="N1528" s="74"/>
    </row>
    <row r="1529" ht="30.0" hidden="1" customHeight="1">
      <c r="A1529" s="68">
        <v>1545.0</v>
      </c>
      <c r="B1529" s="68"/>
      <c r="C1529" s="68"/>
      <c r="D1529" s="69" t="str">
        <f>CONCATENATE(PROPER('DASMA INFO'!$G1529),", ",PROPER('DASMA INFO'!$E1529)," ",PROPER('DASMA INFO'!$F1529),"."," (",UPPER('DASMA INFO'!$H1529),")")</f>
        <v>Mirano, Alexander P. ()</v>
      </c>
      <c r="E1529" s="70" t="s">
        <v>1493</v>
      </c>
      <c r="F1529" s="70" t="s">
        <v>513</v>
      </c>
      <c r="G1529" s="70" t="s">
        <v>2810</v>
      </c>
      <c r="H1529" s="69"/>
      <c r="I1529" s="105">
        <v>0.12</v>
      </c>
      <c r="J1529" s="106">
        <v>1000.0</v>
      </c>
      <c r="K1529" s="73" t="s">
        <v>968</v>
      </c>
      <c r="L1529" s="73"/>
      <c r="M1529" s="73"/>
      <c r="N1529" s="74"/>
    </row>
    <row r="1530" ht="30.0" hidden="1" customHeight="1">
      <c r="A1530" s="68">
        <v>1546.0</v>
      </c>
      <c r="B1530" s="68"/>
      <c r="C1530" s="68"/>
      <c r="D1530" s="69" t="str">
        <f>CONCATENATE(PROPER('DASMA INFO'!$G1530),", ",PROPER('DASMA INFO'!$E1530)," ",PROPER('DASMA INFO'!$F1530),"."," (",UPPER('DASMA INFO'!$H1530),")")</f>
        <v>Medina, Ramil S. ()</v>
      </c>
      <c r="E1530" s="70" t="s">
        <v>514</v>
      </c>
      <c r="F1530" s="70" t="s">
        <v>342</v>
      </c>
      <c r="G1530" s="70" t="s">
        <v>515</v>
      </c>
      <c r="H1530" s="69"/>
      <c r="I1530" s="105">
        <v>0.12</v>
      </c>
      <c r="J1530" s="106">
        <v>1000.0</v>
      </c>
      <c r="K1530" s="73" t="s">
        <v>968</v>
      </c>
      <c r="L1530" s="73"/>
      <c r="M1530" s="73"/>
      <c r="N1530" s="74"/>
    </row>
    <row r="1531" ht="30.0" hidden="1" customHeight="1">
      <c r="A1531" s="68">
        <v>1547.0</v>
      </c>
      <c r="B1531" s="68"/>
      <c r="C1531" s="68"/>
      <c r="D1531" s="69" t="str">
        <f>CONCATENATE(PROPER('DASMA INFO'!$G1531),", ",PROPER('DASMA INFO'!$E1531)," ",PROPER('DASMA INFO'!$F1531),"."," (",UPPER('DASMA INFO'!$H1531),")")</f>
        <v>Mendoza, Marvin N. ()</v>
      </c>
      <c r="E1531" s="70" t="s">
        <v>809</v>
      </c>
      <c r="F1531" s="70" t="s">
        <v>1154</v>
      </c>
      <c r="G1531" s="70" t="s">
        <v>775</v>
      </c>
      <c r="H1531" s="69"/>
      <c r="I1531" s="92">
        <v>0.05</v>
      </c>
      <c r="J1531" s="93">
        <v>1000.0</v>
      </c>
      <c r="K1531" s="73" t="s">
        <v>968</v>
      </c>
      <c r="L1531" s="73"/>
      <c r="M1531" s="73"/>
      <c r="N1531" s="74"/>
    </row>
    <row r="1532" ht="30.0" hidden="1" customHeight="1">
      <c r="A1532" s="68">
        <v>1548.0</v>
      </c>
      <c r="B1532" s="68"/>
      <c r="C1532" s="68"/>
      <c r="D1532" s="69" t="str">
        <f>CONCATENATE(PROPER('DASMA INFO'!$G1532),", ",PROPER('DASMA INFO'!$E1532)," ",PROPER('DASMA INFO'!$F1532),"."," (",UPPER('DASMA INFO'!$H1532),")")</f>
        <v>Dio, Reynaldo L. ()</v>
      </c>
      <c r="E1532" s="70" t="s">
        <v>1028</v>
      </c>
      <c r="F1532" s="70" t="s">
        <v>648</v>
      </c>
      <c r="G1532" s="70" t="s">
        <v>1029</v>
      </c>
      <c r="H1532" s="69"/>
      <c r="I1532" s="92">
        <v>0.05</v>
      </c>
      <c r="J1532" s="93">
        <v>1000.0</v>
      </c>
      <c r="K1532" s="73" t="s">
        <v>2811</v>
      </c>
      <c r="L1532" s="73"/>
      <c r="M1532" s="73"/>
      <c r="N1532" s="74"/>
    </row>
    <row r="1533" ht="30.0" hidden="1" customHeight="1">
      <c r="A1533" s="68">
        <v>1549.0</v>
      </c>
      <c r="B1533" s="68"/>
      <c r="C1533" s="68"/>
      <c r="D1533" s="69" t="str">
        <f>CONCATENATE(PROPER('DASMA INFO'!$G1533),", ",PROPER('DASMA INFO'!$E1533)," ",PROPER('DASMA INFO'!$F1533),"."," (",UPPER('DASMA INFO'!$H1533),")")</f>
        <v>Cu, Joan Luise O. ()</v>
      </c>
      <c r="E1533" s="70" t="s">
        <v>2812</v>
      </c>
      <c r="F1533" s="70" t="s">
        <v>634</v>
      </c>
      <c r="G1533" s="70" t="s">
        <v>2813</v>
      </c>
      <c r="H1533" s="69"/>
      <c r="I1533" s="92">
        <v>0.05</v>
      </c>
      <c r="J1533" s="93">
        <v>1000.0</v>
      </c>
      <c r="K1533" s="73" t="s">
        <v>2647</v>
      </c>
      <c r="L1533" s="73"/>
      <c r="M1533" s="73"/>
      <c r="N1533" s="74"/>
    </row>
    <row r="1534" ht="30.0" hidden="1" customHeight="1">
      <c r="A1534" s="68">
        <v>1550.0</v>
      </c>
      <c r="B1534" s="68"/>
      <c r="C1534" s="68"/>
      <c r="D1534" s="69" t="str">
        <f>CONCATENATE(PROPER('DASMA INFO'!$G1534),", ",PROPER('DASMA INFO'!$E1534)," ",PROPER('DASMA INFO'!$F1534),"."," (",UPPER('DASMA INFO'!$H1534),")")</f>
        <v>Catigum, John E. ()</v>
      </c>
      <c r="E1534" s="70" t="s">
        <v>1303</v>
      </c>
      <c r="F1534" s="70" t="s">
        <v>299</v>
      </c>
      <c r="G1534" s="70" t="s">
        <v>2814</v>
      </c>
      <c r="H1534" s="69"/>
      <c r="I1534" s="92">
        <v>0.05</v>
      </c>
      <c r="J1534" s="93">
        <v>1000.0</v>
      </c>
      <c r="K1534" s="73" t="s">
        <v>2815</v>
      </c>
      <c r="L1534" s="73"/>
      <c r="M1534" s="73"/>
      <c r="N1534" s="74"/>
    </row>
    <row r="1535" ht="30.0" hidden="1" customHeight="1">
      <c r="A1535" s="68">
        <v>1551.0</v>
      </c>
      <c r="B1535" s="68"/>
      <c r="C1535" s="68"/>
      <c r="D1535" s="69" t="str">
        <f>CONCATENATE(PROPER('DASMA INFO'!$G1535),", ",PROPER('DASMA INFO'!$E1535)," ",PROPER('DASMA INFO'!$F1535),"."," (",UPPER('DASMA INFO'!$H1535),")")</f>
        <v>Angcaya, Jonathan A. ()</v>
      </c>
      <c r="E1535" s="70" t="s">
        <v>311</v>
      </c>
      <c r="F1535" s="70" t="s">
        <v>427</v>
      </c>
      <c r="G1535" s="70" t="s">
        <v>312</v>
      </c>
      <c r="H1535" s="69"/>
      <c r="I1535" s="105">
        <v>0.12</v>
      </c>
      <c r="J1535" s="106">
        <v>1000.0</v>
      </c>
      <c r="K1535" s="73" t="s">
        <v>968</v>
      </c>
      <c r="L1535" s="73"/>
      <c r="M1535" s="73"/>
      <c r="N1535" s="74"/>
    </row>
    <row r="1536" ht="30.0" hidden="1" customHeight="1">
      <c r="A1536" s="68">
        <v>1552.0</v>
      </c>
      <c r="B1536" s="68"/>
      <c r="C1536" s="68"/>
      <c r="D1536" s="69" t="str">
        <f>CONCATENATE(PROPER('DASMA INFO'!$G1536),", ",PROPER('DASMA INFO'!$E1536)," ",PROPER('DASMA INFO'!$F1536),"."," (",UPPER('DASMA INFO'!$H1536),")")</f>
        <v>Andes, James M. ()</v>
      </c>
      <c r="E1536" s="70" t="s">
        <v>1279</v>
      </c>
      <c r="F1536" s="70" t="s">
        <v>587</v>
      </c>
      <c r="G1536" s="70" t="s">
        <v>2816</v>
      </c>
      <c r="H1536" s="69"/>
      <c r="I1536" s="105">
        <v>0.12</v>
      </c>
      <c r="J1536" s="106">
        <v>1000.0</v>
      </c>
      <c r="K1536" s="73" t="s">
        <v>1017</v>
      </c>
      <c r="L1536" s="73"/>
      <c r="M1536" s="73"/>
      <c r="N1536" s="74"/>
    </row>
    <row r="1537" ht="30.0" hidden="1" customHeight="1">
      <c r="A1537" s="68">
        <v>1553.0</v>
      </c>
      <c r="B1537" s="68"/>
      <c r="C1537" s="68"/>
      <c r="D1537" s="69" t="str">
        <f>CONCATENATE(PROPER('DASMA INFO'!$G1537),", ",PROPER('DASMA INFO'!$E1537)," ",PROPER('DASMA INFO'!$F1537),"."," (",UPPER('DASMA INFO'!$H1537),")")</f>
        <v>Tabuco, Ruel P. ()</v>
      </c>
      <c r="E1537" s="70" t="s">
        <v>589</v>
      </c>
      <c r="F1537" s="70" t="s">
        <v>513</v>
      </c>
      <c r="G1537" s="70" t="s">
        <v>2817</v>
      </c>
      <c r="H1537" s="69"/>
      <c r="I1537" s="105">
        <v>0.12</v>
      </c>
      <c r="J1537" s="106">
        <v>1000.0</v>
      </c>
      <c r="K1537" s="73" t="s">
        <v>2818</v>
      </c>
      <c r="L1537" s="73"/>
      <c r="M1537" s="73"/>
      <c r="N1537" s="74"/>
    </row>
    <row r="1538" ht="30.0" hidden="1" customHeight="1">
      <c r="A1538" s="68">
        <v>1554.0</v>
      </c>
      <c r="B1538" s="68"/>
      <c r="C1538" s="68"/>
      <c r="D1538" s="69" t="str">
        <f>CONCATENATE(PROPER('DASMA INFO'!$G1538),", ",PROPER('DASMA INFO'!$E1538)," ",PROPER('DASMA INFO'!$F1538),"."," (",UPPER('DASMA INFO'!$H1538),")")</f>
        <v>Balicano, Rachel Joy D. ()</v>
      </c>
      <c r="E1538" s="70" t="s">
        <v>2819</v>
      </c>
      <c r="F1538" s="70" t="s">
        <v>1078</v>
      </c>
      <c r="G1538" s="70" t="s">
        <v>2820</v>
      </c>
      <c r="H1538" s="69"/>
      <c r="I1538" s="105">
        <v>0.12</v>
      </c>
      <c r="J1538" s="106">
        <v>1000.0</v>
      </c>
      <c r="K1538" s="73" t="s">
        <v>968</v>
      </c>
      <c r="L1538" s="73"/>
      <c r="M1538" s="73"/>
      <c r="N1538" s="74"/>
    </row>
    <row r="1539" ht="30.0" hidden="1" customHeight="1">
      <c r="A1539" s="68">
        <v>1555.0</v>
      </c>
      <c r="B1539" s="68"/>
      <c r="C1539" s="68"/>
      <c r="D1539" s="69" t="str">
        <f>CONCATENATE(PROPER('DASMA INFO'!$G1539),", ",PROPER('DASMA INFO'!$E1539)," ",PROPER('DASMA INFO'!$F1539),"."," (",UPPER('DASMA INFO'!$H1539),")")</f>
        <v>Dador, Lino N. (JR)</v>
      </c>
      <c r="E1539" s="70" t="s">
        <v>369</v>
      </c>
      <c r="F1539" s="70" t="s">
        <v>1154</v>
      </c>
      <c r="G1539" s="70" t="s">
        <v>2821</v>
      </c>
      <c r="H1539" s="70" t="s">
        <v>629</v>
      </c>
      <c r="I1539" s="92">
        <v>0.05</v>
      </c>
      <c r="J1539" s="93">
        <v>1000.0</v>
      </c>
      <c r="K1539" s="73" t="s">
        <v>2822</v>
      </c>
      <c r="L1539" s="73"/>
      <c r="M1539" s="73"/>
      <c r="N1539" s="74"/>
    </row>
    <row r="1540" ht="30.0" hidden="1" customHeight="1">
      <c r="A1540" s="68">
        <v>1556.0</v>
      </c>
      <c r="B1540" s="68"/>
      <c r="C1540" s="68"/>
      <c r="D1540" s="69" t="str">
        <f>CONCATENATE(PROPER('DASMA INFO'!$G1540),", ",PROPER('DASMA INFO'!$E1540)," ",PROPER('DASMA INFO'!$F1540),"."," (",UPPER('DASMA INFO'!$H1540),")")</f>
        <v>Dador, Lino N. (JR)</v>
      </c>
      <c r="E1540" s="70" t="s">
        <v>369</v>
      </c>
      <c r="F1540" s="70" t="s">
        <v>1154</v>
      </c>
      <c r="G1540" s="70" t="s">
        <v>2821</v>
      </c>
      <c r="H1540" s="70" t="s">
        <v>629</v>
      </c>
      <c r="I1540" s="92">
        <v>0.05</v>
      </c>
      <c r="J1540" s="93">
        <v>1000.0</v>
      </c>
      <c r="K1540" s="73" t="s">
        <v>2823</v>
      </c>
      <c r="L1540" s="73"/>
      <c r="M1540" s="73"/>
      <c r="N1540" s="74"/>
    </row>
    <row r="1541" ht="30.0" hidden="1" customHeight="1">
      <c r="A1541" s="68">
        <v>1557.0</v>
      </c>
      <c r="B1541" s="68"/>
      <c r="C1541" s="68"/>
      <c r="D1541" s="69" t="str">
        <f>CONCATENATE(PROPER('DASMA INFO'!$G1541),", ",PROPER('DASMA INFO'!$E1541)," ",PROPER('DASMA INFO'!$F1541),"."," (",UPPER('DASMA INFO'!$H1541),")")</f>
        <v>Caspe, Betty A. ()</v>
      </c>
      <c r="E1541" s="70" t="s">
        <v>838</v>
      </c>
      <c r="F1541" s="70" t="s">
        <v>427</v>
      </c>
      <c r="G1541" s="70" t="s">
        <v>839</v>
      </c>
      <c r="H1541" s="69"/>
      <c r="I1541" s="105">
        <v>0.12</v>
      </c>
      <c r="J1541" s="106">
        <v>1000.0</v>
      </c>
      <c r="K1541" s="73" t="s">
        <v>2202</v>
      </c>
      <c r="L1541" s="73"/>
      <c r="M1541" s="73"/>
      <c r="N1541" s="74"/>
    </row>
    <row r="1542" ht="30.0" hidden="1" customHeight="1">
      <c r="A1542" s="68">
        <v>1558.0</v>
      </c>
      <c r="B1542" s="68"/>
      <c r="C1542" s="68"/>
      <c r="D1542" s="69" t="str">
        <f>CONCATENATE(PROPER('DASMA INFO'!$G1542),", ",PROPER('DASMA INFO'!$E1542)," ",PROPER('DASMA INFO'!$F1542),"."," (",UPPER('DASMA INFO'!$H1542),")")</f>
        <v>Banel, Cynthia I. ()</v>
      </c>
      <c r="E1542" s="70" t="s">
        <v>1157</v>
      </c>
      <c r="F1542" s="70" t="s">
        <v>767</v>
      </c>
      <c r="G1542" s="70" t="s">
        <v>2824</v>
      </c>
      <c r="H1542" s="69"/>
      <c r="I1542" s="92">
        <v>0.05</v>
      </c>
      <c r="J1542" s="93">
        <v>1000.0</v>
      </c>
      <c r="K1542" s="73" t="s">
        <v>2825</v>
      </c>
      <c r="L1542" s="73"/>
      <c r="M1542" s="73"/>
      <c r="N1542" s="74"/>
    </row>
    <row r="1543" ht="30.0" hidden="1" customHeight="1">
      <c r="A1543" s="68">
        <v>1559.0</v>
      </c>
      <c r="B1543" s="68"/>
      <c r="C1543" s="68"/>
      <c r="D1543" s="69" t="str">
        <f>CONCATENATE(PROPER('DASMA INFO'!$G1543),", ",PROPER('DASMA INFO'!$E1543)," ",PROPER('DASMA INFO'!$F1543),"."," (",UPPER('DASMA INFO'!$H1543),")")</f>
        <v>Mandely, Fesal A. ()</v>
      </c>
      <c r="E1543" s="70" t="s">
        <v>438</v>
      </c>
      <c r="F1543" s="70" t="s">
        <v>427</v>
      </c>
      <c r="G1543" s="70" t="s">
        <v>437</v>
      </c>
      <c r="H1543" s="69"/>
      <c r="I1543" s="92">
        <v>0.05</v>
      </c>
      <c r="J1543" s="93">
        <v>1000.0</v>
      </c>
      <c r="K1543" s="73" t="s">
        <v>1596</v>
      </c>
      <c r="L1543" s="73"/>
      <c r="M1543" s="73"/>
      <c r="N1543" s="74"/>
    </row>
    <row r="1544" ht="30.0" hidden="1" customHeight="1">
      <c r="A1544" s="68">
        <v>1560.0</v>
      </c>
      <c r="B1544" s="68"/>
      <c r="C1544" s="68"/>
      <c r="D1544" s="69" t="str">
        <f>CONCATENATE(PROPER('DASMA INFO'!$G1544),", ",PROPER('DASMA INFO'!$E1544)," ",PROPER('DASMA INFO'!$F1544),"."," (",UPPER('DASMA INFO'!$H1544),")")</f>
        <v>Mandeeli, Aisha D. ()</v>
      </c>
      <c r="E1544" s="70" t="s">
        <v>436</v>
      </c>
      <c r="F1544" s="70" t="s">
        <v>1078</v>
      </c>
      <c r="G1544" s="70" t="s">
        <v>2826</v>
      </c>
      <c r="H1544" s="69"/>
      <c r="I1544" s="92">
        <v>0.05</v>
      </c>
      <c r="J1544" s="93">
        <v>1000.0</v>
      </c>
      <c r="K1544" s="73" t="s">
        <v>968</v>
      </c>
      <c r="L1544" s="70"/>
      <c r="M1544" s="70"/>
      <c r="N1544" s="70"/>
    </row>
    <row r="1545" ht="30.0" hidden="1" customHeight="1">
      <c r="A1545" s="68">
        <v>1561.0</v>
      </c>
      <c r="B1545" s="68"/>
      <c r="C1545" s="68"/>
      <c r="D1545" s="69" t="str">
        <f>CONCATENATE(PROPER('DASMA INFO'!$G1545),", ",PROPER('DASMA INFO'!$E1545)," ",PROPER('DASMA INFO'!$F1545),"."," (",UPPER('DASMA INFO'!$H1545),")")</f>
        <v>Caudilla, Modesta Q. ()</v>
      </c>
      <c r="E1545" s="70" t="s">
        <v>2827</v>
      </c>
      <c r="F1545" s="70" t="s">
        <v>545</v>
      </c>
      <c r="G1545" s="70" t="s">
        <v>2828</v>
      </c>
      <c r="H1545" s="69"/>
      <c r="I1545" s="105">
        <v>0.12</v>
      </c>
      <c r="J1545" s="106">
        <v>1000.0</v>
      </c>
      <c r="K1545" s="73" t="s">
        <v>968</v>
      </c>
      <c r="L1545" s="73"/>
      <c r="M1545" s="73"/>
      <c r="N1545" s="74"/>
    </row>
    <row r="1546" ht="30.0" hidden="1" customHeight="1">
      <c r="A1546" s="68">
        <v>1562.0</v>
      </c>
      <c r="B1546" s="68"/>
      <c r="C1546" s="68"/>
      <c r="D1546" s="69" t="str">
        <f>CONCATENATE(PROPER('DASMA INFO'!$G1546),", ",PROPER('DASMA INFO'!$E1546)," ",PROPER('DASMA INFO'!$F1546),"."," (",UPPER('DASMA INFO'!$H1546),")")</f>
        <v>Garcia, Zondrie M. ()</v>
      </c>
      <c r="E1546" s="70" t="s">
        <v>2829</v>
      </c>
      <c r="F1546" s="70" t="s">
        <v>587</v>
      </c>
      <c r="G1546" s="70" t="s">
        <v>496</v>
      </c>
      <c r="H1546" s="69"/>
      <c r="I1546" s="105">
        <v>0.12</v>
      </c>
      <c r="J1546" s="106">
        <v>1000.0</v>
      </c>
      <c r="K1546" s="73" t="s">
        <v>968</v>
      </c>
      <c r="L1546" s="73"/>
      <c r="M1546" s="73"/>
      <c r="N1546" s="74"/>
    </row>
    <row r="1547" ht="30.0" hidden="1" customHeight="1">
      <c r="A1547" s="68">
        <v>1563.0</v>
      </c>
      <c r="B1547" s="68"/>
      <c r="C1547" s="68"/>
      <c r="D1547" s="69" t="str">
        <f>CONCATENATE(PROPER('DASMA INFO'!$G1547),", ",PROPER('DASMA INFO'!$E1547)," ",PROPER('DASMA INFO'!$F1547),"."," (",UPPER('DASMA INFO'!$H1547),")")</f>
        <v>Batul, Rosenda P. ()</v>
      </c>
      <c r="E1547" s="70" t="s">
        <v>2830</v>
      </c>
      <c r="F1547" s="70" t="s">
        <v>513</v>
      </c>
      <c r="G1547" s="70" t="s">
        <v>574</v>
      </c>
      <c r="H1547" s="69"/>
      <c r="I1547" s="92">
        <v>0.05</v>
      </c>
      <c r="J1547" s="93">
        <v>1000.0</v>
      </c>
      <c r="K1547" s="73" t="s">
        <v>2630</v>
      </c>
      <c r="L1547" s="73"/>
      <c r="M1547" s="73"/>
      <c r="N1547" s="74"/>
    </row>
    <row r="1548" ht="30.0" hidden="1" customHeight="1">
      <c r="A1548" s="68">
        <v>1564.0</v>
      </c>
      <c r="B1548" s="68"/>
      <c r="C1548" s="68"/>
      <c r="D1548" s="69" t="str">
        <f>CONCATENATE(PROPER('DASMA INFO'!$G1548),", ",PROPER('DASMA INFO'!$E1548)," ",PROPER('DASMA INFO'!$F1548),"."," (",UPPER('DASMA INFO'!$H1548),")")</f>
        <v>Bondoc, Connie B. ()</v>
      </c>
      <c r="E1548" s="70" t="s">
        <v>2831</v>
      </c>
      <c r="F1548" s="70" t="s">
        <v>627</v>
      </c>
      <c r="G1548" s="70" t="s">
        <v>2026</v>
      </c>
      <c r="H1548" s="69"/>
      <c r="I1548" s="105">
        <v>0.12</v>
      </c>
      <c r="J1548" s="106">
        <v>1000.0</v>
      </c>
      <c r="K1548" s="73" t="s">
        <v>1596</v>
      </c>
      <c r="L1548" s="73"/>
      <c r="M1548" s="73"/>
      <c r="N1548" s="74"/>
    </row>
    <row r="1549" ht="30.0" hidden="1" customHeight="1">
      <c r="A1549" s="68">
        <v>1565.0</v>
      </c>
      <c r="B1549" s="68"/>
      <c r="C1549" s="68"/>
      <c r="D1549" s="69" t="str">
        <f>CONCATENATE(PROPER('DASMA INFO'!$G1549),", ",PROPER('DASMA INFO'!$E1549)," ",PROPER('DASMA INFO'!$F1549),"."," (",UPPER('DASMA INFO'!$H1549),")")</f>
        <v>Guiyab, Wilfrelyn B. ()</v>
      </c>
      <c r="E1549" s="70" t="s">
        <v>2832</v>
      </c>
      <c r="F1549" s="70" t="s">
        <v>627</v>
      </c>
      <c r="G1549" s="70" t="s">
        <v>2833</v>
      </c>
      <c r="H1549" s="69"/>
      <c r="I1549" s="105">
        <v>0.12</v>
      </c>
      <c r="J1549" s="106">
        <v>1000.0</v>
      </c>
      <c r="K1549" s="73" t="s">
        <v>2834</v>
      </c>
      <c r="L1549" s="73"/>
      <c r="M1549" s="73"/>
      <c r="N1549" s="74"/>
    </row>
    <row r="1550" ht="30.0" hidden="1" customHeight="1">
      <c r="A1550" s="68">
        <v>1566.0</v>
      </c>
      <c r="B1550" s="68"/>
      <c r="C1550" s="68"/>
      <c r="D1550" s="69" t="str">
        <f>CONCATENATE(PROPER('DASMA INFO'!$G1550),", ",PROPER('DASMA INFO'!$E1550)," ",PROPER('DASMA INFO'!$F1550),"."," (",UPPER('DASMA INFO'!$H1550),")")</f>
        <v>Vargas, Ma Victoria E. ()</v>
      </c>
      <c r="E1550" s="70" t="s">
        <v>2835</v>
      </c>
      <c r="F1550" s="70" t="s">
        <v>299</v>
      </c>
      <c r="G1550" s="70" t="s">
        <v>2836</v>
      </c>
      <c r="H1550" s="69"/>
      <c r="I1550" s="105">
        <v>0.12</v>
      </c>
      <c r="J1550" s="106">
        <v>1000.0</v>
      </c>
      <c r="K1550" s="73" t="s">
        <v>2672</v>
      </c>
      <c r="L1550" s="73"/>
      <c r="M1550" s="73"/>
      <c r="N1550" s="74"/>
    </row>
    <row r="1551" ht="30.0" hidden="1" customHeight="1">
      <c r="A1551" s="68">
        <v>1567.0</v>
      </c>
      <c r="B1551" s="68"/>
      <c r="C1551" s="68"/>
      <c r="D1551" s="69" t="str">
        <f>CONCATENATE(PROPER('DASMA INFO'!$G1551),", ",PROPER('DASMA INFO'!$E1551)," ",PROPER('DASMA INFO'!$F1551),"."," (",UPPER('DASMA INFO'!$H1551),")")</f>
        <v>Cuaresma, Marilyn A. ()</v>
      </c>
      <c r="E1551" s="70" t="s">
        <v>231</v>
      </c>
      <c r="F1551" s="70" t="s">
        <v>427</v>
      </c>
      <c r="G1551" s="70" t="s">
        <v>2837</v>
      </c>
      <c r="H1551" s="69"/>
      <c r="I1551" s="105">
        <v>0.12</v>
      </c>
      <c r="J1551" s="106">
        <v>1000.0</v>
      </c>
      <c r="K1551" s="73" t="s">
        <v>2599</v>
      </c>
      <c r="L1551" s="73"/>
      <c r="M1551" s="73"/>
      <c r="N1551" s="74"/>
    </row>
    <row r="1552" ht="30.0" hidden="1" customHeight="1">
      <c r="A1552" s="68">
        <v>1568.0</v>
      </c>
      <c r="B1552" s="68"/>
      <c r="C1552" s="68"/>
      <c r="D1552" s="69" t="str">
        <f>CONCATENATE(PROPER('DASMA INFO'!$G1552),", ",PROPER('DASMA INFO'!$E1552)," ",PROPER('DASMA INFO'!$F1552),"."," (",UPPER('DASMA INFO'!$H1552),")")</f>
        <v>Cale, Lorna A. ()</v>
      </c>
      <c r="E1552" s="70" t="s">
        <v>276</v>
      </c>
      <c r="F1552" s="70" t="s">
        <v>427</v>
      </c>
      <c r="G1552" s="70" t="s">
        <v>2838</v>
      </c>
      <c r="H1552" s="69"/>
      <c r="I1552" s="105">
        <v>0.12</v>
      </c>
      <c r="J1552" s="106">
        <v>1000.0</v>
      </c>
      <c r="K1552" s="73" t="s">
        <v>1231</v>
      </c>
      <c r="L1552" s="73"/>
      <c r="M1552" s="73"/>
      <c r="N1552" s="74"/>
    </row>
    <row r="1553" ht="30.0" hidden="1" customHeight="1">
      <c r="A1553" s="68">
        <v>1569.0</v>
      </c>
      <c r="B1553" s="68"/>
      <c r="C1553" s="68"/>
      <c r="D1553" s="69" t="str">
        <f>CONCATENATE(PROPER('DASMA INFO'!$G1553),", ",PROPER('DASMA INFO'!$E1553)," ",PROPER('DASMA INFO'!$F1553),"."," (",UPPER('DASMA INFO'!$H1553),")")</f>
        <v>Hernandez, Herman Benedict B. ()</v>
      </c>
      <c r="E1553" s="70" t="s">
        <v>2839</v>
      </c>
      <c r="F1553" s="70" t="s">
        <v>627</v>
      </c>
      <c r="G1553" s="70" t="s">
        <v>635</v>
      </c>
      <c r="H1553" s="69"/>
      <c r="I1553" s="92">
        <v>0.05</v>
      </c>
      <c r="J1553" s="93">
        <v>1000.0</v>
      </c>
      <c r="K1553" s="73" t="s">
        <v>2103</v>
      </c>
      <c r="L1553" s="73"/>
      <c r="M1553" s="73"/>
      <c r="N1553" s="74"/>
    </row>
    <row r="1554" ht="30.0" hidden="1" customHeight="1">
      <c r="A1554" s="68">
        <v>1570.0</v>
      </c>
      <c r="B1554" s="68"/>
      <c r="C1554" s="68"/>
      <c r="D1554" s="69" t="str">
        <f>CONCATENATE(PROPER('DASMA INFO'!$G1554),", ",PROPER('DASMA INFO'!$E1554)," ",PROPER('DASMA INFO'!$F1554),"."," (",UPPER('DASMA INFO'!$H1554),")")</f>
        <v>Diaz, John N. ()</v>
      </c>
      <c r="E1554" s="70" t="s">
        <v>1303</v>
      </c>
      <c r="F1554" s="70" t="s">
        <v>1154</v>
      </c>
      <c r="G1554" s="70" t="s">
        <v>653</v>
      </c>
      <c r="H1554" s="69"/>
      <c r="I1554" s="105">
        <v>0.12</v>
      </c>
      <c r="J1554" s="106">
        <v>1000.0</v>
      </c>
      <c r="K1554" s="73" t="s">
        <v>968</v>
      </c>
      <c r="L1554" s="73"/>
      <c r="M1554" s="73"/>
      <c r="N1554" s="74"/>
    </row>
    <row r="1555" ht="30.0" hidden="1" customHeight="1">
      <c r="A1555" s="68">
        <v>1571.0</v>
      </c>
      <c r="B1555" s="68"/>
      <c r="C1555" s="68"/>
      <c r="D1555" s="69" t="str">
        <f>CONCATENATE(PROPER('DASMA INFO'!$G1555),", ",PROPER('DASMA INFO'!$E1555)," ",PROPER('DASMA INFO'!$F1555),"."," (",UPPER('DASMA INFO'!$H1555),")")</f>
        <v>Ninon, Flordeliza U. ()</v>
      </c>
      <c r="E1555" s="70" t="s">
        <v>111</v>
      </c>
      <c r="F1555" s="70" t="s">
        <v>1628</v>
      </c>
      <c r="G1555" s="70" t="s">
        <v>2840</v>
      </c>
      <c r="H1555" s="69"/>
      <c r="I1555" s="105">
        <v>0.12</v>
      </c>
      <c r="J1555" s="106">
        <v>1000.0</v>
      </c>
      <c r="K1555" s="73" t="s">
        <v>2027</v>
      </c>
      <c r="L1555" s="73"/>
      <c r="M1555" s="73"/>
      <c r="N1555" s="74"/>
    </row>
    <row r="1556" ht="30.0" hidden="1" customHeight="1">
      <c r="A1556" s="68">
        <v>1572.0</v>
      </c>
      <c r="B1556" s="68"/>
      <c r="C1556" s="68"/>
      <c r="D1556" s="69" t="str">
        <f>CONCATENATE(PROPER('DASMA INFO'!$G1556),", ",PROPER('DASMA INFO'!$E1556)," ",PROPER('DASMA INFO'!$F1556),"."," (",UPPER('DASMA INFO'!$H1556),")")</f>
        <v>Dahan, Josue O. ()</v>
      </c>
      <c r="E1556" s="70" t="s">
        <v>2841</v>
      </c>
      <c r="F1556" s="70" t="s">
        <v>634</v>
      </c>
      <c r="G1556" s="70" t="s">
        <v>2842</v>
      </c>
      <c r="H1556" s="69"/>
      <c r="I1556" s="105">
        <v>0.12</v>
      </c>
      <c r="J1556" s="106">
        <v>1000.0</v>
      </c>
      <c r="K1556" s="73" t="s">
        <v>1017</v>
      </c>
      <c r="L1556" s="73"/>
      <c r="M1556" s="73"/>
      <c r="N1556" s="74"/>
    </row>
    <row r="1557" ht="30.0" hidden="1" customHeight="1">
      <c r="A1557" s="68">
        <v>1573.0</v>
      </c>
      <c r="B1557" s="68"/>
      <c r="C1557" s="68"/>
      <c r="D1557" s="69" t="str">
        <f>CONCATENATE(PROPER('DASMA INFO'!$G1557),", ",PROPER('DASMA INFO'!$E1557)," ",PROPER('DASMA INFO'!$F1557),"."," (",UPPER('DASMA INFO'!$H1557),")")</f>
        <v>Erno, Efren B. ()</v>
      </c>
      <c r="E1557" s="70" t="s">
        <v>1013</v>
      </c>
      <c r="F1557" s="70" t="s">
        <v>627</v>
      </c>
      <c r="G1557" s="70" t="s">
        <v>2843</v>
      </c>
      <c r="H1557" s="69"/>
      <c r="I1557" s="105">
        <v>0.12</v>
      </c>
      <c r="J1557" s="106">
        <v>1000.0</v>
      </c>
      <c r="K1557" s="73" t="s">
        <v>2844</v>
      </c>
      <c r="L1557" s="73"/>
      <c r="M1557" s="73"/>
      <c r="N1557" s="74"/>
    </row>
    <row r="1558" ht="30.0" hidden="1" customHeight="1">
      <c r="A1558" s="68">
        <v>1574.0</v>
      </c>
      <c r="B1558" s="68"/>
      <c r="C1558" s="68"/>
      <c r="D1558" s="69" t="str">
        <f>CONCATENATE(PROPER('DASMA INFO'!$G1558),", ",PROPER('DASMA INFO'!$E1558)," ",PROPER('DASMA INFO'!$F1558),"."," (",UPPER('DASMA INFO'!$H1558),")")</f>
        <v>Bacila, Gina C. ()</v>
      </c>
      <c r="E1558" s="70" t="s">
        <v>1103</v>
      </c>
      <c r="F1558" s="70" t="s">
        <v>318</v>
      </c>
      <c r="G1558" s="70" t="s">
        <v>2845</v>
      </c>
      <c r="H1558" s="69"/>
      <c r="I1558" s="105">
        <v>0.12</v>
      </c>
      <c r="J1558" s="106">
        <v>1000.0</v>
      </c>
      <c r="K1558" s="73" t="s">
        <v>960</v>
      </c>
      <c r="L1558" s="73"/>
      <c r="M1558" s="73"/>
      <c r="N1558" s="74"/>
    </row>
    <row r="1559" ht="30.0" hidden="1" customHeight="1">
      <c r="A1559" s="68">
        <v>1575.0</v>
      </c>
      <c r="B1559" s="68"/>
      <c r="C1559" s="68"/>
      <c r="D1559" s="69" t="str">
        <f>CONCATENATE(PROPER('DASMA INFO'!$G1559),", ",PROPER('DASMA INFO'!$E1559)," ",PROPER('DASMA INFO'!$F1559),"."," (",UPPER('DASMA INFO'!$H1559),")")</f>
        <v>Baquer, Vivina R. ()</v>
      </c>
      <c r="E1559" s="70" t="s">
        <v>434</v>
      </c>
      <c r="F1559" s="70" t="s">
        <v>260</v>
      </c>
      <c r="G1559" s="70" t="s">
        <v>2795</v>
      </c>
      <c r="H1559" s="69"/>
      <c r="I1559" s="92">
        <v>0.05</v>
      </c>
      <c r="J1559" s="93">
        <v>1000.0</v>
      </c>
      <c r="K1559" s="73" t="s">
        <v>1733</v>
      </c>
      <c r="L1559" s="73"/>
      <c r="M1559" s="73"/>
      <c r="N1559" s="74"/>
    </row>
    <row r="1560" ht="30.0" hidden="1" customHeight="1">
      <c r="A1560" s="68">
        <v>1576.0</v>
      </c>
      <c r="B1560" s="68"/>
      <c r="C1560" s="68"/>
      <c r="D1560" s="69" t="str">
        <f>CONCATENATE(PROPER('DASMA INFO'!$G1560),", ",PROPER('DASMA INFO'!$E1560)," ",PROPER('DASMA INFO'!$F1560),"."," (",UPPER('DASMA INFO'!$H1560),")")</f>
        <v>Leyran, Adelaida R. ()</v>
      </c>
      <c r="E1560" s="70" t="s">
        <v>2846</v>
      </c>
      <c r="F1560" s="70" t="s">
        <v>260</v>
      </c>
      <c r="G1560" s="70" t="s">
        <v>2847</v>
      </c>
      <c r="H1560" s="69"/>
      <c r="I1560" s="105">
        <v>0.12</v>
      </c>
      <c r="J1560" s="106">
        <v>1000.0</v>
      </c>
      <c r="K1560" s="73" t="s">
        <v>1053</v>
      </c>
      <c r="L1560" s="73"/>
      <c r="M1560" s="73"/>
      <c r="N1560" s="74"/>
    </row>
    <row r="1561" ht="30.0" hidden="1" customHeight="1">
      <c r="A1561" s="68">
        <v>1577.0</v>
      </c>
      <c r="B1561" s="68"/>
      <c r="C1561" s="68"/>
      <c r="D1561" s="69" t="str">
        <f>CONCATENATE(PROPER('DASMA INFO'!$G1561),", ",PROPER('DASMA INFO'!$E1561)," ",PROPER('DASMA INFO'!$F1561),"."," (",UPPER('DASMA INFO'!$H1561),")")</f>
        <v>Pagunsan, Rey T. ()</v>
      </c>
      <c r="E1561" s="70" t="s">
        <v>1047</v>
      </c>
      <c r="F1561" s="70" t="s">
        <v>752</v>
      </c>
      <c r="G1561" s="70" t="s">
        <v>2848</v>
      </c>
      <c r="H1561" s="69"/>
      <c r="I1561" s="105">
        <v>0.12</v>
      </c>
      <c r="J1561" s="106">
        <v>1000.0</v>
      </c>
      <c r="K1561" s="73" t="s">
        <v>968</v>
      </c>
      <c r="L1561" s="73"/>
      <c r="M1561" s="73"/>
      <c r="N1561" s="74"/>
    </row>
    <row r="1562" ht="30.0" hidden="1" customHeight="1">
      <c r="A1562" s="68">
        <v>1578.0</v>
      </c>
      <c r="B1562" s="68"/>
      <c r="C1562" s="68"/>
      <c r="D1562" s="69" t="str">
        <f>CONCATENATE(PROPER('DASMA INFO'!$G1562),", ",PROPER('DASMA INFO'!$E1562)," ",PROPER('DASMA INFO'!$F1562),"."," (",UPPER('DASMA INFO'!$H1562),")")</f>
        <v>De Leon, Carmela M. ()</v>
      </c>
      <c r="E1562" s="70" t="s">
        <v>2849</v>
      </c>
      <c r="F1562" s="70" t="s">
        <v>587</v>
      </c>
      <c r="G1562" s="70" t="s">
        <v>1136</v>
      </c>
      <c r="H1562" s="70"/>
      <c r="I1562" s="105">
        <v>0.12</v>
      </c>
      <c r="J1562" s="106">
        <v>1000.0</v>
      </c>
      <c r="K1562" s="73" t="s">
        <v>953</v>
      </c>
      <c r="L1562" s="73"/>
      <c r="M1562" s="73"/>
      <c r="N1562" s="74"/>
    </row>
    <row r="1563" ht="30.0" hidden="1" customHeight="1">
      <c r="A1563" s="68">
        <v>1579.0</v>
      </c>
      <c r="B1563" s="68"/>
      <c r="C1563" s="68"/>
      <c r="D1563" s="69" t="str">
        <f>CONCATENATE(PROPER('DASMA INFO'!$G1563),", ",PROPER('DASMA INFO'!$E1563)," ",PROPER('DASMA INFO'!$F1563),"."," (",UPPER('DASMA INFO'!$H1563),")")</f>
        <v>Sedano, Anarose M. ()</v>
      </c>
      <c r="E1563" s="70" t="s">
        <v>2850</v>
      </c>
      <c r="F1563" s="70" t="s">
        <v>587</v>
      </c>
      <c r="G1563" s="70" t="s">
        <v>2851</v>
      </c>
      <c r="H1563" s="69"/>
      <c r="I1563" s="105">
        <v>0.12</v>
      </c>
      <c r="J1563" s="106">
        <v>1000.0</v>
      </c>
      <c r="K1563" s="73" t="s">
        <v>2435</v>
      </c>
      <c r="L1563" s="73"/>
      <c r="M1563" s="73"/>
      <c r="N1563" s="74"/>
    </row>
    <row r="1564" ht="30.0" hidden="1" customHeight="1">
      <c r="A1564" s="68">
        <v>1580.0</v>
      </c>
      <c r="B1564" s="68"/>
      <c r="C1564" s="68"/>
      <c r="D1564" s="69" t="str">
        <f>CONCATENATE(PROPER('DASMA INFO'!$G1564),", ",PROPER('DASMA INFO'!$E1564)," ",PROPER('DASMA INFO'!$F1564),"."," (",UPPER('DASMA INFO'!$H1564),")")</f>
        <v>Ricohermoso, Delcy C. ()</v>
      </c>
      <c r="E1564" s="70" t="s">
        <v>2852</v>
      </c>
      <c r="F1564" s="70" t="s">
        <v>318</v>
      </c>
      <c r="G1564" s="70" t="s">
        <v>2853</v>
      </c>
      <c r="H1564" s="69"/>
      <c r="I1564" s="92">
        <v>0.05</v>
      </c>
      <c r="J1564" s="93">
        <v>1000.0</v>
      </c>
      <c r="K1564" s="73" t="s">
        <v>2854</v>
      </c>
      <c r="L1564" s="73"/>
      <c r="M1564" s="73"/>
      <c r="N1564" s="74"/>
    </row>
    <row r="1565" ht="30.0" hidden="1" customHeight="1">
      <c r="A1565" s="68">
        <v>1581.0</v>
      </c>
      <c r="B1565" s="68"/>
      <c r="C1565" s="68"/>
      <c r="D1565" s="69" t="str">
        <f>CONCATENATE(PROPER('DASMA INFO'!$G1565),", ",PROPER('DASMA INFO'!$E1565)," ",PROPER('DASMA INFO'!$F1565),"."," (",UPPER('DASMA INFO'!$H1565),")")</f>
        <v>Tolentino, Delfin M. (III)</v>
      </c>
      <c r="E1565" s="70" t="s">
        <v>1355</v>
      </c>
      <c r="F1565" s="70" t="s">
        <v>587</v>
      </c>
      <c r="G1565" s="70" t="s">
        <v>206</v>
      </c>
      <c r="H1565" s="70" t="s">
        <v>2855</v>
      </c>
      <c r="I1565" s="105">
        <v>0.12</v>
      </c>
      <c r="J1565" s="106">
        <v>1000.0</v>
      </c>
      <c r="K1565" s="73" t="s">
        <v>968</v>
      </c>
      <c r="L1565" s="73"/>
      <c r="M1565" s="73"/>
      <c r="N1565" s="74"/>
    </row>
    <row r="1566" ht="30.0" hidden="1" customHeight="1">
      <c r="A1566" s="68">
        <v>1582.0</v>
      </c>
      <c r="B1566" s="68"/>
      <c r="C1566" s="68"/>
      <c r="D1566" s="69" t="str">
        <f>CONCATENATE(PROPER('DASMA INFO'!$G1566),", ",PROPER('DASMA INFO'!$E1566)," ",PROPER('DASMA INFO'!$F1566),"."," (",UPPER('DASMA INFO'!$H1566),")")</f>
        <v>Chan, Janet L. ()</v>
      </c>
      <c r="E1566" s="70" t="s">
        <v>556</v>
      </c>
      <c r="F1566" s="70" t="s">
        <v>648</v>
      </c>
      <c r="G1566" s="70" t="s">
        <v>2774</v>
      </c>
      <c r="H1566" s="69"/>
      <c r="I1566" s="92">
        <v>0.05</v>
      </c>
      <c r="J1566" s="93">
        <v>1000.0</v>
      </c>
      <c r="K1566" s="73" t="s">
        <v>2856</v>
      </c>
      <c r="L1566" s="73"/>
      <c r="M1566" s="73"/>
      <c r="N1566" s="74"/>
    </row>
    <row r="1567" ht="30.0" hidden="1" customHeight="1">
      <c r="A1567" s="68">
        <v>1583.0</v>
      </c>
      <c r="B1567" s="68"/>
      <c r="C1567" s="68"/>
      <c r="D1567" s="69" t="str">
        <f>CONCATENATE(PROPER('DASMA INFO'!$G1567),", ",PROPER('DASMA INFO'!$E1567)," ",PROPER('DASMA INFO'!$F1567),"."," (",UPPER('DASMA INFO'!$H1567),")")</f>
        <v>Villar-Baring, Melinda . ()</v>
      </c>
      <c r="E1567" s="70" t="s">
        <v>2572</v>
      </c>
      <c r="F1567" s="69"/>
      <c r="G1567" s="70" t="s">
        <v>2857</v>
      </c>
      <c r="H1567" s="69"/>
      <c r="I1567" s="105">
        <v>0.12</v>
      </c>
      <c r="J1567" s="106">
        <v>1000.0</v>
      </c>
      <c r="K1567" s="73" t="s">
        <v>1131</v>
      </c>
      <c r="L1567" s="73"/>
      <c r="M1567" s="73"/>
      <c r="N1567" s="74"/>
    </row>
    <row r="1568" ht="30.0" hidden="1" customHeight="1">
      <c r="A1568" s="68">
        <v>1584.0</v>
      </c>
      <c r="B1568" s="68"/>
      <c r="C1568" s="68"/>
      <c r="D1568" s="69" t="str">
        <f>CONCATENATE(PROPER('DASMA INFO'!$G1568),", ",PROPER('DASMA INFO'!$E1568)," ",PROPER('DASMA INFO'!$F1568),"."," (",UPPER('DASMA INFO'!$H1568),")")</f>
        <v>Odejar, Edgardo M. ()</v>
      </c>
      <c r="E1568" s="70" t="s">
        <v>869</v>
      </c>
      <c r="F1568" s="70" t="s">
        <v>587</v>
      </c>
      <c r="G1568" s="70" t="s">
        <v>2858</v>
      </c>
      <c r="H1568" s="69"/>
      <c r="I1568" s="105">
        <v>0.12</v>
      </c>
      <c r="J1568" s="106">
        <v>1000.0</v>
      </c>
      <c r="K1568" s="73" t="s">
        <v>2672</v>
      </c>
      <c r="L1568" s="73"/>
      <c r="M1568" s="73"/>
      <c r="N1568" s="74"/>
    </row>
    <row r="1569" ht="30.0" hidden="1" customHeight="1">
      <c r="A1569" s="68">
        <v>1585.0</v>
      </c>
      <c r="B1569" s="68"/>
      <c r="C1569" s="68"/>
      <c r="D1569" s="69" t="str">
        <f>CONCATENATE(PROPER('DASMA INFO'!$G1569),", ",PROPER('DASMA INFO'!$E1569)," ",PROPER('DASMA INFO'!$F1569),"."," (",UPPER('DASMA INFO'!$H1569),")")</f>
        <v>Macawile, Rosario Y. ()</v>
      </c>
      <c r="E1569" s="70" t="s">
        <v>61</v>
      </c>
      <c r="F1569" s="70" t="s">
        <v>2859</v>
      </c>
      <c r="G1569" s="70" t="s">
        <v>2860</v>
      </c>
      <c r="H1569" s="69"/>
      <c r="I1569" s="105">
        <v>0.12</v>
      </c>
      <c r="J1569" s="106">
        <v>1000.0</v>
      </c>
      <c r="K1569" s="73" t="s">
        <v>1003</v>
      </c>
      <c r="L1569" s="73"/>
      <c r="M1569" s="73"/>
      <c r="N1569" s="74"/>
    </row>
    <row r="1570" ht="30.0" hidden="1" customHeight="1">
      <c r="A1570" s="68">
        <v>1586.0</v>
      </c>
      <c r="B1570" s="68"/>
      <c r="C1570" s="68"/>
      <c r="D1570" s="69" t="str">
        <f>CONCATENATE(PROPER('DASMA INFO'!$G1570),", ",PROPER('DASMA INFO'!$E1570)," ",PROPER('DASMA INFO'!$F1570),"."," (",UPPER('DASMA INFO'!$H1570),")")</f>
        <v>Bautista, Odin A. ()</v>
      </c>
      <c r="E1570" s="70" t="s">
        <v>2861</v>
      </c>
      <c r="F1570" s="70" t="s">
        <v>427</v>
      </c>
      <c r="G1570" s="70" t="s">
        <v>275</v>
      </c>
      <c r="H1570" s="69"/>
      <c r="I1570" s="105">
        <v>0.12</v>
      </c>
      <c r="J1570" s="106">
        <v>1000.0</v>
      </c>
      <c r="K1570" s="73" t="s">
        <v>968</v>
      </c>
      <c r="L1570" s="73"/>
      <c r="M1570" s="73"/>
      <c r="N1570" s="74"/>
    </row>
    <row r="1571" ht="30.0" hidden="1" customHeight="1">
      <c r="A1571" s="68">
        <v>1587.0</v>
      </c>
      <c r="B1571" s="68"/>
      <c r="C1571" s="68"/>
      <c r="D1571" s="69" t="str">
        <f>CONCATENATE(PROPER('DASMA INFO'!$G1571),", ",PROPER('DASMA INFO'!$E1571)," ",PROPER('DASMA INFO'!$F1571),"."," (",UPPER('DASMA INFO'!$H1571),")")</f>
        <v>Macawile, Francisco L. ()</v>
      </c>
      <c r="E1571" s="70" t="s">
        <v>509</v>
      </c>
      <c r="F1571" s="70" t="s">
        <v>648</v>
      </c>
      <c r="G1571" s="70" t="s">
        <v>2860</v>
      </c>
      <c r="H1571" s="69"/>
      <c r="I1571" s="105">
        <v>0.12</v>
      </c>
      <c r="J1571" s="106">
        <v>1000.0</v>
      </c>
      <c r="K1571" s="73" t="s">
        <v>2862</v>
      </c>
      <c r="L1571" s="73"/>
      <c r="M1571" s="73"/>
      <c r="N1571" s="74"/>
    </row>
    <row r="1572" ht="30.0" hidden="1" customHeight="1">
      <c r="A1572" s="68">
        <v>1588.0</v>
      </c>
      <c r="B1572" s="68"/>
      <c r="C1572" s="68"/>
      <c r="D1572" s="69" t="str">
        <f>CONCATENATE(PROPER('DASMA INFO'!$G1572),", ",PROPER('DASMA INFO'!$E1572)," ",PROPER('DASMA INFO'!$F1572),"."," (",UPPER('DASMA INFO'!$H1572),")")</f>
        <v>Gozar, Victor L. ()</v>
      </c>
      <c r="E1572" s="70" t="s">
        <v>1804</v>
      </c>
      <c r="F1572" s="70" t="s">
        <v>648</v>
      </c>
      <c r="G1572" s="70" t="s">
        <v>2863</v>
      </c>
      <c r="H1572" s="69"/>
      <c r="I1572" s="105">
        <v>0.12</v>
      </c>
      <c r="J1572" s="106">
        <v>1000.0</v>
      </c>
      <c r="K1572" s="73" t="s">
        <v>1475</v>
      </c>
      <c r="L1572" s="73"/>
      <c r="M1572" s="73"/>
      <c r="N1572" s="74"/>
    </row>
    <row r="1573" ht="30.0" hidden="1" customHeight="1">
      <c r="A1573" s="68">
        <v>1589.0</v>
      </c>
      <c r="B1573" s="68"/>
      <c r="C1573" s="68"/>
      <c r="D1573" s="69" t="str">
        <f>CONCATENATE(PROPER('DASMA INFO'!$G1573),", ",PROPER('DASMA INFO'!$E1573)," ",PROPER('DASMA INFO'!$F1573),"."," (",UPPER('DASMA INFO'!$H1573),")")</f>
        <v>Luceno, Nicanor B. ()</v>
      </c>
      <c r="E1573" s="70" t="s">
        <v>2864</v>
      </c>
      <c r="F1573" s="70" t="s">
        <v>627</v>
      </c>
      <c r="G1573" s="70" t="s">
        <v>2865</v>
      </c>
      <c r="H1573" s="69"/>
      <c r="I1573" s="105">
        <v>0.12</v>
      </c>
      <c r="J1573" s="106">
        <v>1000.0</v>
      </c>
      <c r="K1573" s="73" t="s">
        <v>968</v>
      </c>
      <c r="L1573" s="73"/>
      <c r="M1573" s="73"/>
      <c r="N1573" s="74"/>
    </row>
    <row r="1574" ht="30.0" hidden="1" customHeight="1">
      <c r="A1574" s="68">
        <v>1590.0</v>
      </c>
      <c r="B1574" s="68"/>
      <c r="C1574" s="68"/>
      <c r="D1574" s="69" t="str">
        <f>CONCATENATE(PROPER('DASMA INFO'!$G1574),", ",PROPER('DASMA INFO'!$E1574)," ",PROPER('DASMA INFO'!$F1574),"."," (",UPPER('DASMA INFO'!$H1574),")")</f>
        <v>Dayo, Joselito S. ()</v>
      </c>
      <c r="E1574" s="70" t="s">
        <v>315</v>
      </c>
      <c r="F1574" s="70" t="s">
        <v>342</v>
      </c>
      <c r="G1574" s="70" t="s">
        <v>2866</v>
      </c>
      <c r="H1574" s="69"/>
      <c r="I1574" s="105">
        <v>0.12</v>
      </c>
      <c r="J1574" s="106">
        <v>1000.0</v>
      </c>
      <c r="K1574" s="73" t="s">
        <v>968</v>
      </c>
      <c r="L1574" s="73"/>
      <c r="M1574" s="73"/>
      <c r="N1574" s="74"/>
    </row>
    <row r="1575" ht="30.0" hidden="1" customHeight="1">
      <c r="A1575" s="68">
        <v>1591.0</v>
      </c>
      <c r="B1575" s="68"/>
      <c r="C1575" s="68"/>
      <c r="D1575" s="69" t="str">
        <f>CONCATENATE(PROPER('DASMA INFO'!$G1575),", ",PROPER('DASMA INFO'!$E1575)," ",PROPER('DASMA INFO'!$F1575),"."," (",UPPER('DASMA INFO'!$H1575),")")</f>
        <v>Estoesta, Edward M. ()</v>
      </c>
      <c r="E1575" s="70" t="s">
        <v>36</v>
      </c>
      <c r="F1575" s="70" t="s">
        <v>587</v>
      </c>
      <c r="G1575" s="70" t="s">
        <v>694</v>
      </c>
      <c r="H1575" s="69"/>
      <c r="I1575" s="92">
        <v>0.05</v>
      </c>
      <c r="J1575" s="93">
        <v>1000.0</v>
      </c>
      <c r="K1575" s="73" t="s">
        <v>2867</v>
      </c>
      <c r="L1575" s="73" t="s">
        <v>480</v>
      </c>
      <c r="M1575" s="73">
        <v>2022.0</v>
      </c>
      <c r="N1575" s="74" t="s">
        <v>2868</v>
      </c>
    </row>
    <row r="1576" ht="30.0" hidden="1" customHeight="1">
      <c r="A1576" s="68">
        <v>1592.0</v>
      </c>
      <c r="B1576" s="68"/>
      <c r="C1576" s="68"/>
      <c r="D1576" s="69" t="str">
        <f>CONCATENATE(PROPER('DASMA INFO'!$G1576),", ",PROPER('DASMA INFO'!$E1576)," ",PROPER('DASMA INFO'!$F1576),"."," (",UPPER('DASMA INFO'!$H1576),")")</f>
        <v>Cendana, Allan E. ()</v>
      </c>
      <c r="E1576" s="70" t="s">
        <v>2424</v>
      </c>
      <c r="F1576" s="70" t="s">
        <v>299</v>
      </c>
      <c r="G1576" s="70" t="s">
        <v>2869</v>
      </c>
      <c r="H1576" s="69"/>
      <c r="I1576" s="105">
        <v>0.12</v>
      </c>
      <c r="J1576" s="106">
        <v>1000.0</v>
      </c>
      <c r="K1576" s="73" t="s">
        <v>968</v>
      </c>
      <c r="L1576" s="73"/>
      <c r="M1576" s="73"/>
      <c r="N1576" s="74"/>
    </row>
    <row r="1577" ht="30.0" hidden="1" customHeight="1">
      <c r="A1577" s="68">
        <v>1593.0</v>
      </c>
      <c r="B1577" s="68"/>
      <c r="C1577" s="68"/>
      <c r="D1577" s="69" t="str">
        <f>CONCATENATE(PROPER('DASMA INFO'!$G1577),", ",PROPER('DASMA INFO'!$E1577)," ",PROPER('DASMA INFO'!$F1577),"."," (",UPPER('DASMA INFO'!$H1577),")")</f>
        <v>Lopez, Joselito B. ()</v>
      </c>
      <c r="E1577" s="70" t="s">
        <v>315</v>
      </c>
      <c r="F1577" s="70" t="s">
        <v>627</v>
      </c>
      <c r="G1577" s="70" t="s">
        <v>316</v>
      </c>
      <c r="H1577" s="69"/>
      <c r="I1577" s="105">
        <v>0.12</v>
      </c>
      <c r="J1577" s="106">
        <v>1000.0</v>
      </c>
      <c r="K1577" s="73" t="s">
        <v>968</v>
      </c>
      <c r="L1577" s="73"/>
      <c r="M1577" s="73"/>
      <c r="N1577" s="74"/>
    </row>
    <row r="1578" ht="30.0" hidden="1" customHeight="1">
      <c r="A1578" s="68">
        <v>1594.0</v>
      </c>
      <c r="B1578" s="68"/>
      <c r="C1578" s="68"/>
      <c r="D1578" s="69" t="str">
        <f>CONCATENATE(PROPER('DASMA INFO'!$G1578),", ",PROPER('DASMA INFO'!$E1578)," ",PROPER('DASMA INFO'!$F1578),"."," (",UPPER('DASMA INFO'!$H1578),")")</f>
        <v>Japitana, Lourdes B. ()</v>
      </c>
      <c r="E1578" s="70" t="s">
        <v>2317</v>
      </c>
      <c r="F1578" s="70" t="s">
        <v>627</v>
      </c>
      <c r="G1578" s="70" t="s">
        <v>2784</v>
      </c>
      <c r="H1578" s="69"/>
      <c r="I1578" s="92">
        <v>0.05</v>
      </c>
      <c r="J1578" s="93">
        <v>1000.0</v>
      </c>
      <c r="K1578" s="73" t="s">
        <v>2870</v>
      </c>
      <c r="L1578" s="73"/>
      <c r="M1578" s="73"/>
      <c r="N1578" s="74"/>
    </row>
    <row r="1579" ht="30.0" hidden="1" customHeight="1">
      <c r="A1579" s="68">
        <v>1595.0</v>
      </c>
      <c r="B1579" s="68"/>
      <c r="C1579" s="68"/>
      <c r="D1579" s="69" t="str">
        <f>CONCATENATE(PROPER('DASMA INFO'!$G1579),", ",PROPER('DASMA INFO'!$E1579)," ",PROPER('DASMA INFO'!$F1579),"."," (",UPPER('DASMA INFO'!$H1579),")")</f>
        <v>Resurreccion, Maricar B. ()</v>
      </c>
      <c r="E1579" s="70" t="s">
        <v>521</v>
      </c>
      <c r="F1579" s="70" t="s">
        <v>627</v>
      </c>
      <c r="G1579" s="70" t="s">
        <v>2494</v>
      </c>
      <c r="H1579" s="69"/>
      <c r="I1579" s="105">
        <v>0.12</v>
      </c>
      <c r="J1579" s="106">
        <v>1000.0</v>
      </c>
      <c r="K1579" s="73"/>
      <c r="L1579" s="73"/>
      <c r="M1579" s="73"/>
      <c r="N1579" s="74"/>
    </row>
    <row r="1580" ht="30.0" hidden="1" customHeight="1">
      <c r="A1580" s="68">
        <v>1596.0</v>
      </c>
      <c r="B1580" s="68"/>
      <c r="C1580" s="68"/>
      <c r="D1580" s="69" t="str">
        <f>CONCATENATE(PROPER('DASMA INFO'!$G1580),", ",PROPER('DASMA INFO'!$E1580)," ",PROPER('DASMA INFO'!$F1580),"."," (",UPPER('DASMA INFO'!$H1580),")")</f>
        <v>Toledo, Mary Grace C. ()</v>
      </c>
      <c r="E1580" s="70" t="s">
        <v>474</v>
      </c>
      <c r="F1580" s="70" t="s">
        <v>318</v>
      </c>
      <c r="G1580" s="70" t="s">
        <v>1300</v>
      </c>
      <c r="H1580" s="69"/>
      <c r="I1580" s="105">
        <v>0.12</v>
      </c>
      <c r="J1580" s="106">
        <v>1000.0</v>
      </c>
      <c r="K1580" s="73" t="s">
        <v>1131</v>
      </c>
      <c r="L1580" s="73"/>
      <c r="M1580" s="73"/>
      <c r="N1580" s="74"/>
    </row>
    <row r="1581" ht="30.0" hidden="1" customHeight="1">
      <c r="A1581" s="68">
        <v>1597.0</v>
      </c>
      <c r="B1581" s="68"/>
      <c r="C1581" s="68"/>
      <c r="D1581" s="69" t="str">
        <f>CONCATENATE(PROPER('DASMA INFO'!$G1581),", ",PROPER('DASMA INFO'!$E1581)," ",PROPER('DASMA INFO'!$F1581),"."," (",UPPER('DASMA INFO'!$H1581),")")</f>
        <v>Marcelo, Nestor D. ()</v>
      </c>
      <c r="E1581" s="70" t="s">
        <v>205</v>
      </c>
      <c r="F1581" s="70" t="s">
        <v>1078</v>
      </c>
      <c r="G1581" s="70" t="s">
        <v>1021</v>
      </c>
      <c r="H1581" s="69"/>
      <c r="I1581" s="105">
        <v>0.12</v>
      </c>
      <c r="J1581" s="106">
        <v>1000.0</v>
      </c>
      <c r="K1581" s="73" t="s">
        <v>2871</v>
      </c>
      <c r="L1581" s="73"/>
      <c r="M1581" s="73"/>
      <c r="N1581" s="74"/>
    </row>
    <row r="1582" ht="30.0" hidden="1" customHeight="1">
      <c r="A1582" s="68">
        <v>1598.0</v>
      </c>
      <c r="B1582" s="68"/>
      <c r="C1582" s="68"/>
      <c r="D1582" s="69" t="str">
        <f>CONCATENATE(PROPER('DASMA INFO'!$G1582),", ",PROPER('DASMA INFO'!$E1582)," ",PROPER('DASMA INFO'!$F1582),"."," (",UPPER('DASMA INFO'!$H1582),")")</f>
        <v>Ventura, Mark John M. ()</v>
      </c>
      <c r="E1582" s="70" t="s">
        <v>2872</v>
      </c>
      <c r="F1582" s="70" t="s">
        <v>587</v>
      </c>
      <c r="G1582" s="70" t="s">
        <v>1678</v>
      </c>
      <c r="H1582" s="69"/>
      <c r="I1582" s="105">
        <v>0.12</v>
      </c>
      <c r="J1582" s="106">
        <v>1000.0</v>
      </c>
      <c r="K1582" s="73" t="s">
        <v>1017</v>
      </c>
      <c r="L1582" s="73"/>
      <c r="M1582" s="73"/>
      <c r="N1582" s="74"/>
    </row>
    <row r="1583" ht="30.0" hidden="1" customHeight="1">
      <c r="A1583" s="68">
        <v>1599.0</v>
      </c>
      <c r="B1583" s="68"/>
      <c r="C1583" s="68"/>
      <c r="D1583" s="69" t="str">
        <f>CONCATENATE(PROPER('DASMA INFO'!$G1583),", ",PROPER('DASMA INFO'!$E1583)," ",PROPER('DASMA INFO'!$F1583),"."," (",UPPER('DASMA INFO'!$H1583),")")</f>
        <v>Banaag, Oscar M. ()</v>
      </c>
      <c r="E1583" s="70" t="s">
        <v>2873</v>
      </c>
      <c r="F1583" s="70" t="s">
        <v>587</v>
      </c>
      <c r="G1583" s="70" t="s">
        <v>2874</v>
      </c>
      <c r="H1583" s="69"/>
      <c r="I1583" s="105">
        <v>0.12</v>
      </c>
      <c r="J1583" s="106">
        <v>1000.0</v>
      </c>
      <c r="K1583" s="73" t="s">
        <v>2499</v>
      </c>
      <c r="L1583" s="73"/>
      <c r="M1583" s="73"/>
      <c r="N1583" s="74"/>
    </row>
    <row r="1584" ht="30.0" hidden="1" customHeight="1">
      <c r="A1584" s="68">
        <v>1600.0</v>
      </c>
      <c r="B1584" s="68"/>
      <c r="C1584" s="68"/>
      <c r="D1584" s="69" t="str">
        <f>CONCATENATE(PROPER('DASMA INFO'!$G1584),", ",PROPER('DASMA INFO'!$E1584)," ",PROPER('DASMA INFO'!$F1584),"."," (",UPPER('DASMA INFO'!$H1584),")")</f>
        <v>Rodriguez, Diana C. ()</v>
      </c>
      <c r="E1584" s="70" t="s">
        <v>467</v>
      </c>
      <c r="F1584" s="70" t="s">
        <v>318</v>
      </c>
      <c r="G1584" s="70" t="s">
        <v>2699</v>
      </c>
      <c r="H1584" s="69"/>
      <c r="I1584" s="92">
        <v>0.05</v>
      </c>
      <c r="J1584" s="93">
        <v>1000.0</v>
      </c>
      <c r="K1584" s="73" t="s">
        <v>2103</v>
      </c>
      <c r="L1584" s="73"/>
      <c r="M1584" s="73"/>
      <c r="N1584" s="74"/>
    </row>
    <row r="1585" ht="30.0" hidden="1" customHeight="1">
      <c r="A1585" s="68">
        <v>1601.0</v>
      </c>
      <c r="B1585" s="68"/>
      <c r="C1585" s="68"/>
      <c r="D1585" s="69" t="str">
        <f>CONCATENATE(PROPER('DASMA INFO'!$G1585),", ",PROPER('DASMA INFO'!$E1585)," ",PROPER('DASMA INFO'!$F1585),"."," (",UPPER('DASMA INFO'!$H1585),")")</f>
        <v>Luna, Eunice G. ()</v>
      </c>
      <c r="E1585" s="70" t="s">
        <v>113</v>
      </c>
      <c r="F1585" s="70" t="s">
        <v>1032</v>
      </c>
      <c r="G1585" s="70" t="s">
        <v>2875</v>
      </c>
      <c r="H1585" s="69"/>
      <c r="I1585" s="105">
        <v>0.12</v>
      </c>
      <c r="J1585" s="106">
        <v>1000.0</v>
      </c>
      <c r="K1585" s="73" t="s">
        <v>1017</v>
      </c>
      <c r="L1585" s="73"/>
      <c r="M1585" s="73"/>
      <c r="N1585" s="74"/>
    </row>
    <row r="1586" ht="30.0" hidden="1" customHeight="1">
      <c r="A1586" s="68">
        <v>1602.0</v>
      </c>
      <c r="B1586" s="68"/>
      <c r="C1586" s="68"/>
      <c r="D1586" s="69" t="str">
        <f>CONCATENATE(PROPER('DASMA INFO'!$G1586),", ",PROPER('DASMA INFO'!$E1586)," ",PROPER('DASMA INFO'!$F1586),"."," (",UPPER('DASMA INFO'!$H1586),")")</f>
        <v>Masweng, Jovith C. ()</v>
      </c>
      <c r="E1586" s="70" t="s">
        <v>2876</v>
      </c>
      <c r="F1586" s="70" t="s">
        <v>318</v>
      </c>
      <c r="G1586" s="70" t="s">
        <v>2877</v>
      </c>
      <c r="H1586" s="69"/>
      <c r="I1586" s="92">
        <v>0.05</v>
      </c>
      <c r="J1586" s="93">
        <v>1000.0</v>
      </c>
      <c r="K1586" s="73" t="s">
        <v>1144</v>
      </c>
      <c r="L1586" s="73"/>
      <c r="M1586" s="73"/>
      <c r="N1586" s="74"/>
    </row>
    <row r="1587" ht="30.0" hidden="1" customHeight="1">
      <c r="A1587" s="68">
        <v>1603.0</v>
      </c>
      <c r="B1587" s="68"/>
      <c r="C1587" s="68"/>
      <c r="D1587" s="69" t="str">
        <f>CONCATENATE(PROPER('DASMA INFO'!$G1587),", ",PROPER('DASMA INFO'!$E1587)," ",PROPER('DASMA INFO'!$F1587),"."," (",UPPER('DASMA INFO'!$H1587),")")</f>
        <v>Pasicolan, Rosalia B. ()</v>
      </c>
      <c r="E1587" s="70" t="s">
        <v>2878</v>
      </c>
      <c r="F1587" s="70" t="s">
        <v>627</v>
      </c>
      <c r="G1587" s="70" t="s">
        <v>2879</v>
      </c>
      <c r="H1587" s="69"/>
      <c r="I1587" s="105">
        <v>0.12</v>
      </c>
      <c r="J1587" s="106">
        <v>1000.0</v>
      </c>
      <c r="K1587" s="73" t="s">
        <v>1596</v>
      </c>
      <c r="L1587" s="73"/>
      <c r="M1587" s="73"/>
      <c r="N1587" s="74"/>
    </row>
    <row r="1588" ht="30.0" hidden="1" customHeight="1">
      <c r="A1588" s="68">
        <v>1604.0</v>
      </c>
      <c r="B1588" s="68"/>
      <c r="C1588" s="68"/>
      <c r="D1588" s="69" t="str">
        <f>CONCATENATE(PROPER('DASMA INFO'!$G1588),", ",PROPER('DASMA INFO'!$E1588)," ",PROPER('DASMA INFO'!$F1588),"."," (",UPPER('DASMA INFO'!$H1588),")")</f>
        <v>Balonso, Jeannelyn R. ()</v>
      </c>
      <c r="E1588" s="70" t="s">
        <v>2880</v>
      </c>
      <c r="F1588" s="70" t="s">
        <v>260</v>
      </c>
      <c r="G1588" s="70" t="s">
        <v>2881</v>
      </c>
      <c r="H1588" s="69"/>
      <c r="I1588" s="92">
        <v>0.05</v>
      </c>
      <c r="J1588" s="93">
        <v>1000.0</v>
      </c>
      <c r="K1588" s="73" t="s">
        <v>2882</v>
      </c>
      <c r="L1588" s="73"/>
      <c r="M1588" s="73"/>
      <c r="N1588" s="74"/>
    </row>
    <row r="1589" ht="30.0" hidden="1" customHeight="1">
      <c r="A1589" s="68">
        <v>1605.0</v>
      </c>
      <c r="B1589" s="68"/>
      <c r="C1589" s="68"/>
      <c r="D1589" s="69" t="str">
        <f>CONCATENATE(PROPER('DASMA INFO'!$G1589),", ",PROPER('DASMA INFO'!$E1589)," ",PROPER('DASMA INFO'!$F1589),"."," (",UPPER('DASMA INFO'!$H1589),")")</f>
        <v>Guardino, Raquel C. ()</v>
      </c>
      <c r="E1589" s="70" t="s">
        <v>191</v>
      </c>
      <c r="F1589" s="70" t="s">
        <v>318</v>
      </c>
      <c r="G1589" s="70" t="s">
        <v>2883</v>
      </c>
      <c r="H1589" s="69"/>
      <c r="I1589" s="105">
        <v>0.12</v>
      </c>
      <c r="J1589" s="106">
        <v>1000.0</v>
      </c>
      <c r="K1589" s="73" t="s">
        <v>963</v>
      </c>
      <c r="L1589" s="73"/>
      <c r="M1589" s="73"/>
      <c r="N1589" s="74"/>
    </row>
    <row r="1590" ht="30.0" hidden="1" customHeight="1">
      <c r="A1590" s="68">
        <v>1606.0</v>
      </c>
      <c r="B1590" s="68"/>
      <c r="C1590" s="68"/>
      <c r="D1590" s="69" t="str">
        <f>CONCATENATE(PROPER('DASMA INFO'!$G1590),", ",PROPER('DASMA INFO'!$E1590)," ",PROPER('DASMA INFO'!$F1590),"."," (",UPPER('DASMA INFO'!$H1590),")")</f>
        <v>Pangilinan, Michael C. ()</v>
      </c>
      <c r="E1590" s="70" t="s">
        <v>38</v>
      </c>
      <c r="F1590" s="70" t="s">
        <v>318</v>
      </c>
      <c r="G1590" s="70" t="s">
        <v>2884</v>
      </c>
      <c r="H1590" s="69"/>
      <c r="I1590" s="105">
        <v>0.12</v>
      </c>
      <c r="J1590" s="106">
        <v>1000.0</v>
      </c>
      <c r="K1590" s="73" t="s">
        <v>968</v>
      </c>
      <c r="L1590" s="73"/>
      <c r="M1590" s="73"/>
      <c r="N1590" s="74"/>
    </row>
    <row r="1591" ht="30.0" hidden="1" customHeight="1">
      <c r="A1591" s="68">
        <v>1607.0</v>
      </c>
      <c r="B1591" s="68"/>
      <c r="C1591" s="68"/>
      <c r="D1591" s="69" t="str">
        <f>CONCATENATE(PROPER('DASMA INFO'!$G1591),", ",PROPER('DASMA INFO'!$E1591)," ",PROPER('DASMA INFO'!$F1591),"."," (",UPPER('DASMA INFO'!$H1591),")")</f>
        <v>Ong, Nelly T. ()</v>
      </c>
      <c r="E1591" s="70" t="s">
        <v>2885</v>
      </c>
      <c r="F1591" s="70" t="s">
        <v>752</v>
      </c>
      <c r="G1591" s="70" t="s">
        <v>192</v>
      </c>
      <c r="H1591" s="69"/>
      <c r="I1591" s="92">
        <v>0.05</v>
      </c>
      <c r="J1591" s="93">
        <v>1000.0</v>
      </c>
      <c r="K1591" s="73" t="s">
        <v>2886</v>
      </c>
      <c r="L1591" s="73"/>
      <c r="M1591" s="73"/>
      <c r="N1591" s="74"/>
    </row>
    <row r="1592" ht="30.0" hidden="1" customHeight="1">
      <c r="A1592" s="68">
        <v>1608.0</v>
      </c>
      <c r="B1592" s="68"/>
      <c r="C1592" s="68"/>
      <c r="D1592" s="69" t="str">
        <f>CONCATENATE(PROPER('DASMA INFO'!$G1592),", ",PROPER('DASMA INFO'!$E1592)," ",PROPER('DASMA INFO'!$F1592),"."," (",UPPER('DASMA INFO'!$H1592),")")</f>
        <v>Fernando, Haizel Claris N. ()</v>
      </c>
      <c r="E1592" s="70" t="s">
        <v>2887</v>
      </c>
      <c r="F1592" s="70" t="s">
        <v>1154</v>
      </c>
      <c r="G1592" s="70" t="s">
        <v>414</v>
      </c>
      <c r="H1592" s="69"/>
      <c r="I1592" s="105">
        <v>0.12</v>
      </c>
      <c r="J1592" s="106">
        <v>1000.0</v>
      </c>
      <c r="K1592" s="73" t="s">
        <v>2888</v>
      </c>
      <c r="L1592" s="73"/>
      <c r="M1592" s="73"/>
      <c r="N1592" s="74"/>
    </row>
    <row r="1593" ht="30.0" hidden="1" customHeight="1">
      <c r="A1593" s="68">
        <v>1609.0</v>
      </c>
      <c r="B1593" s="68"/>
      <c r="C1593" s="68"/>
      <c r="D1593" s="69" t="str">
        <f>CONCATENATE(PROPER('DASMA INFO'!$G1593),", ",PROPER('DASMA INFO'!$E1593)," ",PROPER('DASMA INFO'!$F1593),"."," (",UPPER('DASMA INFO'!$H1593),")")</f>
        <v>Miaral, Veronica J. ()</v>
      </c>
      <c r="E1593" s="70" t="s">
        <v>1181</v>
      </c>
      <c r="F1593" s="70" t="s">
        <v>613</v>
      </c>
      <c r="G1593" s="70" t="s">
        <v>2889</v>
      </c>
      <c r="H1593" s="69"/>
      <c r="I1593" s="105">
        <v>0.12</v>
      </c>
      <c r="J1593" s="106">
        <v>1000.0</v>
      </c>
      <c r="K1593" s="73" t="s">
        <v>2672</v>
      </c>
      <c r="L1593" s="73"/>
      <c r="M1593" s="73"/>
      <c r="N1593" s="74"/>
    </row>
    <row r="1594" ht="30.0" hidden="1" customHeight="1">
      <c r="A1594" s="68">
        <v>1610.0</v>
      </c>
      <c r="B1594" s="68"/>
      <c r="C1594" s="68"/>
      <c r="D1594" s="69" t="str">
        <f>CONCATENATE(PROPER('DASMA INFO'!$G1594),", ",PROPER('DASMA INFO'!$E1594)," ",PROPER('DASMA INFO'!$F1594),"."," (",UPPER('DASMA INFO'!$H1594),")")</f>
        <v>De Jesus, Jayviecar R. ()</v>
      </c>
      <c r="E1594" s="70" t="s">
        <v>2890</v>
      </c>
      <c r="F1594" s="70" t="s">
        <v>260</v>
      </c>
      <c r="G1594" s="70" t="s">
        <v>1556</v>
      </c>
      <c r="H1594" s="70"/>
      <c r="I1594" s="105">
        <v>0.12</v>
      </c>
      <c r="J1594" s="106">
        <v>1000.0</v>
      </c>
      <c r="K1594" s="73" t="s">
        <v>1187</v>
      </c>
      <c r="L1594" s="73"/>
      <c r="M1594" s="73"/>
      <c r="N1594" s="74"/>
    </row>
    <row r="1595" ht="30.0" hidden="1" customHeight="1">
      <c r="A1595" s="68">
        <v>1611.0</v>
      </c>
      <c r="B1595" s="68"/>
      <c r="C1595" s="68"/>
      <c r="D1595" s="69" t="str">
        <f>CONCATENATE(PROPER('DASMA INFO'!$G1595),", ",PROPER('DASMA INFO'!$E1595)," ",PROPER('DASMA INFO'!$F1595),"."," (",UPPER('DASMA INFO'!$H1595),")")</f>
        <v>Victorio, Artemio R. ()</v>
      </c>
      <c r="E1595" s="70" t="s">
        <v>2891</v>
      </c>
      <c r="F1595" s="70" t="s">
        <v>260</v>
      </c>
      <c r="G1595" s="70" t="s">
        <v>2892</v>
      </c>
      <c r="H1595" s="69"/>
      <c r="I1595" s="105">
        <v>0.12</v>
      </c>
      <c r="J1595" s="106">
        <v>1000.0</v>
      </c>
      <c r="K1595" s="73" t="s">
        <v>1144</v>
      </c>
      <c r="L1595" s="73"/>
      <c r="M1595" s="73"/>
      <c r="N1595" s="74"/>
    </row>
    <row r="1596" ht="30.0" hidden="1" customHeight="1">
      <c r="A1596" s="68">
        <v>1612.0</v>
      </c>
      <c r="B1596" s="68"/>
      <c r="C1596" s="68"/>
      <c r="D1596" s="69" t="str">
        <f>CONCATENATE(PROPER('DASMA INFO'!$G1596),", ",PROPER('DASMA INFO'!$E1596)," ",PROPER('DASMA INFO'!$F1596),"."," (",UPPER('DASMA INFO'!$H1596),")")</f>
        <v>Manalo, Eugene S. ()</v>
      </c>
      <c r="E1596" s="70" t="s">
        <v>1843</v>
      </c>
      <c r="F1596" s="70" t="s">
        <v>342</v>
      </c>
      <c r="G1596" s="70" t="s">
        <v>1544</v>
      </c>
      <c r="H1596" s="69"/>
      <c r="I1596" s="105">
        <v>0.12</v>
      </c>
      <c r="J1596" s="106">
        <v>1000.0</v>
      </c>
      <c r="K1596" s="73" t="s">
        <v>968</v>
      </c>
      <c r="L1596" s="73"/>
      <c r="M1596" s="73"/>
      <c r="N1596" s="74"/>
    </row>
    <row r="1597" ht="30.0" hidden="1" customHeight="1">
      <c r="A1597" s="68">
        <v>1613.0</v>
      </c>
      <c r="B1597" s="68"/>
      <c r="C1597" s="68"/>
      <c r="D1597" s="69" t="str">
        <f>CONCATENATE(PROPER('DASMA INFO'!$G1597),", ",PROPER('DASMA INFO'!$E1597)," ",PROPER('DASMA INFO'!$F1597),"."," (",UPPER('DASMA INFO'!$H1597),")")</f>
        <v>Arboleda, Allan L. ()</v>
      </c>
      <c r="E1597" s="70" t="s">
        <v>2424</v>
      </c>
      <c r="F1597" s="70" t="s">
        <v>648</v>
      </c>
      <c r="G1597" s="70" t="s">
        <v>2425</v>
      </c>
      <c r="H1597" s="69"/>
      <c r="I1597" s="105">
        <v>0.12</v>
      </c>
      <c r="J1597" s="106">
        <v>1000.0</v>
      </c>
      <c r="K1597" s="73" t="s">
        <v>2893</v>
      </c>
      <c r="L1597" s="73"/>
      <c r="M1597" s="73"/>
      <c r="N1597" s="74"/>
    </row>
    <row r="1598" ht="30.0" hidden="1" customHeight="1">
      <c r="A1598" s="68">
        <v>1614.0</v>
      </c>
      <c r="B1598" s="68"/>
      <c r="C1598" s="68"/>
      <c r="D1598" s="69" t="str">
        <f>CONCATENATE(PROPER('DASMA INFO'!$G1598),", ",PROPER('DASMA INFO'!$E1598)," ",PROPER('DASMA INFO'!$F1598),"."," (",UPPER('DASMA INFO'!$H1598),")")</f>
        <v>Paruli, George N. ()</v>
      </c>
      <c r="E1598" s="70" t="s">
        <v>155</v>
      </c>
      <c r="F1598" s="70" t="s">
        <v>1154</v>
      </c>
      <c r="G1598" s="70" t="s">
        <v>2894</v>
      </c>
      <c r="H1598" s="69"/>
      <c r="I1598" s="105">
        <v>0.12</v>
      </c>
      <c r="J1598" s="106">
        <v>1000.0</v>
      </c>
      <c r="K1598" s="73" t="s">
        <v>2895</v>
      </c>
      <c r="L1598" s="73"/>
      <c r="M1598" s="73"/>
      <c r="N1598" s="74"/>
    </row>
    <row r="1599" ht="30.0" hidden="1" customHeight="1">
      <c r="A1599" s="68">
        <v>1615.0</v>
      </c>
      <c r="B1599" s="68"/>
      <c r="C1599" s="68"/>
      <c r="D1599" s="69" t="str">
        <f>CONCATENATE(PROPER('DASMA INFO'!$G1599),", ",PROPER('DASMA INFO'!$E1599)," ",PROPER('DASMA INFO'!$F1599),"."," (",UPPER('DASMA INFO'!$H1599),")")</f>
        <v>Delos Reyes, Sherwin S. ()</v>
      </c>
      <c r="E1599" s="70" t="s">
        <v>1299</v>
      </c>
      <c r="F1599" s="70" t="s">
        <v>342</v>
      </c>
      <c r="G1599" s="70" t="s">
        <v>727</v>
      </c>
      <c r="H1599" s="70"/>
      <c r="I1599" s="92">
        <v>0.05</v>
      </c>
      <c r="J1599" s="93">
        <v>1000.0</v>
      </c>
      <c r="K1599" s="73" t="s">
        <v>968</v>
      </c>
      <c r="L1599" s="73"/>
      <c r="M1599" s="73"/>
      <c r="N1599" s="74"/>
    </row>
    <row r="1600" ht="30.0" hidden="1" customHeight="1">
      <c r="A1600" s="68">
        <v>1616.0</v>
      </c>
      <c r="B1600" s="68"/>
      <c r="C1600" s="68"/>
      <c r="D1600" s="69" t="str">
        <f>CONCATENATE(PROPER('DASMA INFO'!$G1600),", ",PROPER('DASMA INFO'!$E1600)," ",PROPER('DASMA INFO'!$F1600),"."," (",UPPER('DASMA INFO'!$H1600),")")</f>
        <v>Lu, Wen . ()</v>
      </c>
      <c r="E1600" s="70" t="s">
        <v>2896</v>
      </c>
      <c r="F1600" s="69"/>
      <c r="G1600" s="70" t="s">
        <v>2897</v>
      </c>
      <c r="H1600" s="69"/>
      <c r="I1600" s="105">
        <v>0.12</v>
      </c>
      <c r="J1600" s="106">
        <v>1000.0</v>
      </c>
      <c r="K1600" s="73" t="s">
        <v>1017</v>
      </c>
      <c r="L1600" s="73"/>
      <c r="M1600" s="73"/>
      <c r="N1600" s="74"/>
    </row>
    <row r="1601" ht="30.0" hidden="1" customHeight="1">
      <c r="A1601" s="68">
        <v>1617.0</v>
      </c>
      <c r="B1601" s="68"/>
      <c r="C1601" s="68"/>
      <c r="D1601" s="69" t="str">
        <f>CONCATENATE(PROPER('DASMA INFO'!$G1601),", ",PROPER('DASMA INFO'!$E1601)," ",PROPER('DASMA INFO'!$F1601),"."," (",UPPER('DASMA INFO'!$H1601),")")</f>
        <v>Gualberto, Roscel D. ()</v>
      </c>
      <c r="E1601" s="70" t="s">
        <v>2898</v>
      </c>
      <c r="F1601" s="70" t="s">
        <v>1078</v>
      </c>
      <c r="G1601" s="70" t="s">
        <v>2899</v>
      </c>
      <c r="H1601" s="69"/>
      <c r="I1601" s="105">
        <v>0.12</v>
      </c>
      <c r="J1601" s="106">
        <v>1000.0</v>
      </c>
      <c r="K1601" s="73" t="s">
        <v>2672</v>
      </c>
      <c r="L1601" s="73"/>
      <c r="M1601" s="73"/>
      <c r="N1601" s="74"/>
    </row>
    <row r="1602" ht="30.0" hidden="1" customHeight="1">
      <c r="A1602" s="68">
        <v>1618.0</v>
      </c>
      <c r="B1602" s="68"/>
      <c r="C1602" s="68"/>
      <c r="D1602" s="69" t="str">
        <f>CONCATENATE(PROPER('DASMA INFO'!$G1602),", ",PROPER('DASMA INFO'!$E1602)," ",PROPER('DASMA INFO'!$F1602),"."," (",UPPER('DASMA INFO'!$H1602),")")</f>
        <v>Garcia, Aguido A. ()</v>
      </c>
      <c r="E1602" s="70" t="s">
        <v>2900</v>
      </c>
      <c r="F1602" s="70" t="s">
        <v>427</v>
      </c>
      <c r="G1602" s="70" t="s">
        <v>496</v>
      </c>
      <c r="H1602" s="69"/>
      <c r="I1602" s="105">
        <v>0.12</v>
      </c>
      <c r="J1602" s="106">
        <v>1000.0</v>
      </c>
      <c r="K1602" s="73" t="s">
        <v>1555</v>
      </c>
      <c r="L1602" s="73"/>
      <c r="M1602" s="73"/>
      <c r="N1602" s="74"/>
    </row>
    <row r="1603" ht="30.0" hidden="1" customHeight="1">
      <c r="A1603" s="68">
        <v>1619.0</v>
      </c>
      <c r="B1603" s="68"/>
      <c r="C1603" s="68"/>
      <c r="D1603" s="69" t="str">
        <f>CONCATENATE(PROPER('DASMA INFO'!$G1603),", ",PROPER('DASMA INFO'!$E1603)," ",PROPER('DASMA INFO'!$F1603),"."," (",UPPER('DASMA INFO'!$H1603),")")</f>
        <v>Dizon, Aaron G. ()</v>
      </c>
      <c r="E1603" s="70" t="s">
        <v>2901</v>
      </c>
      <c r="F1603" s="70" t="s">
        <v>1032</v>
      </c>
      <c r="G1603" s="70" t="s">
        <v>416</v>
      </c>
      <c r="H1603" s="69"/>
      <c r="I1603" s="105">
        <v>0.12</v>
      </c>
      <c r="J1603" s="106">
        <v>1000.0</v>
      </c>
      <c r="K1603" s="73" t="s">
        <v>1231</v>
      </c>
      <c r="L1603" s="73"/>
      <c r="M1603" s="73"/>
      <c r="N1603" s="74"/>
    </row>
    <row r="1604" ht="30.0" hidden="1" customHeight="1">
      <c r="A1604" s="68">
        <v>1620.0</v>
      </c>
      <c r="B1604" s="68"/>
      <c r="C1604" s="68"/>
      <c r="D1604" s="69" t="str">
        <f>CONCATENATE(PROPER('DASMA INFO'!$G1604),", ",PROPER('DASMA INFO'!$E1604)," ",PROPER('DASMA INFO'!$F1604),"."," (",UPPER('DASMA INFO'!$H1604),")")</f>
        <v>Caneja, Jonasai D. ()</v>
      </c>
      <c r="E1604" s="70" t="s">
        <v>2902</v>
      </c>
      <c r="F1604" s="70" t="s">
        <v>1078</v>
      </c>
      <c r="G1604" s="70" t="s">
        <v>2903</v>
      </c>
      <c r="H1604" s="69"/>
      <c r="I1604" s="105">
        <v>0.12</v>
      </c>
      <c r="J1604" s="106">
        <v>1000.0</v>
      </c>
      <c r="K1604" s="73" t="s">
        <v>968</v>
      </c>
      <c r="L1604" s="73"/>
      <c r="M1604" s="73"/>
      <c r="N1604" s="74"/>
    </row>
    <row r="1605" ht="30.0" hidden="1" customHeight="1">
      <c r="A1605" s="68">
        <v>1621.0</v>
      </c>
      <c r="B1605" s="68"/>
      <c r="C1605" s="68"/>
      <c r="D1605" s="69" t="str">
        <f>CONCATENATE(PROPER('DASMA INFO'!$G1605),", ",PROPER('DASMA INFO'!$E1605)," ",PROPER('DASMA INFO'!$F1605),"."," (",UPPER('DASMA INFO'!$H1605),")")</f>
        <v>Manipon, Samuel G. ()</v>
      </c>
      <c r="E1605" s="70" t="s">
        <v>2904</v>
      </c>
      <c r="F1605" s="70" t="s">
        <v>1032</v>
      </c>
      <c r="G1605" s="70" t="s">
        <v>2905</v>
      </c>
      <c r="H1605" s="69"/>
      <c r="I1605" s="105">
        <v>0.12</v>
      </c>
      <c r="J1605" s="106">
        <v>1000.0</v>
      </c>
      <c r="K1605" s="73" t="s">
        <v>968</v>
      </c>
      <c r="L1605" s="73"/>
      <c r="M1605" s="73"/>
      <c r="N1605" s="74"/>
    </row>
    <row r="1606" ht="30.0" hidden="1" customHeight="1">
      <c r="A1606" s="68">
        <v>1622.0</v>
      </c>
      <c r="B1606" s="68"/>
      <c r="C1606" s="68"/>
      <c r="D1606" s="69" t="str">
        <f>CONCATENATE(PROPER('DASMA INFO'!$G1606),", ",PROPER('DASMA INFO'!$E1606)," ",PROPER('DASMA INFO'!$F1606),"."," (",UPPER('DASMA INFO'!$H1606),")")</f>
        <v>Enrile, Marissa A. ()</v>
      </c>
      <c r="E1606" s="70" t="s">
        <v>227</v>
      </c>
      <c r="F1606" s="70" t="s">
        <v>427</v>
      </c>
      <c r="G1606" s="70" t="s">
        <v>2906</v>
      </c>
      <c r="H1606" s="69"/>
      <c r="I1606" s="105">
        <v>0.12</v>
      </c>
      <c r="J1606" s="106">
        <v>1000.0</v>
      </c>
      <c r="K1606" s="73" t="s">
        <v>1325</v>
      </c>
      <c r="L1606" s="73"/>
      <c r="M1606" s="73"/>
      <c r="N1606" s="74"/>
    </row>
    <row r="1607" ht="30.0" hidden="1" customHeight="1">
      <c r="A1607" s="68">
        <v>1623.0</v>
      </c>
      <c r="B1607" s="68"/>
      <c r="C1607" s="68"/>
      <c r="D1607" s="69" t="str">
        <f>CONCATENATE(PROPER('DASMA INFO'!$G1607),", ",PROPER('DASMA INFO'!$E1607)," ",PROPER('DASMA INFO'!$F1607),"."," (",UPPER('DASMA INFO'!$H1607),")")</f>
        <v>Apostol, Pablo C. ()</v>
      </c>
      <c r="E1607" s="70" t="s">
        <v>392</v>
      </c>
      <c r="F1607" s="70" t="s">
        <v>318</v>
      </c>
      <c r="G1607" s="70" t="s">
        <v>2907</v>
      </c>
      <c r="H1607" s="69"/>
      <c r="I1607" s="105">
        <v>0.12</v>
      </c>
      <c r="J1607" s="106">
        <v>1000.0</v>
      </c>
      <c r="K1607" s="73" t="s">
        <v>968</v>
      </c>
      <c r="L1607" s="73"/>
      <c r="M1607" s="73"/>
      <c r="N1607" s="74"/>
    </row>
    <row r="1608" ht="30.0" hidden="1" customHeight="1">
      <c r="A1608" s="68">
        <v>1624.0</v>
      </c>
      <c r="B1608" s="68"/>
      <c r="C1608" s="68"/>
      <c r="D1608" s="69" t="str">
        <f>CONCATENATE(PROPER('DASMA INFO'!$G1608),", ",PROPER('DASMA INFO'!$E1608)," ",PROPER('DASMA INFO'!$F1608),"."," (",UPPER('DASMA INFO'!$H1608),")")</f>
        <v>Telebrico, Arthur L. ()</v>
      </c>
      <c r="E1608" s="70" t="s">
        <v>484</v>
      </c>
      <c r="F1608" s="70" t="s">
        <v>648</v>
      </c>
      <c r="G1608" s="70" t="s">
        <v>485</v>
      </c>
      <c r="H1608" s="69"/>
      <c r="I1608" s="105">
        <v>0.12</v>
      </c>
      <c r="J1608" s="106">
        <v>1000.0</v>
      </c>
      <c r="K1608" s="73" t="s">
        <v>968</v>
      </c>
      <c r="L1608" s="73"/>
      <c r="M1608" s="73"/>
      <c r="N1608" s="74"/>
    </row>
    <row r="1609" ht="30.0" hidden="1" customHeight="1">
      <c r="A1609" s="68">
        <v>1625.0</v>
      </c>
      <c r="B1609" s="68"/>
      <c r="C1609" s="68"/>
      <c r="D1609" s="69" t="str">
        <f>CONCATENATE(PROPER('DASMA INFO'!$G1609),", ",PROPER('DASMA INFO'!$E1609)," ",PROPER('DASMA INFO'!$F1609),"."," (",UPPER('DASMA INFO'!$H1609),")")</f>
        <v>Ballesteros, Sylvia Marilyn S. ()</v>
      </c>
      <c r="E1609" s="70" t="s">
        <v>2908</v>
      </c>
      <c r="F1609" s="70" t="s">
        <v>342</v>
      </c>
      <c r="G1609" s="70" t="s">
        <v>2909</v>
      </c>
      <c r="H1609" s="69"/>
      <c r="I1609" s="105">
        <v>0.12</v>
      </c>
      <c r="J1609" s="106">
        <v>1000.0</v>
      </c>
      <c r="K1609" s="73" t="s">
        <v>1131</v>
      </c>
      <c r="L1609" s="73"/>
      <c r="M1609" s="73"/>
      <c r="N1609" s="74"/>
    </row>
    <row r="1610" ht="30.0" hidden="1" customHeight="1">
      <c r="A1610" s="68">
        <v>1626.0</v>
      </c>
      <c r="B1610" s="68"/>
      <c r="C1610" s="68"/>
      <c r="D1610" s="69" t="str">
        <f>CONCATENATE(PROPER('DASMA INFO'!$G1610),", ",PROPER('DASMA INFO'!$E1610)," ",PROPER('DASMA INFO'!$F1610),"."," (",UPPER('DASMA INFO'!$H1610),")")</f>
        <v>Akhtar, Syed I. ()</v>
      </c>
      <c r="E1610" s="70" t="s">
        <v>2910</v>
      </c>
      <c r="F1610" s="70" t="s">
        <v>767</v>
      </c>
      <c r="G1610" s="70" t="s">
        <v>2911</v>
      </c>
      <c r="H1610" s="69"/>
      <c r="I1610" s="105">
        <v>0.12</v>
      </c>
      <c r="J1610" s="106">
        <v>1000.0</v>
      </c>
      <c r="K1610" s="73" t="s">
        <v>968</v>
      </c>
      <c r="L1610" s="73"/>
      <c r="M1610" s="73"/>
      <c r="N1610" s="74"/>
    </row>
    <row r="1611" ht="30.0" hidden="1" customHeight="1">
      <c r="A1611" s="68">
        <v>1627.0</v>
      </c>
      <c r="B1611" s="68"/>
      <c r="C1611" s="68"/>
      <c r="D1611" s="69" t="str">
        <f>CONCATENATE(PROPER('DASMA INFO'!$G1611),", ",PROPER('DASMA INFO'!$E1611)," ",PROPER('DASMA INFO'!$F1611),"."," (",UPPER('DASMA INFO'!$H1611),")")</f>
        <v>O'Connor, Josielyn M. ()</v>
      </c>
      <c r="E1611" s="70" t="s">
        <v>1935</v>
      </c>
      <c r="F1611" s="70" t="s">
        <v>587</v>
      </c>
      <c r="G1611" s="70" t="s">
        <v>2912</v>
      </c>
      <c r="H1611" s="69"/>
      <c r="I1611" s="105">
        <v>0.12</v>
      </c>
      <c r="J1611" s="106">
        <v>1000.0</v>
      </c>
      <c r="K1611" s="73" t="s">
        <v>1003</v>
      </c>
      <c r="L1611" s="73"/>
      <c r="M1611" s="73"/>
      <c r="N1611" s="74"/>
    </row>
    <row r="1612" ht="30.0" hidden="1" customHeight="1">
      <c r="A1612" s="68">
        <v>1628.0</v>
      </c>
      <c r="B1612" s="68"/>
      <c r="C1612" s="68"/>
      <c r="D1612" s="69" t="str">
        <f>CONCATENATE(PROPER('DASMA INFO'!$G1612),", ",PROPER('DASMA INFO'!$E1612)," ",PROPER('DASMA INFO'!$F1612),"."," (",UPPER('DASMA INFO'!$H1612),")")</f>
        <v>Belen, Antonio C. (JR)</v>
      </c>
      <c r="E1612" s="70" t="s">
        <v>76</v>
      </c>
      <c r="F1612" s="70" t="s">
        <v>318</v>
      </c>
      <c r="G1612" s="70" t="s">
        <v>2560</v>
      </c>
      <c r="H1612" s="70" t="s">
        <v>629</v>
      </c>
      <c r="I1612" s="105">
        <v>0.12</v>
      </c>
      <c r="J1612" s="106">
        <v>1000.0</v>
      </c>
      <c r="K1612" s="73" t="s">
        <v>968</v>
      </c>
      <c r="L1612" s="73"/>
      <c r="M1612" s="73"/>
      <c r="N1612" s="74"/>
    </row>
    <row r="1613" ht="30.0" hidden="1" customHeight="1">
      <c r="A1613" s="68">
        <v>1629.0</v>
      </c>
      <c r="B1613" s="68"/>
      <c r="C1613" s="68"/>
      <c r="D1613" s="69" t="str">
        <f>CONCATENATE(PROPER('DASMA INFO'!$G1613),", ",PROPER('DASMA INFO'!$E1613)," ",PROPER('DASMA INFO'!$F1613),"."," (",UPPER('DASMA INFO'!$H1613),")")</f>
        <v>Baeckmann, Gina C. ()</v>
      </c>
      <c r="E1613" s="70" t="s">
        <v>1103</v>
      </c>
      <c r="F1613" s="70" t="s">
        <v>318</v>
      </c>
      <c r="G1613" s="70" t="s">
        <v>2913</v>
      </c>
      <c r="H1613" s="69"/>
      <c r="I1613" s="92">
        <v>0.05</v>
      </c>
      <c r="J1613" s="93">
        <v>1000.0</v>
      </c>
      <c r="K1613" s="73" t="s">
        <v>2103</v>
      </c>
      <c r="L1613" s="73"/>
      <c r="M1613" s="73"/>
      <c r="N1613" s="74"/>
    </row>
    <row r="1614" ht="30.0" hidden="1" customHeight="1">
      <c r="A1614" s="68">
        <v>1630.0</v>
      </c>
      <c r="B1614" s="68"/>
      <c r="C1614" s="68"/>
      <c r="D1614" s="69" t="str">
        <f>CONCATENATE(PROPER('DASMA INFO'!$G1614),", ",PROPER('DASMA INFO'!$E1614)," ",PROPER('DASMA INFO'!$F1614),"."," (",UPPER('DASMA INFO'!$H1614),")")</f>
        <v>Rivera, Errikah S. ()</v>
      </c>
      <c r="E1614" s="70" t="s">
        <v>2914</v>
      </c>
      <c r="F1614" s="70" t="s">
        <v>342</v>
      </c>
      <c r="G1614" s="70" t="s">
        <v>494</v>
      </c>
      <c r="H1614" s="69"/>
      <c r="I1614" s="105">
        <v>0.12</v>
      </c>
      <c r="J1614" s="106">
        <v>1000.0</v>
      </c>
      <c r="K1614" s="73" t="s">
        <v>2915</v>
      </c>
      <c r="L1614" s="73"/>
      <c r="M1614" s="73"/>
      <c r="N1614" s="74"/>
    </row>
    <row r="1615" ht="30.0" hidden="1" customHeight="1">
      <c r="A1615" s="68">
        <v>1631.0</v>
      </c>
      <c r="B1615" s="68"/>
      <c r="C1615" s="68"/>
      <c r="D1615" s="69" t="str">
        <f>CONCATENATE(PROPER('DASMA INFO'!$G1615),", ",PROPER('DASMA INFO'!$E1615)," ",PROPER('DASMA INFO'!$F1615),"."," (",UPPER('DASMA INFO'!$H1615),")")</f>
        <v>Cruz, Hiyasmin Y. ()</v>
      </c>
      <c r="E1615" s="70" t="s">
        <v>2916</v>
      </c>
      <c r="F1615" s="70" t="s">
        <v>2859</v>
      </c>
      <c r="G1615" s="70" t="s">
        <v>676</v>
      </c>
      <c r="H1615" s="69"/>
      <c r="I1615" s="105">
        <v>0.12</v>
      </c>
      <c r="J1615" s="106">
        <v>1000.0</v>
      </c>
      <c r="K1615" s="73" t="s">
        <v>1231</v>
      </c>
      <c r="L1615" s="73"/>
      <c r="M1615" s="73"/>
      <c r="N1615" s="74"/>
    </row>
    <row r="1616" ht="30.0" hidden="1" customHeight="1">
      <c r="A1616" s="68">
        <v>1632.0</v>
      </c>
      <c r="B1616" s="68"/>
      <c r="C1616" s="68"/>
      <c r="D1616" s="69" t="str">
        <f>CONCATENATE(PROPER('DASMA INFO'!$G1616),", ",PROPER('DASMA INFO'!$E1616)," ",PROPER('DASMA INFO'!$F1616),"."," (",UPPER('DASMA INFO'!$H1616),")")</f>
        <v>Onate, Rosanie C. ()</v>
      </c>
      <c r="E1616" s="70" t="s">
        <v>2917</v>
      </c>
      <c r="F1616" s="70" t="s">
        <v>318</v>
      </c>
      <c r="G1616" s="70" t="s">
        <v>2918</v>
      </c>
      <c r="H1616" s="69"/>
      <c r="I1616" s="105">
        <v>0.12</v>
      </c>
      <c r="J1616" s="106">
        <v>1000.0</v>
      </c>
      <c r="K1616" s="73" t="s">
        <v>1053</v>
      </c>
      <c r="L1616" s="73"/>
      <c r="M1616" s="73"/>
      <c r="N1616" s="74"/>
    </row>
    <row r="1617" ht="30.0" hidden="1" customHeight="1">
      <c r="A1617" s="68">
        <v>1633.0</v>
      </c>
      <c r="B1617" s="68"/>
      <c r="C1617" s="68"/>
      <c r="D1617" s="69" t="str">
        <f>CONCATENATE(PROPER('DASMA INFO'!$G1617),", ",PROPER('DASMA INFO'!$E1617)," ",PROPER('DASMA INFO'!$F1617),"."," (",UPPER('DASMA INFO'!$H1617),")")</f>
        <v>Corpuz, Raquel C. ()</v>
      </c>
      <c r="E1617" s="70" t="s">
        <v>191</v>
      </c>
      <c r="F1617" s="70" t="s">
        <v>318</v>
      </c>
      <c r="G1617" s="70" t="s">
        <v>1362</v>
      </c>
      <c r="H1617" s="69"/>
      <c r="I1617" s="105">
        <v>0.12</v>
      </c>
      <c r="J1617" s="106">
        <v>1000.0</v>
      </c>
      <c r="K1617" s="73" t="s">
        <v>1144</v>
      </c>
      <c r="L1617" s="73"/>
      <c r="M1617" s="73"/>
      <c r="N1617" s="74"/>
    </row>
    <row r="1618" ht="30.0" hidden="1" customHeight="1">
      <c r="A1618" s="68">
        <v>1634.0</v>
      </c>
      <c r="B1618" s="68"/>
      <c r="C1618" s="68"/>
      <c r="D1618" s="69" t="str">
        <f>CONCATENATE(PROPER('DASMA INFO'!$G1618),", ",PROPER('DASMA INFO'!$E1618)," ",PROPER('DASMA INFO'!$F1618),"."," (",UPPER('DASMA INFO'!$H1618),")")</f>
        <v>Cocadiz, Veronica Z. ()</v>
      </c>
      <c r="E1618" s="70" t="s">
        <v>1181</v>
      </c>
      <c r="F1618" s="70" t="s">
        <v>2673</v>
      </c>
      <c r="G1618" s="70" t="s">
        <v>2919</v>
      </c>
      <c r="H1618" s="69"/>
      <c r="I1618" s="105">
        <v>0.12</v>
      </c>
      <c r="J1618" s="106">
        <v>1000.0</v>
      </c>
      <c r="K1618" s="73" t="s">
        <v>1053</v>
      </c>
      <c r="L1618" s="73"/>
      <c r="M1618" s="73"/>
      <c r="N1618" s="74"/>
    </row>
    <row r="1619" ht="30.0" hidden="1" customHeight="1">
      <c r="A1619" s="68">
        <v>1635.0</v>
      </c>
      <c r="B1619" s="68"/>
      <c r="C1619" s="68"/>
      <c r="D1619" s="69" t="str">
        <f>CONCATENATE(PROPER('DASMA INFO'!$G1619),", ",PROPER('DASMA INFO'!$E1619)," ",PROPER('DASMA INFO'!$F1619),"."," (",UPPER('DASMA INFO'!$H1619),")")</f>
        <v>Loyola, Teresa A. ()</v>
      </c>
      <c r="E1619" s="70" t="s">
        <v>1428</v>
      </c>
      <c r="F1619" s="70" t="s">
        <v>427</v>
      </c>
      <c r="G1619" s="70" t="s">
        <v>2062</v>
      </c>
      <c r="H1619" s="69"/>
      <c r="I1619" s="105">
        <v>0.12</v>
      </c>
      <c r="J1619" s="106">
        <v>1000.0</v>
      </c>
      <c r="K1619" s="73" t="s">
        <v>1325</v>
      </c>
      <c r="L1619" s="73"/>
      <c r="M1619" s="73"/>
      <c r="N1619" s="74"/>
    </row>
    <row r="1620" ht="30.0" hidden="1" customHeight="1">
      <c r="A1620" s="68">
        <v>1636.0</v>
      </c>
      <c r="B1620" s="68"/>
      <c r="C1620" s="68"/>
      <c r="D1620" s="69" t="str">
        <f>CONCATENATE(PROPER('DASMA INFO'!$G1620),", ",PROPER('DASMA INFO'!$E1620)," ",PROPER('DASMA INFO'!$F1620),"."," (",UPPER('DASMA INFO'!$H1620),")")</f>
        <v>Ladica, Gil P. ()</v>
      </c>
      <c r="E1620" s="70" t="s">
        <v>2920</v>
      </c>
      <c r="F1620" s="70" t="s">
        <v>513</v>
      </c>
      <c r="G1620" s="70" t="s">
        <v>2921</v>
      </c>
      <c r="H1620" s="69"/>
      <c r="I1620" s="92">
        <v>0.05</v>
      </c>
      <c r="J1620" s="93">
        <v>1000.0</v>
      </c>
      <c r="K1620" s="73" t="s">
        <v>968</v>
      </c>
      <c r="L1620" s="73"/>
      <c r="M1620" s="73"/>
      <c r="N1620" s="74"/>
    </row>
    <row r="1621" ht="30.0" hidden="1" customHeight="1">
      <c r="A1621" s="68">
        <v>1637.0</v>
      </c>
      <c r="B1621" s="68"/>
      <c r="C1621" s="68"/>
      <c r="D1621" s="69" t="str">
        <f>CONCATENATE(PROPER('DASMA INFO'!$G1621),", ",PROPER('DASMA INFO'!$E1621)," ",PROPER('DASMA INFO'!$F1621),"."," (",UPPER('DASMA INFO'!$H1621),")")</f>
        <v>Rivas, Linda M. ()</v>
      </c>
      <c r="E1621" s="70" t="s">
        <v>1011</v>
      </c>
      <c r="F1621" s="70" t="s">
        <v>587</v>
      </c>
      <c r="G1621" s="70" t="s">
        <v>2692</v>
      </c>
      <c r="H1621" s="69"/>
      <c r="I1621" s="92">
        <v>0.05</v>
      </c>
      <c r="J1621" s="93">
        <v>1000.0</v>
      </c>
      <c r="K1621" s="73" t="s">
        <v>2781</v>
      </c>
      <c r="L1621" s="73" t="s">
        <v>81</v>
      </c>
      <c r="M1621" s="73">
        <v>2020.0</v>
      </c>
      <c r="N1621" s="74"/>
    </row>
    <row r="1622" ht="30.0" hidden="1" customHeight="1">
      <c r="A1622" s="68">
        <v>1638.0</v>
      </c>
      <c r="B1622" s="68"/>
      <c r="C1622" s="68"/>
      <c r="D1622" s="69" t="str">
        <f>CONCATENATE(PROPER('DASMA INFO'!$G1622),", ",PROPER('DASMA INFO'!$E1622)," ",PROPER('DASMA INFO'!$F1622),"."," (",UPPER('DASMA INFO'!$H1622),")")</f>
        <v>Masweng, Jovith C. ()</v>
      </c>
      <c r="E1622" s="70" t="s">
        <v>2876</v>
      </c>
      <c r="F1622" s="70" t="s">
        <v>318</v>
      </c>
      <c r="G1622" s="70" t="s">
        <v>2877</v>
      </c>
      <c r="H1622" s="69"/>
      <c r="I1622" s="92">
        <v>0.05</v>
      </c>
      <c r="J1622" s="93">
        <v>1000.0</v>
      </c>
      <c r="K1622" s="73" t="s">
        <v>968</v>
      </c>
      <c r="L1622" s="73"/>
      <c r="M1622" s="73"/>
      <c r="N1622" s="74"/>
    </row>
    <row r="1623" ht="30.0" hidden="1" customHeight="1">
      <c r="A1623" s="68">
        <v>1639.0</v>
      </c>
      <c r="B1623" s="68"/>
      <c r="C1623" s="68"/>
      <c r="D1623" s="69" t="str">
        <f>CONCATENATE(PROPER('DASMA INFO'!$G1623),", ",PROPER('DASMA INFO'!$E1623)," ",PROPER('DASMA INFO'!$F1623),"."," (",UPPER('DASMA INFO'!$H1623),")")</f>
        <v>Flores, Erwin Allen D. ()</v>
      </c>
      <c r="E1623" s="70" t="s">
        <v>2922</v>
      </c>
      <c r="F1623" s="70" t="s">
        <v>1078</v>
      </c>
      <c r="G1623" s="70" t="s">
        <v>605</v>
      </c>
      <c r="H1623" s="69"/>
      <c r="I1623" s="105">
        <v>0.12</v>
      </c>
      <c r="J1623" s="106">
        <v>1000.0</v>
      </c>
      <c r="K1623" s="73" t="s">
        <v>1053</v>
      </c>
      <c r="L1623" s="73"/>
      <c r="M1623" s="73"/>
      <c r="N1623" s="74"/>
    </row>
    <row r="1624" ht="30.0" hidden="1" customHeight="1">
      <c r="A1624" s="68">
        <v>1640.0</v>
      </c>
      <c r="B1624" s="68"/>
      <c r="C1624" s="68"/>
      <c r="D1624" s="69" t="str">
        <f>CONCATENATE(PROPER('DASMA INFO'!$G1624),", ",PROPER('DASMA INFO'!$E1624)," ",PROPER('DASMA INFO'!$F1624),"."," (",UPPER('DASMA INFO'!$H1624),")")</f>
        <v>Villanueva, Mariano A. ()</v>
      </c>
      <c r="E1624" s="70" t="s">
        <v>1446</v>
      </c>
      <c r="F1624" s="70" t="s">
        <v>427</v>
      </c>
      <c r="G1624" s="70" t="s">
        <v>454</v>
      </c>
      <c r="H1624" s="69"/>
      <c r="I1624" s="105">
        <v>0.12</v>
      </c>
      <c r="J1624" s="106">
        <v>1000.0</v>
      </c>
      <c r="K1624" s="73" t="s">
        <v>968</v>
      </c>
      <c r="L1624" s="73"/>
      <c r="M1624" s="73"/>
      <c r="N1624" s="74"/>
    </row>
    <row r="1625" ht="30.0" hidden="1" customHeight="1">
      <c r="A1625" s="68">
        <v>1641.0</v>
      </c>
      <c r="B1625" s="68"/>
      <c r="C1625" s="68"/>
      <c r="D1625" s="69" t="str">
        <f>CONCATENATE(PROPER('DASMA INFO'!$G1625),", ",PROPER('DASMA INFO'!$E1625)," ",PROPER('DASMA INFO'!$F1625),"."," (",UPPER('DASMA INFO'!$H1625),")")</f>
        <v>,  . ()</v>
      </c>
      <c r="E1625" s="70"/>
      <c r="F1625" s="70"/>
      <c r="G1625" s="70"/>
      <c r="H1625" s="69"/>
      <c r="I1625" s="105">
        <v>0.12</v>
      </c>
      <c r="J1625" s="106">
        <v>1000.0</v>
      </c>
      <c r="K1625" s="73"/>
      <c r="L1625" s="73"/>
      <c r="M1625" s="73"/>
      <c r="N1625" s="74"/>
    </row>
    <row r="1626" ht="30.0" hidden="1" customHeight="1">
      <c r="A1626" s="68">
        <v>1642.0</v>
      </c>
      <c r="B1626" s="68"/>
      <c r="C1626" s="68"/>
      <c r="D1626" s="69" t="str">
        <f>CONCATENATE(PROPER('DASMA INFO'!$G1626),", ",PROPER('DASMA INFO'!$E1626)," ",PROPER('DASMA INFO'!$F1626),"."," (",UPPER('DASMA INFO'!$H1626),")")</f>
        <v>,  . ()</v>
      </c>
      <c r="E1626" s="70"/>
      <c r="F1626" s="70"/>
      <c r="G1626" s="70"/>
      <c r="H1626" s="69"/>
      <c r="I1626" s="105">
        <v>0.12</v>
      </c>
      <c r="J1626" s="106">
        <v>1000.0</v>
      </c>
      <c r="K1626" s="73"/>
      <c r="L1626" s="73"/>
      <c r="M1626" s="73"/>
      <c r="N1626" s="74"/>
    </row>
    <row r="1627" ht="30.0" hidden="1" customHeight="1">
      <c r="A1627" s="68">
        <v>1643.0</v>
      </c>
      <c r="B1627" s="68"/>
      <c r="C1627" s="68"/>
      <c r="D1627" s="69" t="str">
        <f>CONCATENATE(PROPER('DASMA INFO'!$G1627),", ",PROPER('DASMA INFO'!$E1627)," ",PROPER('DASMA INFO'!$F1627),"."," (",UPPER('DASMA INFO'!$H1627),")")</f>
        <v>,  . ()</v>
      </c>
      <c r="E1627" s="70"/>
      <c r="F1627" s="70"/>
      <c r="G1627" s="70"/>
      <c r="H1627" s="69"/>
      <c r="I1627" s="105">
        <v>0.12</v>
      </c>
      <c r="J1627" s="106">
        <v>1000.0</v>
      </c>
      <c r="K1627" s="73"/>
      <c r="L1627" s="73"/>
      <c r="M1627" s="73"/>
      <c r="N1627" s="74"/>
    </row>
    <row r="1628" ht="30.0" hidden="1" customHeight="1">
      <c r="A1628" s="68">
        <v>1644.0</v>
      </c>
      <c r="B1628" s="68"/>
      <c r="C1628" s="68"/>
      <c r="D1628" s="69" t="str">
        <f>CONCATENATE(PROPER('DASMA INFO'!$G1628),", ",PROPER('DASMA INFO'!$E1628)," ",PROPER('DASMA INFO'!$F1628),"."," (",UPPER('DASMA INFO'!$H1628),")")</f>
        <v>,  . ()</v>
      </c>
      <c r="E1628" s="70"/>
      <c r="F1628" s="70"/>
      <c r="G1628" s="70"/>
      <c r="H1628" s="69"/>
      <c r="I1628" s="105">
        <v>0.12</v>
      </c>
      <c r="J1628" s="106">
        <v>1000.0</v>
      </c>
      <c r="K1628" s="73"/>
      <c r="L1628" s="73"/>
      <c r="M1628" s="73"/>
      <c r="N1628" s="74"/>
    </row>
    <row r="1629" ht="30.0" hidden="1" customHeight="1">
      <c r="A1629" s="68">
        <v>1645.0</v>
      </c>
      <c r="B1629" s="68"/>
      <c r="C1629" s="68"/>
      <c r="D1629" s="69" t="str">
        <f>CONCATENATE(PROPER('DASMA INFO'!$G1629),", ",PROPER('DASMA INFO'!$E1629)," ",PROPER('DASMA INFO'!$F1629),"."," (",UPPER('DASMA INFO'!$H1629),")")</f>
        <v>,  . ()</v>
      </c>
      <c r="E1629" s="70"/>
      <c r="F1629" s="70"/>
      <c r="G1629" s="70"/>
      <c r="H1629" s="69"/>
      <c r="I1629" s="105">
        <v>0.12</v>
      </c>
      <c r="J1629" s="106">
        <v>1000.0</v>
      </c>
      <c r="K1629" s="73"/>
      <c r="L1629" s="73"/>
      <c r="M1629" s="73"/>
      <c r="N1629" s="74"/>
    </row>
    <row r="1630" ht="30.0" hidden="1" customHeight="1">
      <c r="A1630" s="68">
        <v>1646.0</v>
      </c>
      <c r="B1630" s="68"/>
      <c r="C1630" s="68"/>
      <c r="D1630" s="69" t="str">
        <f>CONCATENATE(PROPER('DASMA INFO'!$G1630),", ",PROPER('DASMA INFO'!$E1630)," ",PROPER('DASMA INFO'!$F1630),"."," (",UPPER('DASMA INFO'!$H1630),")")</f>
        <v>Tan, Joel B. ()</v>
      </c>
      <c r="E1630" s="70" t="s">
        <v>846</v>
      </c>
      <c r="F1630" s="70" t="s">
        <v>627</v>
      </c>
      <c r="G1630" s="70" t="s">
        <v>422</v>
      </c>
      <c r="H1630" s="69"/>
      <c r="I1630" s="105">
        <v>0.05</v>
      </c>
      <c r="J1630" s="106">
        <v>1000.0</v>
      </c>
      <c r="K1630" s="73" t="s">
        <v>2428</v>
      </c>
      <c r="L1630" s="73" t="s">
        <v>480</v>
      </c>
      <c r="M1630" s="73">
        <v>2022.0</v>
      </c>
      <c r="N1630" s="74"/>
    </row>
    <row r="1631" ht="30.0" hidden="1" customHeight="1">
      <c r="A1631" s="68">
        <v>1647.0</v>
      </c>
      <c r="B1631" s="68"/>
      <c r="C1631" s="68"/>
      <c r="D1631" s="69" t="str">
        <f>CONCATENATE(PROPER('DASMA INFO'!$G1631),", ",PROPER('DASMA INFO'!$E1631)," ",PROPER('DASMA INFO'!$F1631),"."," (",UPPER('DASMA INFO'!$H1631),")")</f>
        <v>Lauren, Randy C. ()</v>
      </c>
      <c r="E1631" s="70" t="s">
        <v>145</v>
      </c>
      <c r="F1631" s="70" t="s">
        <v>318</v>
      </c>
      <c r="G1631" s="70" t="s">
        <v>292</v>
      </c>
      <c r="H1631" s="69"/>
      <c r="I1631" s="92">
        <v>0.05</v>
      </c>
      <c r="J1631" s="93">
        <v>1000.0</v>
      </c>
      <c r="K1631" s="73" t="s">
        <v>2170</v>
      </c>
      <c r="L1631" s="73"/>
      <c r="M1631" s="73"/>
      <c r="N1631" s="74"/>
    </row>
    <row r="1632" ht="30.0" hidden="1" customHeight="1">
      <c r="A1632" s="68">
        <v>1648.0</v>
      </c>
      <c r="B1632" s="68"/>
      <c r="C1632" s="68"/>
      <c r="D1632" s="69" t="str">
        <f>CONCATENATE(PROPER('DASMA INFO'!$G1632),", ",PROPER('DASMA INFO'!$E1632)," ",PROPER('DASMA INFO'!$F1632),"."," (",UPPER('DASMA INFO'!$H1632),")")</f>
        <v>Mandanas, Gema G. ()</v>
      </c>
      <c r="E1632" s="70" t="s">
        <v>2923</v>
      </c>
      <c r="F1632" s="70" t="s">
        <v>1032</v>
      </c>
      <c r="G1632" s="70" t="s">
        <v>2924</v>
      </c>
      <c r="H1632" s="69"/>
      <c r="I1632" s="105">
        <v>0.12</v>
      </c>
      <c r="J1632" s="106">
        <v>1000.0</v>
      </c>
      <c r="K1632" s="73" t="s">
        <v>960</v>
      </c>
      <c r="L1632" s="73"/>
      <c r="M1632" s="73"/>
      <c r="N1632" s="74"/>
    </row>
    <row r="1633" ht="30.0" hidden="1" customHeight="1">
      <c r="A1633" s="68">
        <v>1649.0</v>
      </c>
      <c r="B1633" s="68"/>
      <c r="C1633" s="68"/>
      <c r="D1633" s="69" t="str">
        <f>CONCATENATE(PROPER('DASMA INFO'!$G1633),", ",PROPER('DASMA INFO'!$E1633)," ",PROPER('DASMA INFO'!$F1633),"."," (",UPPER('DASMA INFO'!$H1633),")")</f>
        <v>,  . ()</v>
      </c>
      <c r="E1633" s="70"/>
      <c r="F1633" s="70"/>
      <c r="G1633" s="70"/>
      <c r="H1633" s="69"/>
      <c r="I1633" s="105">
        <v>0.12</v>
      </c>
      <c r="J1633" s="106">
        <v>1000.0</v>
      </c>
      <c r="K1633" s="73"/>
      <c r="L1633" s="73"/>
      <c r="M1633" s="73"/>
      <c r="N1633" s="74"/>
    </row>
    <row r="1634" ht="30.0" hidden="1" customHeight="1">
      <c r="A1634" s="68">
        <v>1650.0</v>
      </c>
      <c r="B1634" s="68"/>
      <c r="C1634" s="68"/>
      <c r="D1634" s="69" t="str">
        <f>CONCATENATE(PROPER('DASMA INFO'!$G1634),", ",PROPER('DASMA INFO'!$E1634)," ",PROPER('DASMA INFO'!$F1634),"."," (",UPPER('DASMA INFO'!$H1634),")")</f>
        <v>Batul, Rodie Rosenda Prado. ()</v>
      </c>
      <c r="E1634" s="70" t="s">
        <v>2925</v>
      </c>
      <c r="F1634" s="70" t="s">
        <v>2926</v>
      </c>
      <c r="G1634" s="70" t="s">
        <v>574</v>
      </c>
      <c r="H1634" s="69"/>
      <c r="I1634" s="92">
        <v>0.05</v>
      </c>
      <c r="J1634" s="93">
        <v>1000.0</v>
      </c>
      <c r="K1634" s="73" t="s">
        <v>2927</v>
      </c>
      <c r="L1634" s="73"/>
      <c r="M1634" s="73"/>
      <c r="N1634" s="74"/>
    </row>
    <row r="1635" ht="30.0" hidden="1" customHeight="1">
      <c r="A1635" s="68">
        <v>1651.0</v>
      </c>
      <c r="B1635" s="68"/>
      <c r="C1635" s="68"/>
      <c r="D1635" s="69" t="str">
        <f>CONCATENATE(PROPER('DASMA INFO'!$G1635),", ",PROPER('DASMA INFO'!$E1635)," ",PROPER('DASMA INFO'!$F1635),"."," (",UPPER('DASMA INFO'!$H1635),")")</f>
        <v>Concepcion, Manuel B. ()</v>
      </c>
      <c r="E1635" s="70" t="s">
        <v>507</v>
      </c>
      <c r="F1635" s="70" t="s">
        <v>627</v>
      </c>
      <c r="G1635" s="70" t="s">
        <v>508</v>
      </c>
      <c r="H1635" s="69"/>
      <c r="I1635" s="105">
        <v>0.12</v>
      </c>
      <c r="J1635" s="106">
        <v>1000.0</v>
      </c>
      <c r="K1635" s="73" t="s">
        <v>2928</v>
      </c>
      <c r="L1635" s="73"/>
      <c r="M1635" s="73"/>
      <c r="N1635" s="74"/>
    </row>
    <row r="1636" ht="30.0" hidden="1" customHeight="1">
      <c r="A1636" s="68">
        <v>1652.0</v>
      </c>
      <c r="B1636" s="68"/>
      <c r="C1636" s="68"/>
      <c r="D1636" s="69" t="str">
        <f>CONCATENATE(PROPER('DASMA INFO'!$G1636),", ",PROPER('DASMA INFO'!$E1636)," ",PROPER('DASMA INFO'!$F1636),"."," (",UPPER('DASMA INFO'!$H1636),")")</f>
        <v>Sorlo, Day Lawrence Pareja. ()</v>
      </c>
      <c r="E1636" s="70" t="s">
        <v>2929</v>
      </c>
      <c r="F1636" s="70" t="s">
        <v>1686</v>
      </c>
      <c r="G1636" s="70" t="s">
        <v>2930</v>
      </c>
      <c r="H1636" s="69"/>
      <c r="I1636" s="105">
        <v>0.12</v>
      </c>
      <c r="J1636" s="106">
        <v>1000.0</v>
      </c>
      <c r="K1636" s="73" t="s">
        <v>1596</v>
      </c>
      <c r="L1636" s="73"/>
      <c r="M1636" s="73"/>
      <c r="N1636" s="74"/>
    </row>
    <row r="1637" ht="30.0" hidden="1" customHeight="1">
      <c r="A1637" s="68">
        <v>1653.0</v>
      </c>
      <c r="B1637" s="68"/>
      <c r="C1637" s="68"/>
      <c r="D1637" s="69" t="str">
        <f>CONCATENATE(PROPER('DASMA INFO'!$G1637),", ",PROPER('DASMA INFO'!$E1637)," ",PROPER('DASMA INFO'!$F1637),"."," (",UPPER('DASMA INFO'!$H1637),")")</f>
        <v>Miranda, Elisa De Guzman. ()</v>
      </c>
      <c r="E1637" s="70" t="s">
        <v>2931</v>
      </c>
      <c r="F1637" s="70" t="s">
        <v>741</v>
      </c>
      <c r="G1637" s="70" t="s">
        <v>1255</v>
      </c>
      <c r="H1637" s="69"/>
      <c r="I1637" s="92">
        <v>0.05</v>
      </c>
      <c r="J1637" s="93">
        <v>1000.0</v>
      </c>
      <c r="K1637" s="73" t="s">
        <v>93</v>
      </c>
      <c r="L1637" s="73"/>
      <c r="M1637" s="73"/>
      <c r="N1637" s="74"/>
    </row>
    <row r="1638" ht="30.0" hidden="1" customHeight="1">
      <c r="A1638" s="68">
        <v>1654.0</v>
      </c>
      <c r="B1638" s="68"/>
      <c r="C1638" s="68"/>
      <c r="D1638" s="69" t="str">
        <f>CONCATENATE(PROPER('DASMA INFO'!$G1638),", ",PROPER('DASMA INFO'!$E1638)," ",PROPER('DASMA INFO'!$F1638),"."," (",UPPER('DASMA INFO'!$H1638),")")</f>
        <v>Laya, Gernalyn Miranda. ()</v>
      </c>
      <c r="E1638" s="70" t="s">
        <v>2932</v>
      </c>
      <c r="F1638" s="70" t="s">
        <v>1255</v>
      </c>
      <c r="G1638" s="70" t="s">
        <v>2933</v>
      </c>
      <c r="H1638" s="69"/>
      <c r="I1638" s="92">
        <v>0.05</v>
      </c>
      <c r="J1638" s="93">
        <v>1000.0</v>
      </c>
      <c r="K1638" s="73" t="s">
        <v>93</v>
      </c>
      <c r="L1638" s="73"/>
      <c r="M1638" s="73"/>
      <c r="N1638" s="74"/>
    </row>
    <row r="1639" ht="30.0" hidden="1" customHeight="1">
      <c r="A1639" s="68">
        <v>1655.0</v>
      </c>
      <c r="B1639" s="68"/>
      <c r="C1639" s="68"/>
      <c r="D1639" s="69" t="str">
        <f>CONCATENATE(PROPER('DASMA INFO'!$G1639),", ",PROPER('DASMA INFO'!$E1639)," ",PROPER('DASMA INFO'!$F1639),"."," (",UPPER('DASMA INFO'!$H1639),")")</f>
        <v>Magsino, Nicanor Diola. ()</v>
      </c>
      <c r="E1639" s="70" t="s">
        <v>2864</v>
      </c>
      <c r="F1639" s="70" t="s">
        <v>2934</v>
      </c>
      <c r="G1639" s="70" t="s">
        <v>1352</v>
      </c>
      <c r="H1639" s="69"/>
      <c r="I1639" s="105">
        <v>0.12</v>
      </c>
      <c r="J1639" s="106">
        <v>1000.0</v>
      </c>
      <c r="K1639" s="73" t="s">
        <v>1276</v>
      </c>
      <c r="L1639" s="73"/>
      <c r="M1639" s="73"/>
      <c r="N1639" s="74"/>
    </row>
    <row r="1640" ht="30.0" hidden="1" customHeight="1">
      <c r="A1640" s="68">
        <v>1656.0</v>
      </c>
      <c r="B1640" s="68"/>
      <c r="C1640" s="68"/>
      <c r="D1640" s="69" t="str">
        <f>CONCATENATE(PROPER('DASMA INFO'!$G1640),", ",PROPER('DASMA INFO'!$E1640)," ",PROPER('DASMA INFO'!$F1640),"."," (",UPPER('DASMA INFO'!$H1640),")")</f>
        <v>Artillaca, Victoria Castillo. ()</v>
      </c>
      <c r="E1640" s="70" t="s">
        <v>2533</v>
      </c>
      <c r="F1640" s="70" t="s">
        <v>1184</v>
      </c>
      <c r="G1640" s="70" t="s">
        <v>2935</v>
      </c>
      <c r="H1640" s="69"/>
      <c r="I1640" s="105">
        <v>0.12</v>
      </c>
      <c r="J1640" s="106">
        <v>1000.0</v>
      </c>
      <c r="K1640" s="73" t="s">
        <v>2936</v>
      </c>
      <c r="L1640" s="73"/>
      <c r="M1640" s="73"/>
      <c r="N1640" s="74"/>
    </row>
    <row r="1641" ht="30.0" hidden="1" customHeight="1">
      <c r="A1641" s="68">
        <v>1657.0</v>
      </c>
      <c r="B1641" s="68"/>
      <c r="C1641" s="68"/>
      <c r="D1641" s="69" t="str">
        <f>CONCATENATE(PROPER('DASMA INFO'!$G1641),", ",PROPER('DASMA INFO'!$E1641)," ",PROPER('DASMA INFO'!$F1641),"."," (",UPPER('DASMA INFO'!$H1641),")")</f>
        <v>Ramos Jr, Wilfredo Gard. ()</v>
      </c>
      <c r="E1641" s="70" t="s">
        <v>125</v>
      </c>
      <c r="F1641" s="70" t="s">
        <v>2937</v>
      </c>
      <c r="G1641" s="70" t="s">
        <v>2938</v>
      </c>
      <c r="H1641" s="69"/>
      <c r="I1641" s="105">
        <v>0.12</v>
      </c>
      <c r="J1641" s="106">
        <v>1000.0</v>
      </c>
      <c r="K1641" s="73" t="s">
        <v>2928</v>
      </c>
      <c r="L1641" s="73"/>
      <c r="M1641" s="73"/>
      <c r="N1641" s="74"/>
    </row>
    <row r="1642" ht="30.0" hidden="1" customHeight="1">
      <c r="A1642" s="68">
        <v>1658.0</v>
      </c>
      <c r="B1642" s="68"/>
      <c r="C1642" s="68"/>
      <c r="D1642" s="69" t="str">
        <f>CONCATENATE(PROPER('DASMA INFO'!$G1642),", ",PROPER('DASMA INFO'!$E1642)," ",PROPER('DASMA INFO'!$F1642),"."," (",UPPER('DASMA INFO'!$H1642),")")</f>
        <v>Solidio, Gemma Estaco. ()</v>
      </c>
      <c r="E1642" s="70" t="s">
        <v>1222</v>
      </c>
      <c r="F1642" s="70" t="s">
        <v>2939</v>
      </c>
      <c r="G1642" s="70" t="s">
        <v>2940</v>
      </c>
      <c r="H1642" s="69"/>
      <c r="I1642" s="92">
        <v>0.05</v>
      </c>
      <c r="J1642" s="93">
        <v>1000.0</v>
      </c>
      <c r="K1642" s="73" t="s">
        <v>2941</v>
      </c>
      <c r="L1642" s="73"/>
      <c r="M1642" s="73"/>
      <c r="N1642" s="74"/>
    </row>
    <row r="1643" ht="30.0" hidden="1" customHeight="1">
      <c r="A1643" s="68">
        <v>1659.0</v>
      </c>
      <c r="B1643" s="68"/>
      <c r="C1643" s="68"/>
      <c r="D1643" s="69" t="str">
        <f>CONCATENATE(PROPER('DASMA INFO'!$G1643),", ",PROPER('DASMA INFO'!$E1643)," ",PROPER('DASMA INFO'!$F1643),"."," (",UPPER('DASMA INFO'!$H1643),")")</f>
        <v>Adriatico, Jennylyn Syson. ()</v>
      </c>
      <c r="E1643" s="70" t="s">
        <v>2635</v>
      </c>
      <c r="F1643" s="70" t="s">
        <v>2942</v>
      </c>
      <c r="G1643" s="70" t="s">
        <v>2943</v>
      </c>
      <c r="H1643" s="69"/>
      <c r="I1643" s="105">
        <v>0.12</v>
      </c>
      <c r="J1643" s="106">
        <v>1000.0</v>
      </c>
      <c r="K1643" s="73" t="s">
        <v>2703</v>
      </c>
      <c r="L1643" s="73"/>
      <c r="M1643" s="73"/>
      <c r="N1643" s="74"/>
    </row>
    <row r="1644" ht="30.0" hidden="1" customHeight="1">
      <c r="A1644" s="68">
        <v>1660.0</v>
      </c>
      <c r="B1644" s="68"/>
      <c r="C1644" s="68"/>
      <c r="D1644" s="69" t="str">
        <f>CONCATENATE(PROPER('DASMA INFO'!$G1644),", ",PROPER('DASMA INFO'!$E1644)," ",PROPER('DASMA INFO'!$F1644),"."," (",UPPER('DASMA INFO'!$H1644),")")</f>
        <v>, Richard Fermil. ()</v>
      </c>
      <c r="E1644" s="70" t="s">
        <v>1039</v>
      </c>
      <c r="F1644" s="70" t="s">
        <v>2944</v>
      </c>
      <c r="G1644" s="70"/>
      <c r="H1644" s="69"/>
      <c r="I1644" s="105">
        <v>0.12</v>
      </c>
      <c r="J1644" s="106">
        <v>1000.0</v>
      </c>
      <c r="K1644" s="73" t="s">
        <v>2945</v>
      </c>
      <c r="L1644" s="73"/>
      <c r="M1644" s="73"/>
      <c r="N1644" s="74"/>
    </row>
    <row r="1645" ht="30.0" hidden="1" customHeight="1">
      <c r="A1645" s="68">
        <v>1661.0</v>
      </c>
      <c r="B1645" s="68"/>
      <c r="C1645" s="68"/>
      <c r="D1645" s="69" t="str">
        <f>CONCATENATE(PROPER('DASMA INFO'!$G1645),", ",PROPER('DASMA INFO'!$E1645)," ",PROPER('DASMA INFO'!$F1645),"."," (",UPPER('DASMA INFO'!$H1645),")")</f>
        <v>,  . ()</v>
      </c>
      <c r="E1645" s="70"/>
      <c r="F1645" s="70"/>
      <c r="G1645" s="70"/>
      <c r="H1645" s="69"/>
      <c r="I1645" s="105">
        <v>0.12</v>
      </c>
      <c r="J1645" s="106">
        <v>1000.0</v>
      </c>
      <c r="K1645" s="73"/>
      <c r="L1645" s="73"/>
      <c r="M1645" s="73"/>
      <c r="N1645" s="74"/>
    </row>
    <row r="1646" ht="30.0" hidden="1" customHeight="1">
      <c r="A1646" s="68">
        <v>1662.0</v>
      </c>
      <c r="B1646" s="68"/>
      <c r="C1646" s="68"/>
      <c r="D1646" s="69" t="str">
        <f>CONCATENATE(PROPER('DASMA INFO'!$G1646),", ",PROPER('DASMA INFO'!$E1646)," ",PROPER('DASMA INFO'!$F1646),"."," (",UPPER('DASMA INFO'!$H1646),")")</f>
        <v>Dela Cruz, Angelica Esquejo. ()</v>
      </c>
      <c r="E1646" s="70" t="s">
        <v>1307</v>
      </c>
      <c r="F1646" s="70" t="s">
        <v>2946</v>
      </c>
      <c r="G1646" s="70" t="s">
        <v>636</v>
      </c>
      <c r="H1646" s="69"/>
      <c r="I1646" s="92">
        <v>0.05</v>
      </c>
      <c r="J1646" s="93">
        <v>1000.0</v>
      </c>
      <c r="K1646" s="73" t="s">
        <v>2947</v>
      </c>
      <c r="L1646" s="73"/>
      <c r="M1646" s="73"/>
      <c r="N1646" s="74"/>
    </row>
    <row r="1647" ht="30.0" hidden="1" customHeight="1">
      <c r="A1647" s="68">
        <v>1663.0</v>
      </c>
      <c r="B1647" s="68"/>
      <c r="C1647" s="68"/>
      <c r="D1647" s="69" t="str">
        <f>CONCATENATE(PROPER('DASMA INFO'!$G1647),", ",PROPER('DASMA INFO'!$E1647)," ",PROPER('DASMA INFO'!$F1647),"."," (",UPPER('DASMA INFO'!$H1647),")")</f>
        <v>Isip, Nora Aquino. ()</v>
      </c>
      <c r="E1647" s="70" t="s">
        <v>1802</v>
      </c>
      <c r="F1647" s="70" t="s">
        <v>331</v>
      </c>
      <c r="G1647" s="70" t="s">
        <v>2948</v>
      </c>
      <c r="H1647" s="69"/>
      <c r="I1647" s="105">
        <v>0.12</v>
      </c>
      <c r="J1647" s="106">
        <v>1000.0</v>
      </c>
      <c r="K1647" s="73" t="s">
        <v>1276</v>
      </c>
      <c r="L1647" s="73"/>
      <c r="M1647" s="73"/>
      <c r="N1647" s="74"/>
    </row>
    <row r="1648" ht="30.0" hidden="1" customHeight="1">
      <c r="A1648" s="68">
        <v>1664.0</v>
      </c>
      <c r="B1648" s="68"/>
      <c r="C1648" s="68"/>
      <c r="D1648" s="69" t="str">
        <f>CONCATENATE(PROPER('DASMA INFO'!$G1648),", ",PROPER('DASMA INFO'!$E1648)," ",PROPER('DASMA INFO'!$F1648),"."," (",UPPER('DASMA INFO'!$H1648),")")</f>
        <v>Escorrido, Shiela Cruzada. ()</v>
      </c>
      <c r="E1648" s="70" t="s">
        <v>974</v>
      </c>
      <c r="F1648" s="70" t="s">
        <v>2767</v>
      </c>
      <c r="G1648" s="70" t="s">
        <v>2949</v>
      </c>
      <c r="H1648" s="69"/>
      <c r="I1648" s="105">
        <v>0.12</v>
      </c>
      <c r="J1648" s="106">
        <v>1000.0</v>
      </c>
      <c r="K1648" s="73" t="s">
        <v>2950</v>
      </c>
      <c r="L1648" s="73"/>
      <c r="M1648" s="73"/>
      <c r="N1648" s="74"/>
    </row>
    <row r="1649" ht="30.0" hidden="1" customHeight="1">
      <c r="A1649" s="68">
        <v>1665.0</v>
      </c>
      <c r="B1649" s="68"/>
      <c r="C1649" s="68"/>
      <c r="D1649" s="69" t="str">
        <f>CONCATENATE(PROPER('DASMA INFO'!$G1649),", ",PROPER('DASMA INFO'!$E1649)," ",PROPER('DASMA INFO'!$F1649),"."," (",UPPER('DASMA INFO'!$H1649),")")</f>
        <v>Perol, Sheryl Telesforo. ()</v>
      </c>
      <c r="E1649" s="70" t="s">
        <v>406</v>
      </c>
      <c r="F1649" s="70" t="s">
        <v>2951</v>
      </c>
      <c r="G1649" s="70" t="s">
        <v>2785</v>
      </c>
      <c r="H1649" s="69"/>
      <c r="I1649" s="105">
        <v>0.12</v>
      </c>
      <c r="J1649" s="106">
        <v>1000.0</v>
      </c>
      <c r="K1649" s="73" t="s">
        <v>2950</v>
      </c>
      <c r="L1649" s="73"/>
      <c r="M1649" s="73"/>
      <c r="N1649" s="74"/>
    </row>
    <row r="1650" ht="30.0" hidden="1" customHeight="1">
      <c r="A1650" s="68">
        <v>1666.0</v>
      </c>
      <c r="B1650" s="68"/>
      <c r="C1650" s="68"/>
      <c r="D1650" s="69" t="str">
        <f>CONCATENATE(PROPER('DASMA INFO'!$G1650),", ",PROPER('DASMA INFO'!$E1650)," ",PROPER('DASMA INFO'!$F1650),"."," (",UPPER('DASMA INFO'!$H1650),")")</f>
        <v>Jimenez, Elizabeth Babangan. ()</v>
      </c>
      <c r="E1650" s="70" t="s">
        <v>458</v>
      </c>
      <c r="F1650" s="70" t="s">
        <v>2952</v>
      </c>
      <c r="G1650" s="70" t="s">
        <v>520</v>
      </c>
      <c r="H1650" s="69"/>
      <c r="I1650" s="92">
        <v>0.05</v>
      </c>
      <c r="J1650" s="93">
        <v>1000.0</v>
      </c>
      <c r="K1650" s="73" t="s">
        <v>2941</v>
      </c>
      <c r="L1650" s="73"/>
      <c r="M1650" s="73"/>
      <c r="N1650" s="74"/>
    </row>
    <row r="1651" ht="30.0" hidden="1" customHeight="1">
      <c r="A1651" s="68">
        <v>1667.0</v>
      </c>
      <c r="B1651" s="68"/>
      <c r="C1651" s="68"/>
      <c r="D1651" s="69" t="str">
        <f>CONCATENATE(PROPER('DASMA INFO'!$G1651),", ",PROPER('DASMA INFO'!$E1651)," ",PROPER('DASMA INFO'!$F1651),"."," (",UPPER('DASMA INFO'!$H1651),")")</f>
        <v>Tolentino, Angelina Ubarre. ()</v>
      </c>
      <c r="E1651" s="70" t="s">
        <v>2953</v>
      </c>
      <c r="F1651" s="70" t="s">
        <v>2954</v>
      </c>
      <c r="G1651" s="70" t="s">
        <v>206</v>
      </c>
      <c r="H1651" s="69"/>
      <c r="I1651" s="105">
        <v>0.12</v>
      </c>
      <c r="J1651" s="106">
        <v>1000.0</v>
      </c>
      <c r="K1651" s="73"/>
      <c r="L1651" s="73"/>
      <c r="M1651" s="73"/>
      <c r="N1651" s="74"/>
    </row>
    <row r="1652" ht="30.0" hidden="1" customHeight="1">
      <c r="A1652" s="68">
        <v>1668.0</v>
      </c>
      <c r="B1652" s="68"/>
      <c r="C1652" s="68"/>
      <c r="D1652" s="69" t="str">
        <f>CONCATENATE(PROPER('DASMA INFO'!$G1652),", ",PROPER('DASMA INFO'!$E1652)," ",PROPER('DASMA INFO'!$F1652),"."," (",UPPER('DASMA INFO'!$H1652),")")</f>
        <v>De Leon, Benedicto G. ()</v>
      </c>
      <c r="E1652" s="70" t="s">
        <v>2955</v>
      </c>
      <c r="F1652" s="70" t="s">
        <v>1032</v>
      </c>
      <c r="G1652" s="70" t="s">
        <v>1136</v>
      </c>
      <c r="H1652" s="69"/>
      <c r="I1652" s="92">
        <v>0.05</v>
      </c>
      <c r="J1652" s="93">
        <v>1000.0</v>
      </c>
      <c r="K1652" s="73" t="s">
        <v>1276</v>
      </c>
      <c r="L1652" s="73"/>
      <c r="M1652" s="73"/>
      <c r="N1652" s="74"/>
    </row>
    <row r="1653" ht="30.0" hidden="1" customHeight="1">
      <c r="A1653" s="68">
        <v>1669.0</v>
      </c>
      <c r="B1653" s="68"/>
      <c r="C1653" s="68"/>
      <c r="D1653" s="69" t="str">
        <f>CONCATENATE(PROPER('DASMA INFO'!$G1653),", ",PROPER('DASMA INFO'!$E1653)," ",PROPER('DASMA INFO'!$F1653),"."," (",UPPER('DASMA INFO'!$H1653),")")</f>
        <v>Tablang, Marc Jinell L. ()</v>
      </c>
      <c r="E1653" s="70" t="s">
        <v>2956</v>
      </c>
      <c r="F1653" s="70" t="s">
        <v>648</v>
      </c>
      <c r="G1653" s="70" t="s">
        <v>1374</v>
      </c>
      <c r="H1653" s="69"/>
      <c r="I1653" s="92">
        <v>0.05</v>
      </c>
      <c r="J1653" s="93">
        <v>1000.0</v>
      </c>
      <c r="K1653" s="73"/>
      <c r="L1653" s="73"/>
      <c r="M1653" s="73"/>
      <c r="N1653" s="74" t="s">
        <v>2957</v>
      </c>
    </row>
    <row r="1654" ht="30.0" hidden="1" customHeight="1">
      <c r="A1654" s="68">
        <v>1670.0</v>
      </c>
      <c r="B1654" s="68"/>
      <c r="C1654" s="68"/>
      <c r="D1654" s="69" t="str">
        <f>CONCATENATE(PROPER('DASMA INFO'!$G1654),", ",PROPER('DASMA INFO'!$E1654)," ",PROPER('DASMA INFO'!$F1654),"."," (",UPPER('DASMA INFO'!$H1654),")")</f>
        <v>Gutierrez, Marni Rojales. ()</v>
      </c>
      <c r="E1654" s="70" t="s">
        <v>2958</v>
      </c>
      <c r="F1654" s="70" t="s">
        <v>2959</v>
      </c>
      <c r="G1654" s="70" t="s">
        <v>2960</v>
      </c>
      <c r="H1654" s="69"/>
      <c r="I1654" s="105">
        <v>0.12</v>
      </c>
      <c r="J1654" s="106">
        <v>1000.0</v>
      </c>
      <c r="K1654" s="73" t="s">
        <v>1596</v>
      </c>
      <c r="L1654" s="73"/>
      <c r="M1654" s="73"/>
      <c r="N1654" s="74"/>
    </row>
    <row r="1655" ht="30.0" hidden="1" customHeight="1">
      <c r="A1655" s="68">
        <v>1671.0</v>
      </c>
      <c r="B1655" s="68"/>
      <c r="C1655" s="68"/>
      <c r="D1655" s="69" t="str">
        <f>CONCATENATE(PROPER('DASMA INFO'!$G1655),", ",PROPER('DASMA INFO'!$E1655)," ",PROPER('DASMA INFO'!$F1655),"."," (",UPPER('DASMA INFO'!$H1655),")")</f>
        <v>Saguiped, Jeffrey Verina. ()</v>
      </c>
      <c r="E1655" s="70" t="s">
        <v>1577</v>
      </c>
      <c r="F1655" s="70" t="s">
        <v>2961</v>
      </c>
      <c r="G1655" s="70" t="s">
        <v>2962</v>
      </c>
      <c r="H1655" s="69"/>
      <c r="I1655" s="105">
        <v>0.12</v>
      </c>
      <c r="J1655" s="106">
        <v>1000.0</v>
      </c>
      <c r="K1655" s="73" t="s">
        <v>2928</v>
      </c>
      <c r="L1655" s="73"/>
      <c r="M1655" s="73"/>
      <c r="N1655" s="74"/>
    </row>
    <row r="1656" ht="30.0" hidden="1" customHeight="1">
      <c r="A1656" s="68">
        <v>1672.0</v>
      </c>
      <c r="B1656" s="68"/>
      <c r="C1656" s="68"/>
      <c r="D1656" s="69" t="str">
        <f>CONCATENATE(PROPER('DASMA INFO'!$G1656),", ",PROPER('DASMA INFO'!$E1656)," ",PROPER('DASMA INFO'!$F1656),"."," (",UPPER('DASMA INFO'!$H1656),")")</f>
        <v>Jamandre, Davison Pastillao. ()</v>
      </c>
      <c r="E1656" s="70" t="s">
        <v>2963</v>
      </c>
      <c r="F1656" s="69" t="s">
        <v>2964</v>
      </c>
      <c r="G1656" s="70" t="s">
        <v>2965</v>
      </c>
      <c r="H1656" s="69"/>
      <c r="I1656" s="92">
        <v>0.05</v>
      </c>
      <c r="J1656" s="93">
        <v>2000.0</v>
      </c>
      <c r="K1656" s="73" t="s">
        <v>93</v>
      </c>
      <c r="L1656" s="73"/>
      <c r="M1656" s="73"/>
      <c r="N1656" s="74"/>
    </row>
    <row r="1657" ht="30.0" hidden="1" customHeight="1">
      <c r="A1657" s="68">
        <v>1673.0</v>
      </c>
      <c r="B1657" s="68"/>
      <c r="C1657" s="68"/>
      <c r="D1657" s="69" t="str">
        <f>CONCATENATE(PROPER('DASMA INFO'!$G1657),", ",PROPER('DASMA INFO'!$E1657)," ",PROPER('DASMA INFO'!$F1657),"."," (",UPPER('DASMA INFO'!$H1657),")")</f>
        <v>Abbas, Syed Ali. ()</v>
      </c>
      <c r="E1657" s="70" t="s">
        <v>2910</v>
      </c>
      <c r="F1657" s="69" t="s">
        <v>2346</v>
      </c>
      <c r="G1657" s="70" t="s">
        <v>2966</v>
      </c>
      <c r="H1657" s="69"/>
      <c r="I1657" s="105">
        <v>0.12</v>
      </c>
      <c r="J1657" s="106">
        <v>1000.0</v>
      </c>
      <c r="K1657" s="73" t="s">
        <v>2967</v>
      </c>
      <c r="L1657" s="73"/>
      <c r="M1657" s="73"/>
      <c r="N1657" s="74"/>
    </row>
    <row r="1658" ht="30.0" hidden="1" customHeight="1">
      <c r="A1658" s="68">
        <v>1674.0</v>
      </c>
      <c r="B1658" s="68"/>
      <c r="C1658" s="68"/>
      <c r="D1658" s="69" t="str">
        <f>CONCATENATE(PROPER('DASMA INFO'!$G1658),", ",PROPER('DASMA INFO'!$E1658)," ",PROPER('DASMA INFO'!$F1658),"."," (",UPPER('DASMA INFO'!$H1658),")")</f>
        <v>Bringas, Jazmin Mojica. ()</v>
      </c>
      <c r="E1658" s="70" t="s">
        <v>2724</v>
      </c>
      <c r="F1658" s="70" t="s">
        <v>2462</v>
      </c>
      <c r="G1658" s="70" t="s">
        <v>2725</v>
      </c>
      <c r="H1658" s="69"/>
      <c r="I1658" s="92">
        <v>0.05</v>
      </c>
      <c r="J1658" s="93">
        <v>1000.0</v>
      </c>
      <c r="K1658" s="73"/>
      <c r="L1658" s="73"/>
      <c r="M1658" s="73"/>
      <c r="N1658" s="74"/>
    </row>
    <row r="1659" ht="30.0" hidden="1" customHeight="1">
      <c r="A1659" s="68">
        <v>1675.0</v>
      </c>
      <c r="B1659" s="68"/>
      <c r="C1659" s="68"/>
      <c r="D1659" s="69" t="str">
        <f>CONCATENATE(PROPER('DASMA INFO'!$G1659),", ",PROPER('DASMA INFO'!$E1659)," ",PROPER('DASMA INFO'!$F1659),"."," (",UPPER('DASMA INFO'!$H1659),")")</f>
        <v>Rioflorido, Armando Principe. ()</v>
      </c>
      <c r="E1659" s="70" t="s">
        <v>174</v>
      </c>
      <c r="F1659" s="69" t="s">
        <v>2968</v>
      </c>
      <c r="G1659" s="70" t="s">
        <v>2969</v>
      </c>
      <c r="H1659" s="69"/>
      <c r="I1659" s="105">
        <v>0.12</v>
      </c>
      <c r="J1659" s="106">
        <v>1000.0</v>
      </c>
      <c r="K1659" s="73" t="s">
        <v>1276</v>
      </c>
      <c r="L1659" s="73"/>
      <c r="M1659" s="73"/>
      <c r="N1659" s="74"/>
    </row>
    <row r="1660" ht="30.0" hidden="1" customHeight="1">
      <c r="A1660" s="68">
        <v>1676.0</v>
      </c>
      <c r="B1660" s="68"/>
      <c r="C1660" s="68"/>
      <c r="D1660" s="69" t="str">
        <f>CONCATENATE(PROPER('DASMA INFO'!$G1660),", ",PROPER('DASMA INFO'!$E1660)," ",PROPER('DASMA INFO'!$F1660),"."," (",UPPER('DASMA INFO'!$H1660),")")</f>
        <v>Felix, Eleanor Makabuhay. ()</v>
      </c>
      <c r="E1660" s="70" t="s">
        <v>2970</v>
      </c>
      <c r="F1660" s="69" t="s">
        <v>2971</v>
      </c>
      <c r="G1660" s="70" t="s">
        <v>1042</v>
      </c>
      <c r="H1660" s="69"/>
      <c r="I1660" s="92">
        <v>0.05</v>
      </c>
      <c r="J1660" s="93">
        <v>1000.0</v>
      </c>
      <c r="K1660" s="73" t="s">
        <v>2972</v>
      </c>
      <c r="L1660" s="73"/>
      <c r="M1660" s="73"/>
      <c r="N1660" s="74" t="s">
        <v>2973</v>
      </c>
    </row>
    <row r="1661" ht="30.0" hidden="1" customHeight="1">
      <c r="A1661" s="68">
        <v>1677.0</v>
      </c>
      <c r="B1661" s="68"/>
      <c r="C1661" s="68"/>
      <c r="D1661" s="69" t="str">
        <f>CONCATENATE(PROPER('DASMA INFO'!$G1661),", ",PROPER('DASMA INFO'!$E1661)," ",PROPER('DASMA INFO'!$F1661),"."," (",UPPER('DASMA INFO'!$H1661),")")</f>
        <v>Signo, Joanne Corie A.. ()</v>
      </c>
      <c r="E1661" s="70" t="s">
        <v>857</v>
      </c>
      <c r="F1661" s="69" t="s">
        <v>2974</v>
      </c>
      <c r="G1661" s="70" t="s">
        <v>858</v>
      </c>
      <c r="H1661" s="69"/>
      <c r="I1661" s="92">
        <v>0.05</v>
      </c>
      <c r="J1661" s="93">
        <v>1000.0</v>
      </c>
      <c r="K1661" s="73" t="s">
        <v>50</v>
      </c>
      <c r="L1661" s="73"/>
      <c r="M1661" s="73"/>
      <c r="N1661" s="74"/>
    </row>
    <row r="1662" ht="30.0" hidden="1" customHeight="1">
      <c r="A1662" s="68">
        <v>1678.0</v>
      </c>
      <c r="B1662" s="68"/>
      <c r="C1662" s="68"/>
      <c r="D1662" s="69" t="str">
        <f>CONCATENATE(PROPER('DASMA INFO'!$G1662),", ",PROPER('DASMA INFO'!$E1662)," ",PROPER('DASMA INFO'!$F1662),"."," (",UPPER('DASMA INFO'!$H1662),")")</f>
        <v>Ladica, Remy Obuda. ()</v>
      </c>
      <c r="E1662" s="70" t="s">
        <v>2975</v>
      </c>
      <c r="F1662" s="69" t="s">
        <v>2976</v>
      </c>
      <c r="G1662" s="70" t="s">
        <v>2921</v>
      </c>
      <c r="H1662" s="69"/>
      <c r="I1662" s="92">
        <v>0.05</v>
      </c>
      <c r="J1662" s="93">
        <v>1000.0</v>
      </c>
      <c r="K1662" s="73" t="s">
        <v>2977</v>
      </c>
      <c r="L1662" s="73"/>
      <c r="M1662" s="73"/>
      <c r="N1662" s="74"/>
    </row>
    <row r="1663" ht="30.0" hidden="1" customHeight="1">
      <c r="A1663" s="68">
        <v>1679.0</v>
      </c>
      <c r="B1663" s="68"/>
      <c r="C1663" s="68"/>
      <c r="D1663" s="69" t="str">
        <f>CONCATENATE(PROPER('DASMA INFO'!$G1663),", ",PROPER('DASMA INFO'!$E1663)," ",PROPER('DASMA INFO'!$F1663),"."," (",UPPER('DASMA INFO'!$H1663),")")</f>
        <v>Castillo, Jonalyn Labatos. ()</v>
      </c>
      <c r="E1663" s="70" t="s">
        <v>1959</v>
      </c>
      <c r="F1663" s="69" t="s">
        <v>2978</v>
      </c>
      <c r="G1663" s="70" t="s">
        <v>1184</v>
      </c>
      <c r="H1663" s="69"/>
      <c r="I1663" s="92">
        <v>0.05</v>
      </c>
      <c r="J1663" s="93">
        <v>1000.0</v>
      </c>
      <c r="K1663" s="73" t="s">
        <v>2979</v>
      </c>
      <c r="L1663" s="73"/>
      <c r="M1663" s="73"/>
      <c r="N1663" s="74" t="s">
        <v>165</v>
      </c>
    </row>
    <row r="1664" ht="30.0" hidden="1" customHeight="1">
      <c r="A1664" s="68">
        <v>1680.0</v>
      </c>
      <c r="B1664" s="68"/>
      <c r="C1664" s="68"/>
      <c r="D1664" s="69" t="str">
        <f>CONCATENATE(PROPER('DASMA INFO'!$G1664),", ",PROPER('DASMA INFO'!$E1664)," ",PROPER('DASMA INFO'!$F1664),"."," (",UPPER('DASMA INFO'!$H1664),")")</f>
        <v>Co, Roygien Concepcion. ()</v>
      </c>
      <c r="E1664" s="70" t="s">
        <v>2980</v>
      </c>
      <c r="F1664" s="69" t="s">
        <v>508</v>
      </c>
      <c r="G1664" s="70" t="s">
        <v>2981</v>
      </c>
      <c r="H1664" s="69"/>
      <c r="I1664" s="105">
        <v>0.12</v>
      </c>
      <c r="J1664" s="106">
        <v>1000.0</v>
      </c>
      <c r="K1664" s="73" t="s">
        <v>1276</v>
      </c>
      <c r="L1664" s="73"/>
      <c r="M1664" s="73"/>
      <c r="N1664" s="74"/>
    </row>
    <row r="1665" ht="30.0" hidden="1" customHeight="1">
      <c r="A1665" s="68">
        <v>1681.0</v>
      </c>
      <c r="B1665" s="68"/>
      <c r="C1665" s="68"/>
      <c r="D1665" s="69" t="str">
        <f>CONCATENATE(PROPER('DASMA INFO'!$G1665),", ",PROPER('DASMA INFO'!$E1665)," ",PROPER('DASMA INFO'!$F1665),"."," (",UPPER('DASMA INFO'!$H1665),")")</f>
        <v>Leones, Rainez Tablang. ()</v>
      </c>
      <c r="E1665" s="70" t="s">
        <v>2982</v>
      </c>
      <c r="F1665" s="69" t="s">
        <v>1374</v>
      </c>
      <c r="G1665" s="70" t="s">
        <v>2983</v>
      </c>
      <c r="H1665" s="69"/>
      <c r="I1665" s="92">
        <v>0.05</v>
      </c>
      <c r="J1665" s="93">
        <v>1000.0</v>
      </c>
      <c r="K1665" s="73" t="s">
        <v>2984</v>
      </c>
      <c r="L1665" s="73"/>
      <c r="M1665" s="73"/>
      <c r="N1665" s="73" t="s">
        <v>2985</v>
      </c>
    </row>
    <row r="1666" ht="30.0" hidden="1" customHeight="1">
      <c r="A1666" s="68">
        <v>1682.0</v>
      </c>
      <c r="B1666" s="68"/>
      <c r="C1666" s="68"/>
      <c r="D1666" s="69" t="str">
        <f>CONCATENATE(PROPER('DASMA INFO'!$G1666),", ",PROPER('DASMA INFO'!$E1666)," ",PROPER('DASMA INFO'!$F1666),"."," (",UPPER('DASMA INFO'!$H1666),")")</f>
        <v>Saludar, Renelda Acebuche. ()</v>
      </c>
      <c r="E1666" s="70" t="s">
        <v>2986</v>
      </c>
      <c r="F1666" s="69" t="s">
        <v>2987</v>
      </c>
      <c r="G1666" s="70" t="s">
        <v>2988</v>
      </c>
      <c r="H1666" s="69"/>
      <c r="I1666" s="105">
        <v>0.12</v>
      </c>
      <c r="J1666" s="106">
        <v>1000.0</v>
      </c>
      <c r="K1666" s="73" t="s">
        <v>2989</v>
      </c>
      <c r="L1666" s="73"/>
      <c r="M1666" s="73"/>
      <c r="N1666" s="74"/>
    </row>
    <row r="1667" ht="30.0" hidden="1" customHeight="1">
      <c r="A1667" s="68">
        <v>1683.0</v>
      </c>
      <c r="B1667" s="68"/>
      <c r="C1667" s="68"/>
      <c r="D1667" s="69" t="str">
        <f>CONCATENATE(PROPER('DASMA INFO'!$G1667),", ",PROPER('DASMA INFO'!$E1667)," ",PROPER('DASMA INFO'!$F1667),"."," (",UPPER('DASMA INFO'!$H1667),")")</f>
        <v>Francia, Jonna Ann Pante. ()</v>
      </c>
      <c r="E1667" s="70" t="s">
        <v>2990</v>
      </c>
      <c r="F1667" s="69" t="s">
        <v>2991</v>
      </c>
      <c r="G1667" s="70" t="s">
        <v>2251</v>
      </c>
      <c r="H1667" s="69"/>
      <c r="I1667" s="105">
        <v>0.12</v>
      </c>
      <c r="J1667" s="106">
        <v>1000.0</v>
      </c>
      <c r="K1667" s="73" t="s">
        <v>2979</v>
      </c>
      <c r="L1667" s="73"/>
      <c r="M1667" s="73"/>
      <c r="N1667" s="74"/>
    </row>
    <row r="1668" ht="30.0" hidden="1" customHeight="1">
      <c r="A1668" s="68">
        <v>1684.0</v>
      </c>
      <c r="B1668" s="68"/>
      <c r="C1668" s="68"/>
      <c r="D1668" s="69" t="str">
        <f>CONCATENATE(PROPER('DASMA INFO'!$G1668),", ",PROPER('DASMA INFO'!$E1668)," ",PROPER('DASMA INFO'!$F1668),"."," (",UPPER('DASMA INFO'!$H1668),")")</f>
        <v>Algura, Amnalyn Llacura. ()</v>
      </c>
      <c r="E1668" s="70" t="s">
        <v>2992</v>
      </c>
      <c r="F1668" s="69" t="s">
        <v>2993</v>
      </c>
      <c r="G1668" s="70" t="s">
        <v>2994</v>
      </c>
      <c r="H1668" s="69"/>
      <c r="I1668" s="105">
        <v>0.12</v>
      </c>
      <c r="J1668" s="106">
        <v>1000.0</v>
      </c>
      <c r="K1668" s="73" t="s">
        <v>2979</v>
      </c>
      <c r="L1668" s="73"/>
      <c r="M1668" s="73"/>
      <c r="N1668" s="74"/>
    </row>
    <row r="1669" ht="30.0" hidden="1" customHeight="1">
      <c r="A1669" s="68">
        <v>1685.0</v>
      </c>
      <c r="B1669" s="68"/>
      <c r="C1669" s="68"/>
      <c r="D1669" s="69" t="str">
        <f>CONCATENATE(PROPER('DASMA INFO'!$G1669),", ",PROPER('DASMA INFO'!$E1669)," ",PROPER('DASMA INFO'!$F1669),"."," (",UPPER('DASMA INFO'!$H1669),")")</f>
        <v>Francisco, Michael Aquino. ()</v>
      </c>
      <c r="E1669" s="70" t="s">
        <v>38</v>
      </c>
      <c r="F1669" s="69" t="s">
        <v>331</v>
      </c>
      <c r="G1669" s="70" t="s">
        <v>509</v>
      </c>
      <c r="H1669" s="69"/>
      <c r="I1669" s="105">
        <v>0.12</v>
      </c>
      <c r="J1669" s="106">
        <v>2000.0</v>
      </c>
      <c r="K1669" s="73" t="s">
        <v>2989</v>
      </c>
      <c r="L1669" s="73"/>
      <c r="M1669" s="73"/>
      <c r="N1669" s="74"/>
    </row>
    <row r="1670" ht="30.0" hidden="1" customHeight="1">
      <c r="A1670" s="68">
        <v>1686.0</v>
      </c>
      <c r="B1670" s="68"/>
      <c r="C1670" s="68"/>
      <c r="D1670" s="69" t="str">
        <f>CONCATENATE(PROPER('DASMA INFO'!$G1670),", ",PROPER('DASMA INFO'!$E1670)," ",PROPER('DASMA INFO'!$F1670),"."," (",UPPER('DASMA INFO'!$H1670),")")</f>
        <v>,  . ()</v>
      </c>
      <c r="E1670" s="70"/>
      <c r="F1670" s="69"/>
      <c r="G1670" s="70"/>
      <c r="H1670" s="69"/>
      <c r="I1670" s="105">
        <v>0.12</v>
      </c>
      <c r="J1670" s="106">
        <v>1000.0</v>
      </c>
      <c r="K1670" s="73"/>
      <c r="L1670" s="73"/>
      <c r="M1670" s="73"/>
      <c r="N1670" s="74"/>
    </row>
    <row r="1671" ht="30.0" hidden="1" customHeight="1">
      <c r="A1671" s="68">
        <v>1687.0</v>
      </c>
      <c r="B1671" s="68"/>
      <c r="C1671" s="68"/>
      <c r="D1671" s="69" t="str">
        <f>CONCATENATE(PROPER('DASMA INFO'!$G1671),", ",PROPER('DASMA INFO'!$E1671)," ",PROPER('DASMA INFO'!$F1671),"."," (",UPPER('DASMA INFO'!$H1671),")")</f>
        <v>Moresca, Grace B. ()</v>
      </c>
      <c r="E1671" s="70" t="s">
        <v>1724</v>
      </c>
      <c r="F1671" s="69" t="s">
        <v>627</v>
      </c>
      <c r="G1671" s="70" t="s">
        <v>2995</v>
      </c>
      <c r="H1671" s="69"/>
      <c r="I1671" s="92">
        <v>0.05</v>
      </c>
      <c r="J1671" s="93">
        <v>1000.0</v>
      </c>
      <c r="K1671" s="73" t="s">
        <v>2941</v>
      </c>
      <c r="L1671" s="73"/>
      <c r="M1671" s="73"/>
      <c r="N1671" s="74"/>
    </row>
    <row r="1672" ht="30.0" hidden="1" customHeight="1">
      <c r="A1672" s="68">
        <v>1688.0</v>
      </c>
      <c r="B1672" s="68"/>
      <c r="C1672" s="68"/>
      <c r="D1672" s="69" t="str">
        <f>CONCATENATE(PROPER('DASMA INFO'!$G1672),", ",PROPER('DASMA INFO'!$E1672)," ",PROPER('DASMA INFO'!$F1672),"."," (",UPPER('DASMA INFO'!$H1672),")")</f>
        <v>Ramos, Esperanza G. ()</v>
      </c>
      <c r="E1672" s="70" t="s">
        <v>2996</v>
      </c>
      <c r="F1672" s="69" t="s">
        <v>1032</v>
      </c>
      <c r="G1672" s="70" t="s">
        <v>74</v>
      </c>
      <c r="H1672" s="69"/>
      <c r="I1672" s="105">
        <v>0.12</v>
      </c>
      <c r="J1672" s="106">
        <v>1000.0</v>
      </c>
      <c r="K1672" s="73" t="s">
        <v>1816</v>
      </c>
      <c r="L1672" s="73"/>
      <c r="M1672" s="73"/>
      <c r="N1672" s="74"/>
    </row>
    <row r="1673" ht="30.0" hidden="1" customHeight="1">
      <c r="A1673" s="68">
        <v>1689.0</v>
      </c>
      <c r="B1673" s="68"/>
      <c r="C1673" s="68"/>
      <c r="D1673" s="69" t="str">
        <f>CONCATENATE(PROPER('DASMA INFO'!$G1673),", ",PROPER('DASMA INFO'!$E1673)," ",PROPER('DASMA INFO'!$F1673),"."," (",UPPER('DASMA INFO'!$H1673),")")</f>
        <v>Marcelo, Aurora Reyes. ()</v>
      </c>
      <c r="E1673" s="70" t="s">
        <v>109</v>
      </c>
      <c r="F1673" s="69" t="s">
        <v>122</v>
      </c>
      <c r="G1673" s="70" t="s">
        <v>1021</v>
      </c>
      <c r="H1673" s="69"/>
      <c r="I1673" s="105">
        <v>0.12</v>
      </c>
      <c r="J1673" s="106">
        <v>1000.0</v>
      </c>
      <c r="K1673" s="73" t="s">
        <v>2979</v>
      </c>
      <c r="L1673" s="73"/>
      <c r="M1673" s="73"/>
      <c r="N1673" s="74"/>
    </row>
    <row r="1674" ht="30.0" hidden="1" customHeight="1">
      <c r="A1674" s="68">
        <v>1690.0</v>
      </c>
      <c r="B1674" s="68"/>
      <c r="C1674" s="68"/>
      <c r="D1674" s="69" t="str">
        <f>CONCATENATE(PROPER('DASMA INFO'!$G1674),", ",PROPER('DASMA INFO'!$E1674)," ",PROPER('DASMA INFO'!$F1674),"."," (",UPPER('DASMA INFO'!$H1674),")")</f>
        <v>Ernacio, Rosela De Asas. ()</v>
      </c>
      <c r="E1674" s="70" t="s">
        <v>2997</v>
      </c>
      <c r="F1674" s="69" t="s">
        <v>2998</v>
      </c>
      <c r="G1674" s="70" t="s">
        <v>2999</v>
      </c>
      <c r="H1674" s="69"/>
      <c r="I1674" s="92">
        <v>0.05</v>
      </c>
      <c r="J1674" s="93">
        <v>1000.0</v>
      </c>
      <c r="K1674" s="73" t="s">
        <v>50</v>
      </c>
      <c r="L1674" s="73"/>
      <c r="M1674" s="73"/>
      <c r="N1674" s="74"/>
    </row>
    <row r="1675" ht="30.0" hidden="1" customHeight="1">
      <c r="A1675" s="68">
        <v>1691.0</v>
      </c>
      <c r="B1675" s="68"/>
      <c r="C1675" s="68"/>
      <c r="D1675" s="69" t="str">
        <f>CONCATENATE(PROPER('DASMA INFO'!$G1675),", ",PROPER('DASMA INFO'!$E1675)," ",PROPER('DASMA INFO'!$F1675),"."," (",UPPER('DASMA INFO'!$H1675),")")</f>
        <v>Deleon, Flordelyn Gomez. ()</v>
      </c>
      <c r="E1675" s="70" t="s">
        <v>3000</v>
      </c>
      <c r="F1675" s="69" t="s">
        <v>1281</v>
      </c>
      <c r="G1675" s="70" t="s">
        <v>3001</v>
      </c>
      <c r="H1675" s="69"/>
      <c r="I1675" s="92">
        <v>0.05</v>
      </c>
      <c r="J1675" s="93">
        <v>5000.0</v>
      </c>
      <c r="K1675" s="73" t="s">
        <v>2957</v>
      </c>
      <c r="L1675" s="73"/>
      <c r="M1675" s="73"/>
      <c r="N1675" s="74"/>
    </row>
    <row r="1676" ht="30.0" hidden="1" customHeight="1">
      <c r="A1676" s="68">
        <v>1692.0</v>
      </c>
      <c r="B1676" s="68"/>
      <c r="C1676" s="68"/>
      <c r="D1676" s="69" t="str">
        <f>CONCATENATE(PROPER('DASMA INFO'!$G1676),", ",PROPER('DASMA INFO'!$E1676)," ",PROPER('DASMA INFO'!$F1676),"."," (",UPPER('DASMA INFO'!$H1676),")")</f>
        <v>,  . ()</v>
      </c>
      <c r="E1676" s="70"/>
      <c r="F1676" s="69"/>
      <c r="G1676" s="70"/>
      <c r="H1676" s="69"/>
      <c r="I1676" s="105">
        <v>0.12</v>
      </c>
      <c r="J1676" s="106">
        <v>1000.0</v>
      </c>
      <c r="K1676" s="73"/>
      <c r="L1676" s="73"/>
      <c r="M1676" s="73"/>
      <c r="N1676" s="74"/>
    </row>
    <row r="1677" ht="30.0" hidden="1" customHeight="1">
      <c r="A1677" s="68">
        <v>1693.0</v>
      </c>
      <c r="B1677" s="68"/>
      <c r="C1677" s="68"/>
      <c r="D1677" s="69" t="str">
        <f>CONCATENATE(PROPER('DASMA INFO'!$G1677),", ",PROPER('DASMA INFO'!$E1677)," ",PROPER('DASMA INFO'!$F1677),"."," (",UPPER('DASMA INFO'!$H1677),")")</f>
        <v>Divinagracia, Ma Francia Sancho. ()</v>
      </c>
      <c r="E1677" s="70" t="s">
        <v>3002</v>
      </c>
      <c r="F1677" s="69" t="s">
        <v>3003</v>
      </c>
      <c r="G1677" s="70" t="s">
        <v>3004</v>
      </c>
      <c r="H1677" s="69"/>
      <c r="I1677" s="105">
        <v>0.12</v>
      </c>
      <c r="J1677" s="106">
        <v>1000.0</v>
      </c>
      <c r="K1677" s="73" t="s">
        <v>3005</v>
      </c>
      <c r="L1677" s="73"/>
      <c r="M1677" s="73"/>
      <c r="N1677" s="74"/>
    </row>
    <row r="1678" ht="30.0" hidden="1" customHeight="1">
      <c r="A1678" s="68">
        <v>1694.0</v>
      </c>
      <c r="B1678" s="68"/>
      <c r="C1678" s="68"/>
      <c r="D1678" s="69" t="str">
        <f>CONCATENATE(PROPER('DASMA INFO'!$G1678),", ",PROPER('DASMA INFO'!$E1678)," ",PROPER('DASMA INFO'!$F1678),"."," (",UPPER('DASMA INFO'!$H1678),")")</f>
        <v>Ilagan, Maria Consuelo E. ()</v>
      </c>
      <c r="E1678" s="70" t="s">
        <v>3006</v>
      </c>
      <c r="F1678" s="69" t="s">
        <v>299</v>
      </c>
      <c r="G1678" s="70" t="s">
        <v>738</v>
      </c>
      <c r="H1678" s="69"/>
      <c r="I1678" s="92">
        <v>0.05</v>
      </c>
      <c r="J1678" s="93">
        <v>1000.0</v>
      </c>
      <c r="K1678" s="73" t="s">
        <v>3007</v>
      </c>
      <c r="L1678" s="73"/>
      <c r="M1678" s="73"/>
      <c r="N1678" s="74"/>
    </row>
    <row r="1679" ht="30.0" hidden="1" customHeight="1">
      <c r="A1679" s="68">
        <v>1695.0</v>
      </c>
      <c r="B1679" s="68"/>
      <c r="C1679" s="68"/>
      <c r="D1679" s="69" t="str">
        <f>CONCATENATE(PROPER('DASMA INFO'!$G1679),", ",PROPER('DASMA INFO'!$E1679)," ",PROPER('DASMA INFO'!$F1679),"."," (",UPPER('DASMA INFO'!$H1679),")")</f>
        <v>Cruz, Ruth Santos. ()</v>
      </c>
      <c r="E1679" s="70" t="s">
        <v>1080</v>
      </c>
      <c r="F1679" s="69" t="s">
        <v>204</v>
      </c>
      <c r="G1679" s="70" t="s">
        <v>676</v>
      </c>
      <c r="H1679" s="69"/>
      <c r="I1679" s="105">
        <v>0.12</v>
      </c>
      <c r="J1679" s="106">
        <v>1000.0</v>
      </c>
      <c r="K1679" s="73" t="s">
        <v>1596</v>
      </c>
      <c r="L1679" s="73"/>
      <c r="M1679" s="73"/>
      <c r="N1679" s="74"/>
    </row>
    <row r="1680" ht="30.0" hidden="1" customHeight="1">
      <c r="A1680" s="68">
        <v>1696.0</v>
      </c>
      <c r="B1680" s="68"/>
      <c r="C1680" s="68"/>
      <c r="D1680" s="69" t="str">
        <f>CONCATENATE(PROPER('DASMA INFO'!$G1680),", ",PROPER('DASMA INFO'!$E1680)," ",PROPER('DASMA INFO'!$F1680),"."," (",UPPER('DASMA INFO'!$H1680),")")</f>
        <v>Upo, Gregorio A. ()</v>
      </c>
      <c r="E1680" s="70" t="s">
        <v>400</v>
      </c>
      <c r="F1680" s="69" t="s">
        <v>427</v>
      </c>
      <c r="G1680" s="70" t="s">
        <v>3008</v>
      </c>
      <c r="H1680" s="69"/>
      <c r="I1680" s="105">
        <v>0.12</v>
      </c>
      <c r="J1680" s="106">
        <v>1000.0</v>
      </c>
      <c r="K1680" s="73" t="s">
        <v>3009</v>
      </c>
      <c r="L1680" s="73"/>
      <c r="M1680" s="73"/>
      <c r="N1680" s="74"/>
    </row>
    <row r="1681" ht="30.0" hidden="1" customHeight="1">
      <c r="A1681" s="68">
        <v>1697.0</v>
      </c>
      <c r="B1681" s="68"/>
      <c r="C1681" s="68"/>
      <c r="D1681" s="69" t="str">
        <f>CONCATENATE(PROPER('DASMA INFO'!$G1681),", ",PROPER('DASMA INFO'!$E1681)," ",PROPER('DASMA INFO'!$F1681),"."," (",UPPER('DASMA INFO'!$H1681),")")</f>
        <v>Creus, Marina Mojica. ()</v>
      </c>
      <c r="E1681" s="70" t="s">
        <v>3010</v>
      </c>
      <c r="F1681" s="69" t="s">
        <v>2462</v>
      </c>
      <c r="G1681" s="70" t="s">
        <v>3011</v>
      </c>
      <c r="H1681" s="69"/>
      <c r="I1681" s="105">
        <v>0.12</v>
      </c>
      <c r="J1681" s="106">
        <v>1000.0</v>
      </c>
      <c r="K1681" s="73" t="s">
        <v>2928</v>
      </c>
      <c r="L1681" s="73"/>
      <c r="M1681" s="73"/>
      <c r="N1681" s="74"/>
    </row>
    <row r="1682" ht="30.0" hidden="1" customHeight="1">
      <c r="A1682" s="68">
        <v>1698.0</v>
      </c>
      <c r="B1682" s="68"/>
      <c r="C1682" s="68"/>
      <c r="D1682" s="69" t="str">
        <f>CONCATENATE(PROPER('DASMA INFO'!$G1682),", ",PROPER('DASMA INFO'!$E1682)," ",PROPER('DASMA INFO'!$F1682),"."," (",UPPER('DASMA INFO'!$H1682),")")</f>
        <v>Soledad, Debbie Frondozo. ()</v>
      </c>
      <c r="E1682" s="70" t="s">
        <v>3012</v>
      </c>
      <c r="F1682" s="69" t="s">
        <v>3013</v>
      </c>
      <c r="G1682" s="70" t="s">
        <v>3014</v>
      </c>
      <c r="H1682" s="69"/>
      <c r="I1682" s="105">
        <v>0.12</v>
      </c>
      <c r="J1682" s="106">
        <v>1000.0</v>
      </c>
      <c r="K1682" s="73" t="s">
        <v>1053</v>
      </c>
      <c r="L1682" s="73"/>
      <c r="M1682" s="73"/>
      <c r="N1682" s="74"/>
    </row>
    <row r="1683" ht="30.0" hidden="1" customHeight="1">
      <c r="A1683" s="68">
        <v>1699.0</v>
      </c>
      <c r="B1683" s="68"/>
      <c r="C1683" s="68"/>
      <c r="D1683" s="69" t="str">
        <f>CONCATENATE(PROPER('DASMA INFO'!$G1683),", ",PROPER('DASMA INFO'!$E1683)," ",PROPER('DASMA INFO'!$F1683),"."," (",UPPER('DASMA INFO'!$H1683),")")</f>
        <v>De Leon, Reah Yap. ()</v>
      </c>
      <c r="E1683" s="70" t="s">
        <v>3015</v>
      </c>
      <c r="F1683" s="69" t="s">
        <v>3016</v>
      </c>
      <c r="G1683" s="70" t="s">
        <v>1136</v>
      </c>
      <c r="H1683" s="69"/>
      <c r="I1683" s="92">
        <v>0.05</v>
      </c>
      <c r="J1683" s="93">
        <v>1000.0</v>
      </c>
      <c r="K1683" s="73" t="s">
        <v>1276</v>
      </c>
      <c r="L1683" s="73"/>
      <c r="M1683" s="73"/>
      <c r="N1683" s="73" t="s">
        <v>165</v>
      </c>
    </row>
    <row r="1684" ht="30.0" hidden="1" customHeight="1">
      <c r="A1684" s="68">
        <v>1700.0</v>
      </c>
      <c r="B1684" s="68"/>
      <c r="C1684" s="68"/>
      <c r="D1684" s="69" t="str">
        <f>CONCATENATE(PROPER('DASMA INFO'!$G1684),", ",PROPER('DASMA INFO'!$E1684)," ",PROPER('DASMA INFO'!$F1684),"."," (",UPPER('DASMA INFO'!$H1684),")")</f>
        <v>Albrecht, Analyn Catoto. ()</v>
      </c>
      <c r="E1684" s="70" t="s">
        <v>151</v>
      </c>
      <c r="F1684" s="69" t="s">
        <v>3017</v>
      </c>
      <c r="G1684" s="70" t="s">
        <v>152</v>
      </c>
      <c r="H1684" s="69"/>
      <c r="I1684" s="105">
        <v>0.12</v>
      </c>
      <c r="J1684" s="106">
        <v>1000.0</v>
      </c>
      <c r="K1684" s="73" t="s">
        <v>1276</v>
      </c>
      <c r="L1684" s="73"/>
      <c r="M1684" s="73"/>
      <c r="N1684" s="74"/>
    </row>
    <row r="1685" ht="30.0" hidden="1" customHeight="1">
      <c r="A1685" s="68">
        <v>1701.0</v>
      </c>
      <c r="B1685" s="68"/>
      <c r="C1685" s="68"/>
      <c r="D1685" s="69" t="str">
        <f>CONCATENATE(PROPER('DASMA INFO'!$G1685),", ",PROPER('DASMA INFO'!$E1685)," ",PROPER('DASMA INFO'!$F1685),"."," (",UPPER('DASMA INFO'!$H1685),")")</f>
        <v>Flores, Marvin Batain. ()</v>
      </c>
      <c r="E1685" s="70" t="s">
        <v>809</v>
      </c>
      <c r="F1685" s="69" t="s">
        <v>3018</v>
      </c>
      <c r="G1685" s="70" t="s">
        <v>605</v>
      </c>
      <c r="H1685" s="69"/>
      <c r="I1685" s="105">
        <v>0.12</v>
      </c>
      <c r="J1685" s="106">
        <v>1000.0</v>
      </c>
      <c r="K1685" s="73" t="s">
        <v>2979</v>
      </c>
      <c r="L1685" s="73"/>
      <c r="M1685" s="73"/>
      <c r="N1685" s="74"/>
    </row>
    <row r="1686" ht="30.0" hidden="1" customHeight="1">
      <c r="A1686" s="68">
        <v>1702.0</v>
      </c>
      <c r="B1686" s="68"/>
      <c r="C1686" s="68"/>
      <c r="D1686" s="69" t="str">
        <f>CONCATENATE(PROPER('DASMA INFO'!$G1686),", ",PROPER('DASMA INFO'!$E1686)," ",PROPER('DASMA INFO'!$F1686),"."," (",UPPER('DASMA INFO'!$H1686),")")</f>
        <v>Go, Michelle Javier. ()</v>
      </c>
      <c r="E1686" s="70" t="s">
        <v>1469</v>
      </c>
      <c r="F1686" s="69" t="s">
        <v>1447</v>
      </c>
      <c r="G1686" s="70" t="s">
        <v>1410</v>
      </c>
      <c r="H1686" s="69"/>
      <c r="I1686" s="105">
        <v>0.12</v>
      </c>
      <c r="J1686" s="106">
        <v>1000.0</v>
      </c>
      <c r="K1686" s="73" t="s">
        <v>1596</v>
      </c>
      <c r="L1686" s="73"/>
      <c r="M1686" s="73"/>
      <c r="N1686" s="74"/>
    </row>
    <row r="1687" ht="30.0" hidden="1" customHeight="1">
      <c r="A1687" s="68">
        <v>1703.0</v>
      </c>
      <c r="B1687" s="68"/>
      <c r="C1687" s="68"/>
      <c r="D1687" s="69" t="str">
        <f>CONCATENATE(PROPER('DASMA INFO'!$G1687),", ",PROPER('DASMA INFO'!$E1687)," ",PROPER('DASMA INFO'!$F1687),"."," (",UPPER('DASMA INFO'!$H1687),")")</f>
        <v>Alvarez, Anabel Bueno. ()</v>
      </c>
      <c r="E1687" s="70" t="s">
        <v>3019</v>
      </c>
      <c r="F1687" s="69" t="s">
        <v>3020</v>
      </c>
      <c r="G1687" s="70" t="s">
        <v>1206</v>
      </c>
      <c r="H1687" s="69"/>
      <c r="I1687" s="105">
        <v>0.12</v>
      </c>
      <c r="J1687" s="106">
        <v>1000.0</v>
      </c>
      <c r="K1687" s="73" t="s">
        <v>1131</v>
      </c>
      <c r="L1687" s="73"/>
      <c r="M1687" s="73"/>
      <c r="N1687" s="74"/>
    </row>
    <row r="1688" ht="30.0" hidden="1" customHeight="1">
      <c r="A1688" s="68">
        <v>1704.0</v>
      </c>
      <c r="B1688" s="68"/>
      <c r="C1688" s="68"/>
      <c r="D1688" s="69" t="str">
        <f>CONCATENATE(PROPER('DASMA INFO'!$G1688),", ",PROPER('DASMA INFO'!$E1688)," ",PROPER('DASMA INFO'!$F1688),"."," (",UPPER('DASMA INFO'!$H1688),")")</f>
        <v>Mojica, Mel Bonifacio. ()</v>
      </c>
      <c r="E1688" s="70" t="s">
        <v>3021</v>
      </c>
      <c r="F1688" s="69" t="s">
        <v>3022</v>
      </c>
      <c r="G1688" s="70" t="s">
        <v>2462</v>
      </c>
      <c r="H1688" s="69"/>
      <c r="I1688" s="92">
        <v>0.05</v>
      </c>
      <c r="J1688" s="93">
        <v>1000.0</v>
      </c>
      <c r="K1688" s="73" t="s">
        <v>50</v>
      </c>
      <c r="L1688" s="73"/>
      <c r="M1688" s="73"/>
      <c r="N1688" s="74"/>
    </row>
    <row r="1689" ht="30.0" hidden="1" customHeight="1">
      <c r="A1689" s="68">
        <v>1705.0</v>
      </c>
      <c r="B1689" s="68"/>
      <c r="C1689" s="68"/>
      <c r="D1689" s="69" t="str">
        <f>CONCATENATE(PROPER('DASMA INFO'!$G1689),", ",PROPER('DASMA INFO'!$E1689)," ",PROPER('DASMA INFO'!$F1689),"."," (",UPPER('DASMA INFO'!$H1689),")")</f>
        <v>Baquilod, Benjie Gunda. ()</v>
      </c>
      <c r="E1689" s="70" t="s">
        <v>3023</v>
      </c>
      <c r="F1689" s="69" t="s">
        <v>3024</v>
      </c>
      <c r="G1689" s="70" t="s">
        <v>3025</v>
      </c>
      <c r="H1689" s="69"/>
      <c r="I1689" s="105">
        <v>0.12</v>
      </c>
      <c r="J1689" s="106">
        <v>1000.0</v>
      </c>
      <c r="K1689" s="73" t="s">
        <v>1276</v>
      </c>
      <c r="L1689" s="73"/>
      <c r="M1689" s="73"/>
      <c r="N1689" s="74"/>
    </row>
    <row r="1690" ht="30.0" hidden="1" customHeight="1">
      <c r="A1690" s="68">
        <v>1706.0</v>
      </c>
      <c r="B1690" s="68"/>
      <c r="C1690" s="68"/>
      <c r="D1690" s="69" t="str">
        <f>CONCATENATE(PROPER('DASMA INFO'!$G1690),", ",PROPER('DASMA INFO'!$E1690)," ",PROPER('DASMA INFO'!$F1690),"."," (",UPPER('DASMA INFO'!$H1690),")")</f>
        <v>Mendoza, Robbel Gonzales. ()</v>
      </c>
      <c r="E1690" s="70" t="s">
        <v>3026</v>
      </c>
      <c r="F1690" s="69" t="s">
        <v>394</v>
      </c>
      <c r="G1690" s="70" t="s">
        <v>775</v>
      </c>
      <c r="H1690" s="69"/>
      <c r="I1690" s="92">
        <v>0.05</v>
      </c>
      <c r="J1690" s="93">
        <v>1000.0</v>
      </c>
      <c r="K1690" s="73" t="s">
        <v>3027</v>
      </c>
      <c r="L1690" s="73"/>
      <c r="M1690" s="73"/>
      <c r="N1690" s="74" t="s">
        <v>50</v>
      </c>
    </row>
    <row r="1691" ht="30.0" hidden="1" customHeight="1">
      <c r="A1691" s="68">
        <v>1707.0</v>
      </c>
      <c r="B1691" s="68"/>
      <c r="C1691" s="68"/>
      <c r="D1691" s="69" t="str">
        <f>CONCATENATE(PROPER('DASMA INFO'!$G1691),", ",PROPER('DASMA INFO'!$E1691)," ",PROPER('DASMA INFO'!$F1691),"."," (",UPPER('DASMA INFO'!$H1691),")")</f>
        <v>Flores, Ecstacy Palecpec. ()</v>
      </c>
      <c r="E1691" s="70" t="s">
        <v>3028</v>
      </c>
      <c r="F1691" s="69" t="s">
        <v>3029</v>
      </c>
      <c r="G1691" s="70" t="s">
        <v>605</v>
      </c>
      <c r="H1691" s="69"/>
      <c r="I1691" s="105">
        <v>0.12</v>
      </c>
      <c r="J1691" s="106">
        <v>1000.0</v>
      </c>
      <c r="K1691" s="73" t="s">
        <v>2928</v>
      </c>
      <c r="L1691" s="73"/>
      <c r="M1691" s="73"/>
      <c r="N1691" s="74"/>
    </row>
    <row r="1692" ht="30.0" hidden="1" customHeight="1">
      <c r="A1692" s="68">
        <v>1708.0</v>
      </c>
      <c r="B1692" s="68"/>
      <c r="C1692" s="68"/>
      <c r="D1692" s="69" t="str">
        <f>CONCATENATE(PROPER('DASMA INFO'!$G1692),", ",PROPER('DASMA INFO'!$E1692)," ",PROPER('DASMA INFO'!$F1692),"."," (",UPPER('DASMA INFO'!$H1692),")")</f>
        <v>Dumo, Reynaldo Cayari. ()</v>
      </c>
      <c r="E1692" s="70" t="s">
        <v>1028</v>
      </c>
      <c r="F1692" s="69" t="s">
        <v>3030</v>
      </c>
      <c r="G1692" s="70" t="s">
        <v>3031</v>
      </c>
      <c r="H1692" s="69"/>
      <c r="I1692" s="105">
        <v>0.12</v>
      </c>
      <c r="J1692" s="106">
        <v>1000.0</v>
      </c>
      <c r="K1692" s="73" t="s">
        <v>3032</v>
      </c>
      <c r="L1692" s="73"/>
      <c r="M1692" s="73"/>
      <c r="N1692" s="74"/>
    </row>
    <row r="1693" ht="30.0" hidden="1" customHeight="1">
      <c r="A1693" s="68">
        <v>1709.0</v>
      </c>
      <c r="B1693" s="68"/>
      <c r="C1693" s="68"/>
      <c r="D1693" s="69" t="str">
        <f>CONCATENATE(PROPER('DASMA INFO'!$G1693),", ",PROPER('DASMA INFO'!$E1693)," ",PROPER('DASMA INFO'!$F1693),"."," (",UPPER('DASMA INFO'!$H1693),")")</f>
        <v>Roque, Harvin Marquez. ()</v>
      </c>
      <c r="E1693" s="70" t="s">
        <v>3033</v>
      </c>
      <c r="F1693" s="69" t="s">
        <v>751</v>
      </c>
      <c r="G1693" s="70" t="s">
        <v>3034</v>
      </c>
      <c r="H1693" s="69"/>
      <c r="I1693" s="105">
        <v>0.12</v>
      </c>
      <c r="J1693" s="106">
        <v>1000.0</v>
      </c>
      <c r="K1693" s="73" t="s">
        <v>1276</v>
      </c>
      <c r="L1693" s="73"/>
      <c r="M1693" s="73"/>
      <c r="N1693" s="74"/>
    </row>
    <row r="1694" ht="30.0" hidden="1" customHeight="1">
      <c r="A1694" s="68">
        <v>1710.0</v>
      </c>
      <c r="B1694" s="68"/>
      <c r="C1694" s="68"/>
      <c r="D1694" s="69" t="str">
        <f>CONCATENATE(PROPER('DASMA INFO'!$G1694),", ",PROPER('DASMA INFO'!$E1694)," ",PROPER('DASMA INFO'!$F1694),"."," (",UPPER('DASMA INFO'!$H1694),")")</f>
        <v>Ramos, Kier Rustin Gundayao. ()</v>
      </c>
      <c r="E1694" s="70" t="s">
        <v>3035</v>
      </c>
      <c r="F1694" s="69" t="s">
        <v>3036</v>
      </c>
      <c r="G1694" s="70" t="s">
        <v>74</v>
      </c>
      <c r="H1694" s="69"/>
      <c r="I1694" s="92">
        <v>0.05</v>
      </c>
      <c r="J1694" s="93">
        <v>1000.0</v>
      </c>
      <c r="K1694" s="73" t="s">
        <v>3037</v>
      </c>
      <c r="L1694" s="73"/>
      <c r="M1694" s="73"/>
      <c r="N1694" s="74"/>
    </row>
    <row r="1695" ht="30.0" hidden="1" customHeight="1">
      <c r="A1695" s="68">
        <v>1711.0</v>
      </c>
      <c r="B1695" s="68"/>
      <c r="C1695" s="68"/>
      <c r="D1695" s="69" t="str">
        <f>CONCATENATE(PROPER('DASMA INFO'!$G1695),", ",PROPER('DASMA INFO'!$E1695)," ",PROPER('DASMA INFO'!$F1695),"."," (",UPPER('DASMA INFO'!$H1695),")")</f>
        <v>Cando, Anacito Brani. ()</v>
      </c>
      <c r="E1695" s="70" t="s">
        <v>3038</v>
      </c>
      <c r="F1695" s="69" t="s">
        <v>3039</v>
      </c>
      <c r="G1695" s="70" t="s">
        <v>3040</v>
      </c>
      <c r="H1695" s="69"/>
      <c r="I1695" s="105">
        <v>0.12</v>
      </c>
      <c r="J1695" s="106">
        <v>1000.0</v>
      </c>
      <c r="K1695" s="73" t="s">
        <v>2928</v>
      </c>
      <c r="L1695" s="73"/>
      <c r="M1695" s="73"/>
      <c r="N1695" s="74"/>
    </row>
    <row r="1696" ht="30.0" hidden="1" customHeight="1">
      <c r="A1696" s="68">
        <v>1712.0</v>
      </c>
      <c r="B1696" s="68"/>
      <c r="C1696" s="68"/>
      <c r="D1696" s="69" t="str">
        <f>CONCATENATE(PROPER('DASMA INFO'!$G1696),", ",PROPER('DASMA INFO'!$E1696)," ",PROPER('DASMA INFO'!$F1696),"."," (",UPPER('DASMA INFO'!$H1696),")")</f>
        <v>Masweng, Julius . ()</v>
      </c>
      <c r="E1696" s="70" t="s">
        <v>771</v>
      </c>
      <c r="F1696" s="69"/>
      <c r="G1696" s="70" t="s">
        <v>2877</v>
      </c>
      <c r="H1696" s="69"/>
      <c r="I1696" s="92">
        <v>0.05</v>
      </c>
      <c r="J1696" s="93">
        <v>1000.0</v>
      </c>
      <c r="K1696" s="73" t="s">
        <v>3041</v>
      </c>
      <c r="L1696" s="73"/>
      <c r="M1696" s="73"/>
      <c r="N1696" s="74"/>
    </row>
    <row r="1697" ht="30.0" hidden="1" customHeight="1">
      <c r="A1697" s="68">
        <v>1713.0</v>
      </c>
      <c r="B1697" s="68"/>
      <c r="C1697" s="68"/>
      <c r="D1697" s="69" t="str">
        <f>CONCATENATE(PROPER('DASMA INFO'!$G1697),", ",PROPER('DASMA INFO'!$E1697)," ",PROPER('DASMA INFO'!$F1697),"."," (",UPPER('DASMA INFO'!$H1697),")")</f>
        <v>Barredo, Paul B. ()</v>
      </c>
      <c r="E1697" s="70" t="s">
        <v>207</v>
      </c>
      <c r="F1697" s="69" t="s">
        <v>627</v>
      </c>
      <c r="G1697" s="70" t="s">
        <v>3042</v>
      </c>
      <c r="H1697" s="69"/>
      <c r="I1697" s="105">
        <v>0.12</v>
      </c>
      <c r="J1697" s="106">
        <v>1000.0</v>
      </c>
      <c r="K1697" s="73" t="s">
        <v>3043</v>
      </c>
      <c r="L1697" s="73"/>
      <c r="M1697" s="73"/>
      <c r="N1697" s="74"/>
    </row>
    <row r="1698" ht="30.0" hidden="1" customHeight="1">
      <c r="A1698" s="68">
        <v>1714.0</v>
      </c>
      <c r="B1698" s="68"/>
      <c r="C1698" s="68"/>
      <c r="D1698" s="69" t="str">
        <f>CONCATENATE(PROPER('DASMA INFO'!$G1698),", ",PROPER('DASMA INFO'!$E1698)," ",PROPER('DASMA INFO'!$F1698),"."," (",UPPER('DASMA INFO'!$H1698),")")</f>
        <v>Saludar, Ruth Joy Acebuche. ()</v>
      </c>
      <c r="E1698" s="70" t="s">
        <v>2342</v>
      </c>
      <c r="F1698" s="69" t="s">
        <v>2987</v>
      </c>
      <c r="G1698" s="70" t="s">
        <v>2988</v>
      </c>
      <c r="H1698" s="69"/>
      <c r="I1698" s="105">
        <v>0.12</v>
      </c>
      <c r="J1698" s="106">
        <v>1000.0</v>
      </c>
      <c r="K1698" s="73" t="s">
        <v>3044</v>
      </c>
      <c r="L1698" s="73"/>
      <c r="M1698" s="73"/>
      <c r="N1698" s="74"/>
    </row>
    <row r="1699" ht="30.0" hidden="1" customHeight="1">
      <c r="A1699" s="68">
        <v>1715.0</v>
      </c>
      <c r="B1699" s="68"/>
      <c r="C1699" s="68"/>
      <c r="D1699" s="69" t="str">
        <f>CONCATENATE(PROPER('DASMA INFO'!$G1699),", ",PROPER('DASMA INFO'!$E1699)," ",PROPER('DASMA INFO'!$F1699),"."," (",UPPER('DASMA INFO'!$H1699),")")</f>
        <v>Luyon, Edilbert Santos-Ocampo. ()</v>
      </c>
      <c r="E1699" s="70" t="s">
        <v>3045</v>
      </c>
      <c r="F1699" s="69" t="s">
        <v>3046</v>
      </c>
      <c r="G1699" s="70" t="s">
        <v>524</v>
      </c>
      <c r="H1699" s="69"/>
      <c r="I1699" s="105">
        <v>0.12</v>
      </c>
      <c r="J1699" s="106">
        <v>1000.0</v>
      </c>
      <c r="K1699" s="73" t="s">
        <v>1276</v>
      </c>
      <c r="L1699" s="73"/>
      <c r="M1699" s="73"/>
      <c r="N1699" s="74"/>
    </row>
    <row r="1700" ht="30.0" hidden="1" customHeight="1">
      <c r="A1700" s="68">
        <v>1716.0</v>
      </c>
      <c r="B1700" s="68"/>
      <c r="C1700" s="68"/>
      <c r="D1700" s="69" t="str">
        <f>CONCATENATE(PROPER('DASMA INFO'!$G1700),", ",PROPER('DASMA INFO'!$E1700)," ",PROPER('DASMA INFO'!$F1700),"."," (",UPPER('DASMA INFO'!$H1700),")")</f>
        <v>Bulaong, Gladys Ballaran. ()</v>
      </c>
      <c r="E1700" s="70" t="s">
        <v>2438</v>
      </c>
      <c r="F1700" s="69" t="s">
        <v>3047</v>
      </c>
      <c r="G1700" s="70" t="s">
        <v>420</v>
      </c>
      <c r="H1700" s="69"/>
      <c r="I1700" s="105">
        <v>0.12</v>
      </c>
      <c r="J1700" s="106">
        <v>1000.0</v>
      </c>
      <c r="K1700" s="73" t="s">
        <v>3027</v>
      </c>
      <c r="L1700" s="73"/>
      <c r="M1700" s="73"/>
      <c r="N1700" s="74"/>
    </row>
    <row r="1701" ht="30.0" hidden="1" customHeight="1">
      <c r="A1701" s="68">
        <v>1717.0</v>
      </c>
      <c r="B1701" s="68"/>
      <c r="C1701" s="68"/>
      <c r="D1701" s="69" t="str">
        <f>CONCATENATE(PROPER('DASMA INFO'!$G1701),", ",PROPER('DASMA INFO'!$E1701)," ",PROPER('DASMA INFO'!$F1701),"."," (",UPPER('DASMA INFO'!$H1701),")")</f>
        <v>Bulaong, Rommel Ocampo. ()</v>
      </c>
      <c r="E1701" s="70" t="s">
        <v>977</v>
      </c>
      <c r="F1701" s="69" t="s">
        <v>1074</v>
      </c>
      <c r="G1701" s="70" t="s">
        <v>420</v>
      </c>
      <c r="H1701" s="69"/>
      <c r="I1701" s="105">
        <v>0.12</v>
      </c>
      <c r="J1701" s="106">
        <v>1000.0</v>
      </c>
      <c r="K1701" s="73" t="s">
        <v>1276</v>
      </c>
      <c r="L1701" s="73"/>
      <c r="M1701" s="73"/>
      <c r="N1701" s="74"/>
    </row>
    <row r="1702" ht="30.0" hidden="1" customHeight="1">
      <c r="A1702" s="68">
        <v>1718.0</v>
      </c>
      <c r="B1702" s="68"/>
      <c r="C1702" s="68"/>
      <c r="D1702" s="69" t="str">
        <f>CONCATENATE(PROPER('DASMA INFO'!$G1702),", ",PROPER('DASMA INFO'!$E1702)," ",PROPER('DASMA INFO'!$F1702),"."," (",UPPER('DASMA INFO'!$H1702),")")</f>
        <v>Fernandez, Homer Portugues. ()</v>
      </c>
      <c r="E1702" s="70" t="s">
        <v>652</v>
      </c>
      <c r="F1702" s="69" t="s">
        <v>3048</v>
      </c>
      <c r="G1702" s="70" t="s">
        <v>762</v>
      </c>
      <c r="H1702" s="69"/>
      <c r="I1702" s="105">
        <v>0.12</v>
      </c>
      <c r="J1702" s="106">
        <v>1000.0</v>
      </c>
      <c r="K1702" s="73" t="s">
        <v>1053</v>
      </c>
      <c r="L1702" s="73"/>
      <c r="M1702" s="73"/>
      <c r="N1702" s="74"/>
    </row>
    <row r="1703" ht="30.0" hidden="1" customHeight="1">
      <c r="A1703" s="68">
        <v>1719.0</v>
      </c>
      <c r="B1703" s="68"/>
      <c r="C1703" s="68"/>
      <c r="D1703" s="69" t="str">
        <f>CONCATENATE(PROPER('DASMA INFO'!$G1703),", ",PROPER('DASMA INFO'!$E1703)," ",PROPER('DASMA INFO'!$F1703),"."," (",UPPER('DASMA INFO'!$H1703),")")</f>
        <v>Estefano, Jose Stephen E. ()</v>
      </c>
      <c r="E1703" s="70" t="s">
        <v>3049</v>
      </c>
      <c r="F1703" s="69" t="s">
        <v>299</v>
      </c>
      <c r="G1703" s="70" t="s">
        <v>3050</v>
      </c>
      <c r="H1703" s="69"/>
      <c r="I1703" s="105">
        <v>0.12</v>
      </c>
      <c r="J1703" s="106">
        <v>1000.0</v>
      </c>
      <c r="K1703" s="73" t="s">
        <v>1276</v>
      </c>
      <c r="L1703" s="73"/>
      <c r="M1703" s="73"/>
      <c r="N1703" s="74"/>
    </row>
    <row r="1704" ht="30.0" hidden="1" customHeight="1">
      <c r="A1704" s="68">
        <v>1720.0</v>
      </c>
      <c r="B1704" s="68"/>
      <c r="C1704" s="68"/>
      <c r="D1704" s="69" t="str">
        <f>CONCATENATE(PROPER('DASMA INFO'!$G1704),", ",PROPER('DASMA INFO'!$E1704)," ",PROPER('DASMA INFO'!$F1704),"."," (",UPPER('DASMA INFO'!$H1704),")")</f>
        <v>Hernandez, Benedicto C. ()</v>
      </c>
      <c r="E1704" s="70" t="s">
        <v>2955</v>
      </c>
      <c r="F1704" s="69" t="s">
        <v>318</v>
      </c>
      <c r="G1704" s="70" t="s">
        <v>635</v>
      </c>
      <c r="H1704" s="69"/>
      <c r="I1704" s="105">
        <v>0.12</v>
      </c>
      <c r="J1704" s="106">
        <v>1000.0</v>
      </c>
      <c r="K1704" s="73" t="s">
        <v>1156</v>
      </c>
      <c r="L1704" s="73"/>
      <c r="M1704" s="73"/>
      <c r="N1704" s="74"/>
    </row>
    <row r="1705" ht="30.0" hidden="1" customHeight="1">
      <c r="A1705" s="68">
        <v>1721.0</v>
      </c>
      <c r="B1705" s="68"/>
      <c r="C1705" s="68"/>
      <c r="D1705" s="69" t="str">
        <f>CONCATENATE(PROPER('DASMA INFO'!$G1705),", ",PROPER('DASMA INFO'!$E1705)," ",PROPER('DASMA INFO'!$F1705),"."," (",UPPER('DASMA INFO'!$H1705),")")</f>
        <v>Agub, Angel Milagros. ()</v>
      </c>
      <c r="E1705" s="70" t="s">
        <v>3051</v>
      </c>
      <c r="F1705" s="69" t="s">
        <v>1381</v>
      </c>
      <c r="G1705" s="70" t="s">
        <v>3052</v>
      </c>
      <c r="H1705" s="69"/>
      <c r="I1705" s="105">
        <v>0.12</v>
      </c>
      <c r="J1705" s="106">
        <v>1000.0</v>
      </c>
      <c r="K1705" s="73" t="s">
        <v>1131</v>
      </c>
      <c r="L1705" s="73"/>
      <c r="M1705" s="73"/>
      <c r="N1705" s="74"/>
    </row>
    <row r="1706" ht="30.0" hidden="1" customHeight="1">
      <c r="A1706" s="68">
        <v>1722.0</v>
      </c>
      <c r="B1706" s="68"/>
      <c r="C1706" s="68"/>
      <c r="D1706" s="69" t="str">
        <f>CONCATENATE(PROPER('DASMA INFO'!$G1706),", ",PROPER('DASMA INFO'!$E1706)," ",PROPER('DASMA INFO'!$F1706),"."," (",UPPER('DASMA INFO'!$H1706),")")</f>
        <v>Bautista, Rachell T. ()</v>
      </c>
      <c r="E1706" s="70" t="s">
        <v>3053</v>
      </c>
      <c r="F1706" s="69" t="s">
        <v>752</v>
      </c>
      <c r="G1706" s="70" t="s">
        <v>275</v>
      </c>
      <c r="H1706" s="69"/>
      <c r="I1706" s="105">
        <v>0.12</v>
      </c>
      <c r="J1706" s="106">
        <v>1000.0</v>
      </c>
      <c r="K1706" s="73" t="s">
        <v>1131</v>
      </c>
      <c r="L1706" s="73"/>
      <c r="M1706" s="73"/>
      <c r="N1706" s="74"/>
    </row>
    <row r="1707" ht="30.0" hidden="1" customHeight="1">
      <c r="A1707" s="68">
        <v>1723.0</v>
      </c>
      <c r="B1707" s="68"/>
      <c r="C1707" s="68"/>
      <c r="D1707" s="69" t="str">
        <f>CONCATENATE(PROPER('DASMA INFO'!$G1707),", ",PROPER('DASMA INFO'!$E1707)," ",PROPER('DASMA INFO'!$F1707),"."," (",UPPER('DASMA INFO'!$H1707),")")</f>
        <v>Mance, Jamie Anne Alvarez. ()</v>
      </c>
      <c r="E1707" s="70" t="s">
        <v>3054</v>
      </c>
      <c r="F1707" s="69" t="s">
        <v>1206</v>
      </c>
      <c r="G1707" s="70" t="s">
        <v>3055</v>
      </c>
      <c r="H1707" s="69"/>
      <c r="I1707" s="105">
        <v>0.12</v>
      </c>
      <c r="J1707" s="106">
        <v>1000.0</v>
      </c>
      <c r="K1707" s="73" t="s">
        <v>3056</v>
      </c>
      <c r="L1707" s="73"/>
      <c r="M1707" s="73"/>
      <c r="N1707" s="74" t="s">
        <v>3057</v>
      </c>
    </row>
    <row r="1708" ht="30.0" hidden="1" customHeight="1">
      <c r="A1708" s="68">
        <v>1724.0</v>
      </c>
      <c r="B1708" s="68"/>
      <c r="C1708" s="68"/>
      <c r="D1708" s="69" t="str">
        <f>CONCATENATE(PROPER('DASMA INFO'!$G1708),", ",PROPER('DASMA INFO'!$E1708)," ",PROPER('DASMA INFO'!$F1708),"."," (",UPPER('DASMA INFO'!$H1708),")")</f>
        <v>Perez, Esmeralda Romulo. ()</v>
      </c>
      <c r="E1708" s="70" t="s">
        <v>3058</v>
      </c>
      <c r="F1708" s="69" t="s">
        <v>3059</v>
      </c>
      <c r="G1708" s="70" t="s">
        <v>236</v>
      </c>
      <c r="H1708" s="69"/>
      <c r="I1708" s="105">
        <v>0.12</v>
      </c>
      <c r="J1708" s="106">
        <v>1000.0</v>
      </c>
      <c r="K1708" s="73" t="s">
        <v>1276</v>
      </c>
      <c r="L1708" s="73"/>
      <c r="M1708" s="73"/>
      <c r="N1708" s="74"/>
    </row>
    <row r="1709" ht="30.0" hidden="1" customHeight="1">
      <c r="A1709" s="68">
        <v>1725.0</v>
      </c>
      <c r="B1709" s="68"/>
      <c r="C1709" s="68"/>
      <c r="D1709" s="69" t="str">
        <f>CONCATENATE(PROPER('DASMA INFO'!$G1709),", ",PROPER('DASMA INFO'!$E1709)," ",PROPER('DASMA INFO'!$F1709),"."," (",UPPER('DASMA INFO'!$H1709),")")</f>
        <v>Pamarang, Rosalie Bihag. ()</v>
      </c>
      <c r="E1709" s="70" t="s">
        <v>780</v>
      </c>
      <c r="F1709" s="69" t="s">
        <v>3060</v>
      </c>
      <c r="G1709" s="70" t="s">
        <v>3061</v>
      </c>
      <c r="H1709" s="69"/>
      <c r="I1709" s="105">
        <v>0.12</v>
      </c>
      <c r="J1709" s="106">
        <v>1000.0</v>
      </c>
      <c r="K1709" s="73" t="s">
        <v>2928</v>
      </c>
      <c r="L1709" s="73"/>
      <c r="M1709" s="73"/>
      <c r="N1709" s="74"/>
    </row>
    <row r="1710" ht="30.0" hidden="1" customHeight="1">
      <c r="A1710" s="68">
        <v>1726.0</v>
      </c>
      <c r="B1710" s="68"/>
      <c r="C1710" s="68"/>
      <c r="D1710" s="69" t="str">
        <f>CONCATENATE(PROPER('DASMA INFO'!$G1710),", ",PROPER('DASMA INFO'!$E1710)," ",PROPER('DASMA INFO'!$F1710),"."," (",UPPER('DASMA INFO'!$H1710),")")</f>
        <v>Bautista, Lucila Arceo. ()</v>
      </c>
      <c r="E1710" s="70" t="s">
        <v>2656</v>
      </c>
      <c r="F1710" s="69" t="s">
        <v>3062</v>
      </c>
      <c r="G1710" s="70" t="s">
        <v>275</v>
      </c>
      <c r="H1710" s="69"/>
      <c r="I1710" s="105">
        <v>0.12</v>
      </c>
      <c r="J1710" s="106">
        <v>1000.0</v>
      </c>
      <c r="K1710" s="73" t="s">
        <v>1131</v>
      </c>
      <c r="L1710" s="73"/>
      <c r="M1710" s="73"/>
      <c r="N1710" s="74"/>
    </row>
    <row r="1711" ht="30.0" hidden="1" customHeight="1">
      <c r="A1711" s="68">
        <v>1727.0</v>
      </c>
      <c r="B1711" s="68"/>
      <c r="C1711" s="68"/>
      <c r="D1711" s="69" t="str">
        <f>CONCATENATE(PROPER('DASMA INFO'!$G1711),", ",PROPER('DASMA INFO'!$E1711)," ",PROPER('DASMA INFO'!$F1711),"."," (",UPPER('DASMA INFO'!$H1711),")")</f>
        <v>Barrameda, Javani Jimenez. ()</v>
      </c>
      <c r="E1711" s="70" t="s">
        <v>3063</v>
      </c>
      <c r="F1711" s="69" t="s">
        <v>520</v>
      </c>
      <c r="G1711" s="70" t="s">
        <v>3064</v>
      </c>
      <c r="H1711" s="69"/>
      <c r="I1711" s="105">
        <v>0.12</v>
      </c>
      <c r="J1711" s="106">
        <v>1000.0</v>
      </c>
      <c r="K1711" s="73" t="s">
        <v>3027</v>
      </c>
      <c r="L1711" s="73"/>
      <c r="M1711" s="73"/>
      <c r="N1711" s="74"/>
    </row>
    <row r="1712" ht="30.0" hidden="1" customHeight="1">
      <c r="A1712" s="68">
        <v>1728.0</v>
      </c>
      <c r="B1712" s="68"/>
      <c r="C1712" s="68"/>
      <c r="D1712" s="69" t="str">
        <f>CONCATENATE(PROPER('DASMA INFO'!$G1712),", ",PROPER('DASMA INFO'!$E1712)," ",PROPER('DASMA INFO'!$F1712),"."," (",UPPER('DASMA INFO'!$H1712),")")</f>
        <v>Chang, Patricio Erwin. ()</v>
      </c>
      <c r="E1712" s="70" t="s">
        <v>3065</v>
      </c>
      <c r="F1712" s="69" t="s">
        <v>891</v>
      </c>
      <c r="G1712" s="70" t="s">
        <v>3066</v>
      </c>
      <c r="H1712" s="69"/>
      <c r="I1712" s="105">
        <v>0.12</v>
      </c>
      <c r="J1712" s="106">
        <v>1000.0</v>
      </c>
      <c r="K1712" s="73" t="s">
        <v>1276</v>
      </c>
      <c r="L1712" s="73"/>
      <c r="M1712" s="73"/>
      <c r="N1712" s="74"/>
    </row>
    <row r="1713" ht="30.0" hidden="1" customHeight="1">
      <c r="A1713" s="68">
        <v>1729.0</v>
      </c>
      <c r="B1713" s="68"/>
      <c r="C1713" s="68"/>
      <c r="D1713" s="69" t="str">
        <f>CONCATENATE(PROPER('DASMA INFO'!$G1713),", ",PROPER('DASMA INFO'!$E1713)," ",PROPER('DASMA INFO'!$F1713),"."," (",UPPER('DASMA INFO'!$H1713),")")</f>
        <v>Redona, Batarina Venancio. ()</v>
      </c>
      <c r="E1713" s="70" t="s">
        <v>1324</v>
      </c>
      <c r="F1713" s="69" t="s">
        <v>3067</v>
      </c>
      <c r="G1713" s="70" t="s">
        <v>3068</v>
      </c>
      <c r="H1713" s="69"/>
      <c r="I1713" s="105">
        <v>0.12</v>
      </c>
      <c r="J1713" s="106">
        <v>1000.0</v>
      </c>
      <c r="K1713" s="73" t="s">
        <v>1276</v>
      </c>
      <c r="L1713" s="73"/>
      <c r="M1713" s="73"/>
      <c r="N1713" s="74"/>
    </row>
    <row r="1714" ht="30.0" hidden="1" customHeight="1">
      <c r="A1714" s="68">
        <v>1730.0</v>
      </c>
      <c r="B1714" s="68"/>
      <c r="C1714" s="68"/>
      <c r="D1714" s="69" t="str">
        <f>CONCATENATE(PROPER('DASMA INFO'!$G1714),", ",PROPER('DASMA INFO'!$E1714)," ",PROPER('DASMA INFO'!$F1714),"."," (",UPPER('DASMA INFO'!$H1714),")")</f>
        <v>Garcia, Aldrin Manlapas. ()</v>
      </c>
      <c r="E1714" s="70" t="s">
        <v>3069</v>
      </c>
      <c r="F1714" s="69" t="s">
        <v>3070</v>
      </c>
      <c r="G1714" s="70" t="s">
        <v>496</v>
      </c>
      <c r="H1714" s="69"/>
      <c r="I1714" s="92">
        <v>0.05</v>
      </c>
      <c r="J1714" s="93">
        <v>1000.0</v>
      </c>
      <c r="K1714" s="73" t="s">
        <v>50</v>
      </c>
      <c r="L1714" s="73"/>
      <c r="M1714" s="73"/>
      <c r="N1714" s="74" t="s">
        <v>786</v>
      </c>
    </row>
    <row r="1715" ht="30.0" hidden="1" customHeight="1">
      <c r="A1715" s="68">
        <v>1731.0</v>
      </c>
      <c r="B1715" s="68"/>
      <c r="C1715" s="68"/>
      <c r="D1715" s="69" t="str">
        <f>CONCATENATE(PROPER('DASMA INFO'!$G1715),", ",PROPER('DASMA INFO'!$E1715)," ",PROPER('DASMA INFO'!$F1715),"."," (",UPPER('DASMA INFO'!$H1715),")")</f>
        <v>Derder Jr, Willy Rosos. ()</v>
      </c>
      <c r="E1715" s="70" t="s">
        <v>675</v>
      </c>
      <c r="F1715" s="69" t="s">
        <v>3071</v>
      </c>
      <c r="G1715" s="70" t="s">
        <v>3072</v>
      </c>
      <c r="H1715" s="69"/>
      <c r="I1715" s="105">
        <v>0.12</v>
      </c>
      <c r="J1715" s="106">
        <v>1000.0</v>
      </c>
      <c r="K1715" s="73" t="s">
        <v>1053</v>
      </c>
      <c r="L1715" s="73"/>
      <c r="M1715" s="73"/>
      <c r="N1715" s="74"/>
    </row>
    <row r="1716" ht="30.0" hidden="1" customHeight="1">
      <c r="A1716" s="68">
        <v>1732.0</v>
      </c>
      <c r="B1716" s="68"/>
      <c r="C1716" s="68"/>
      <c r="D1716" s="69" t="str">
        <f>CONCATENATE(PROPER('DASMA INFO'!$G1716),", ",PROPER('DASMA INFO'!$E1716)," ",PROPER('DASMA INFO'!$F1716),"."," (",UPPER('DASMA INFO'!$H1716),")")</f>
        <v>Madrigal, Armi Dela Cruz. ()</v>
      </c>
      <c r="E1716" s="70" t="s">
        <v>1968</v>
      </c>
      <c r="F1716" s="69" t="s">
        <v>636</v>
      </c>
      <c r="G1716" s="70" t="s">
        <v>1969</v>
      </c>
      <c r="H1716" s="69"/>
      <c r="I1716" s="105">
        <v>0.12</v>
      </c>
      <c r="J1716" s="106">
        <v>1000.0</v>
      </c>
      <c r="K1716" s="73"/>
      <c r="L1716" s="73"/>
      <c r="M1716" s="73"/>
      <c r="N1716" s="74"/>
    </row>
    <row r="1717" ht="30.0" hidden="1" customHeight="1">
      <c r="A1717" s="68">
        <v>1733.0</v>
      </c>
      <c r="B1717" s="68"/>
      <c r="C1717" s="68"/>
      <c r="D1717" s="69" t="str">
        <f>CONCATENATE(PROPER('DASMA INFO'!$G1717),", ",PROPER('DASMA INFO'!$E1717)," ",PROPER('DASMA INFO'!$F1717),"."," (",UPPER('DASMA INFO'!$H1717),")")</f>
        <v>Relingado, Mary Anne Gasga. ()</v>
      </c>
      <c r="E1717" s="70" t="s">
        <v>58</v>
      </c>
      <c r="F1717" s="69" t="s">
        <v>2545</v>
      </c>
      <c r="G1717" s="70" t="s">
        <v>59</v>
      </c>
      <c r="H1717" s="69"/>
      <c r="I1717" s="92">
        <v>0.05</v>
      </c>
      <c r="J1717" s="93">
        <v>1000.0</v>
      </c>
      <c r="K1717" s="32" t="s">
        <v>3073</v>
      </c>
      <c r="L1717" s="32"/>
      <c r="M1717" s="32"/>
      <c r="N1717" s="74"/>
    </row>
    <row r="1718" ht="30.0" hidden="1" customHeight="1">
      <c r="A1718" s="68">
        <v>1734.0</v>
      </c>
      <c r="B1718" s="68"/>
      <c r="C1718" s="68"/>
      <c r="D1718" s="69" t="str">
        <f>CONCATENATE(PROPER('DASMA INFO'!$G1718),", ",PROPER('DASMA INFO'!$E1718)," ",PROPER('DASMA INFO'!$F1718),"."," (",UPPER('DASMA INFO'!$H1718),")")</f>
        <v>Teves, Elvira O. ()</v>
      </c>
      <c r="E1718" s="70" t="s">
        <v>147</v>
      </c>
      <c r="F1718" s="69" t="s">
        <v>634</v>
      </c>
      <c r="G1718" s="70" t="s">
        <v>3074</v>
      </c>
      <c r="H1718" s="69"/>
      <c r="I1718" s="105">
        <v>0.12</v>
      </c>
      <c r="J1718" s="106">
        <v>1000.0</v>
      </c>
      <c r="K1718" s="73" t="s">
        <v>2979</v>
      </c>
      <c r="L1718" s="73"/>
      <c r="M1718" s="73"/>
      <c r="N1718" s="74"/>
    </row>
    <row r="1719" ht="30.0" hidden="1" customHeight="1">
      <c r="A1719" s="68">
        <v>1735.0</v>
      </c>
      <c r="B1719" s="68"/>
      <c r="C1719" s="68"/>
      <c r="D1719" s="69" t="str">
        <f>CONCATENATE(PROPER('DASMA INFO'!$G1719),", ",PROPER('DASMA INFO'!$E1719)," ",PROPER('DASMA INFO'!$F1719),"."," (",UPPER('DASMA INFO'!$H1719),")")</f>
        <v>Malicse, Edgardo Punla. ()</v>
      </c>
      <c r="E1719" s="70" t="s">
        <v>869</v>
      </c>
      <c r="F1719" s="69" t="s">
        <v>3075</v>
      </c>
      <c r="G1719" s="70" t="s">
        <v>3076</v>
      </c>
      <c r="H1719" s="69"/>
      <c r="I1719" s="105">
        <v>0.12</v>
      </c>
      <c r="J1719" s="106">
        <v>1000.0</v>
      </c>
      <c r="K1719" s="73" t="s">
        <v>1053</v>
      </c>
      <c r="L1719" s="73"/>
      <c r="M1719" s="73"/>
      <c r="N1719" s="74"/>
    </row>
    <row r="1720" ht="30.0" hidden="1" customHeight="1">
      <c r="A1720" s="68">
        <v>1736.0</v>
      </c>
      <c r="B1720" s="68"/>
      <c r="C1720" s="68"/>
      <c r="D1720" s="69" t="str">
        <f>CONCATENATE(PROPER('DASMA INFO'!$G1720),", ",PROPER('DASMA INFO'!$E1720)," ",PROPER('DASMA INFO'!$F1720),"."," (",UPPER('DASMA INFO'!$H1720),")")</f>
        <v>Maravilla, Charo Abanto. ()</v>
      </c>
      <c r="E1720" s="70" t="s">
        <v>3077</v>
      </c>
      <c r="F1720" s="69" t="s">
        <v>3078</v>
      </c>
      <c r="G1720" s="70" t="s">
        <v>3079</v>
      </c>
      <c r="H1720" s="69"/>
      <c r="I1720" s="92">
        <v>0.05</v>
      </c>
      <c r="J1720" s="93">
        <v>1000.0</v>
      </c>
      <c r="K1720" s="73" t="s">
        <v>3080</v>
      </c>
      <c r="L1720" s="73"/>
      <c r="M1720" s="73"/>
      <c r="N1720" s="74"/>
    </row>
    <row r="1721" ht="30.0" hidden="1" customHeight="1">
      <c r="A1721" s="68">
        <v>1737.0</v>
      </c>
      <c r="B1721" s="68"/>
      <c r="C1721" s="68"/>
      <c r="D1721" s="69" t="str">
        <f>CONCATENATE(PROPER('DASMA INFO'!$G1721),", ",PROPER('DASMA INFO'!$E1721)," ",PROPER('DASMA INFO'!$F1721),"."," (",UPPER('DASMA INFO'!$H1721),")")</f>
        <v>Baes, Fedelina Macatangay. ()</v>
      </c>
      <c r="E1721" s="70" t="s">
        <v>481</v>
      </c>
      <c r="F1721" s="69" t="s">
        <v>3081</v>
      </c>
      <c r="G1721" s="70" t="s">
        <v>208</v>
      </c>
      <c r="H1721" s="69"/>
      <c r="I1721" s="92">
        <v>0.05</v>
      </c>
      <c r="J1721" s="93">
        <v>1000.0</v>
      </c>
      <c r="K1721" s="73" t="s">
        <v>3082</v>
      </c>
      <c r="L1721" s="73"/>
      <c r="M1721" s="73"/>
      <c r="N1721" s="74"/>
    </row>
    <row r="1722" ht="30.0" hidden="1" customHeight="1">
      <c r="A1722" s="68">
        <v>1738.0</v>
      </c>
      <c r="B1722" s="68"/>
      <c r="C1722" s="68"/>
      <c r="D1722" s="69" t="str">
        <f>CONCATENATE(PROPER('DASMA INFO'!$G1722),", ",PROPER('DASMA INFO'!$E1722)," ",PROPER('DASMA INFO'!$F1722),"."," (",UPPER('DASMA INFO'!$H1722),")")</f>
        <v>,  . ()</v>
      </c>
      <c r="E1722" s="70"/>
      <c r="F1722" s="69"/>
      <c r="G1722" s="70"/>
      <c r="H1722" s="69"/>
      <c r="I1722" s="105">
        <v>0.12</v>
      </c>
      <c r="J1722" s="106">
        <v>1000.0</v>
      </c>
      <c r="K1722" s="73"/>
      <c r="L1722" s="73"/>
      <c r="M1722" s="73"/>
      <c r="N1722" s="74"/>
    </row>
    <row r="1723" ht="30.0" hidden="1" customHeight="1">
      <c r="A1723" s="68">
        <v>1739.0</v>
      </c>
      <c r="B1723" s="68"/>
      <c r="C1723" s="68"/>
      <c r="D1723" s="69" t="str">
        <f>CONCATENATE(PROPER('DASMA INFO'!$G1723),", ",PROPER('DASMA INFO'!$E1723)," ",PROPER('DASMA INFO'!$F1723),"."," (",UPPER('DASMA INFO'!$H1723),")")</f>
        <v>,  . ()</v>
      </c>
      <c r="E1723" s="70"/>
      <c r="F1723" s="69"/>
      <c r="G1723" s="70"/>
      <c r="H1723" s="69"/>
      <c r="I1723" s="105">
        <v>0.12</v>
      </c>
      <c r="J1723" s="106">
        <v>1000.0</v>
      </c>
      <c r="K1723" s="73"/>
      <c r="L1723" s="73"/>
      <c r="M1723" s="73"/>
      <c r="N1723" s="74"/>
    </row>
    <row r="1724" ht="30.0" hidden="1" customHeight="1">
      <c r="A1724" s="68">
        <v>1740.0</v>
      </c>
      <c r="B1724" s="68"/>
      <c r="C1724" s="68"/>
      <c r="D1724" s="69" t="str">
        <f>CONCATENATE(PROPER('DASMA INFO'!$G1724),", ",PROPER('DASMA INFO'!$E1724)," ",PROPER('DASMA INFO'!$F1724),"."," (",UPPER('DASMA INFO'!$H1724),")")</f>
        <v>,  . ()</v>
      </c>
      <c r="E1724" s="70"/>
      <c r="F1724" s="69"/>
      <c r="G1724" s="70"/>
      <c r="H1724" s="69"/>
      <c r="I1724" s="105">
        <v>0.12</v>
      </c>
      <c r="J1724" s="106">
        <v>1000.0</v>
      </c>
      <c r="K1724" s="73"/>
      <c r="L1724" s="73"/>
      <c r="M1724" s="73"/>
      <c r="N1724" s="74"/>
    </row>
    <row r="1725" ht="30.0" hidden="1" customHeight="1">
      <c r="A1725" s="68">
        <v>1741.0</v>
      </c>
      <c r="B1725" s="68"/>
      <c r="C1725" s="68"/>
      <c r="D1725" s="69" t="str">
        <f>CONCATENATE(PROPER('DASMA INFO'!$G1725),", ",PROPER('DASMA INFO'!$E1725)," ",PROPER('DASMA INFO'!$F1725),"."," (",UPPER('DASMA INFO'!$H1725),")")</f>
        <v>,  . ()</v>
      </c>
      <c r="E1725" s="70"/>
      <c r="F1725" s="69"/>
      <c r="G1725" s="70"/>
      <c r="H1725" s="69"/>
      <c r="I1725" s="105">
        <v>0.12</v>
      </c>
      <c r="J1725" s="106">
        <v>1000.0</v>
      </c>
      <c r="K1725" s="73"/>
      <c r="L1725" s="73"/>
      <c r="M1725" s="73"/>
      <c r="N1725" s="74"/>
    </row>
    <row r="1726" ht="30.0" hidden="1" customHeight="1">
      <c r="A1726" s="68">
        <v>1742.0</v>
      </c>
      <c r="B1726" s="68"/>
      <c r="C1726" s="68"/>
      <c r="D1726" s="69" t="str">
        <f>CONCATENATE(PROPER('DASMA INFO'!$G1726),", ",PROPER('DASMA INFO'!$E1726)," ",PROPER('DASMA INFO'!$F1726),"."," (",UPPER('DASMA INFO'!$H1726),")")</f>
        <v>,  . ()</v>
      </c>
      <c r="E1726" s="70"/>
      <c r="F1726" s="69"/>
      <c r="G1726" s="70"/>
      <c r="H1726" s="69"/>
      <c r="I1726" s="105">
        <v>0.12</v>
      </c>
      <c r="J1726" s="106">
        <v>1000.0</v>
      </c>
      <c r="K1726" s="73"/>
      <c r="L1726" s="73"/>
      <c r="M1726" s="73"/>
      <c r="N1726" s="74"/>
    </row>
    <row r="1727" ht="30.0" hidden="1" customHeight="1">
      <c r="A1727" s="68">
        <v>1743.0</v>
      </c>
      <c r="B1727" s="68"/>
      <c r="C1727" s="68"/>
      <c r="D1727" s="69" t="str">
        <f>CONCATENATE(PROPER('DASMA INFO'!$G1727),", ",PROPER('DASMA INFO'!$E1727)," ",PROPER('DASMA INFO'!$F1727),"."," (",UPPER('DASMA INFO'!$H1727),")")</f>
        <v>,  . ()</v>
      </c>
      <c r="E1727" s="70"/>
      <c r="F1727" s="69"/>
      <c r="G1727" s="70"/>
      <c r="H1727" s="69"/>
      <c r="I1727" s="105">
        <v>0.12</v>
      </c>
      <c r="J1727" s="106">
        <v>1000.0</v>
      </c>
      <c r="K1727" s="73"/>
      <c r="L1727" s="73"/>
      <c r="M1727" s="73"/>
      <c r="N1727" s="74"/>
    </row>
    <row r="1728" ht="30.0" hidden="1" customHeight="1">
      <c r="A1728" s="68">
        <v>1744.0</v>
      </c>
      <c r="B1728" s="68"/>
      <c r="C1728" s="68"/>
      <c r="D1728" s="69" t="str">
        <f>CONCATENATE(PROPER('DASMA INFO'!$G1728),", ",PROPER('DASMA INFO'!$E1728)," ",PROPER('DASMA INFO'!$F1728),"."," (",UPPER('DASMA INFO'!$H1728),")")</f>
        <v>,  . ()</v>
      </c>
      <c r="E1728" s="70"/>
      <c r="F1728" s="69"/>
      <c r="G1728" s="70"/>
      <c r="H1728" s="69"/>
      <c r="I1728" s="105">
        <v>0.12</v>
      </c>
      <c r="J1728" s="106">
        <v>1000.0</v>
      </c>
      <c r="K1728" s="73"/>
      <c r="L1728" s="73"/>
      <c r="M1728" s="73"/>
      <c r="N1728" s="74"/>
    </row>
    <row r="1729" ht="30.0" hidden="1" customHeight="1">
      <c r="A1729" s="68">
        <v>1745.0</v>
      </c>
      <c r="B1729" s="68"/>
      <c r="C1729" s="68"/>
      <c r="D1729" s="69" t="str">
        <f>CONCATENATE(PROPER('DASMA INFO'!$G1729),", ",PROPER('DASMA INFO'!$E1729)," ",PROPER('DASMA INFO'!$F1729),"."," (",UPPER('DASMA INFO'!$H1729),")")</f>
        <v>,  . ()</v>
      </c>
      <c r="E1729" s="70"/>
      <c r="F1729" s="69"/>
      <c r="G1729" s="70"/>
      <c r="H1729" s="69"/>
      <c r="I1729" s="105">
        <v>0.12</v>
      </c>
      <c r="J1729" s="106">
        <v>1000.0</v>
      </c>
      <c r="K1729" s="73"/>
      <c r="L1729" s="73"/>
      <c r="M1729" s="73"/>
      <c r="N1729" s="74"/>
    </row>
    <row r="1730" ht="30.0" hidden="1" customHeight="1">
      <c r="A1730" s="68">
        <v>1746.0</v>
      </c>
      <c r="B1730" s="68"/>
      <c r="C1730" s="68"/>
      <c r="D1730" s="69" t="str">
        <f>CONCATENATE(PROPER('DASMA INFO'!$G1730),", ",PROPER('DASMA INFO'!$E1730)," ",PROPER('DASMA INFO'!$F1730),"."," (",UPPER('DASMA INFO'!$H1730),")")</f>
        <v>,  . ()</v>
      </c>
      <c r="E1730" s="70"/>
      <c r="F1730" s="69"/>
      <c r="G1730" s="70"/>
      <c r="H1730" s="69"/>
      <c r="I1730" s="105">
        <v>0.12</v>
      </c>
      <c r="J1730" s="106">
        <v>1000.0</v>
      </c>
      <c r="K1730" s="73"/>
      <c r="L1730" s="73"/>
      <c r="M1730" s="73"/>
      <c r="N1730" s="74"/>
    </row>
    <row r="1731" ht="30.0" hidden="1" customHeight="1">
      <c r="A1731" s="68">
        <v>1747.0</v>
      </c>
      <c r="B1731" s="68"/>
      <c r="C1731" s="68"/>
      <c r="D1731" s="69" t="str">
        <f>CONCATENATE(PROPER('DASMA INFO'!$G1731),", ",PROPER('DASMA INFO'!$E1731)," ",PROPER('DASMA INFO'!$F1731),"."," (",UPPER('DASMA INFO'!$H1731),")")</f>
        <v>Rodriguez, Maricris Castillo. ()</v>
      </c>
      <c r="E1731" s="70" t="s">
        <v>3083</v>
      </c>
      <c r="F1731" s="69" t="s">
        <v>1184</v>
      </c>
      <c r="G1731" s="70" t="s">
        <v>2699</v>
      </c>
      <c r="H1731" s="69"/>
      <c r="I1731" s="105">
        <v>0.12</v>
      </c>
      <c r="J1731" s="106">
        <v>1000.0</v>
      </c>
      <c r="K1731" s="73" t="s">
        <v>3084</v>
      </c>
      <c r="L1731" s="73"/>
      <c r="M1731" s="73"/>
      <c r="N1731" s="74"/>
    </row>
    <row r="1732" ht="30.0" hidden="1" customHeight="1">
      <c r="A1732" s="68">
        <v>1748.0</v>
      </c>
      <c r="B1732" s="68"/>
      <c r="C1732" s="68"/>
      <c r="D1732" s="69" t="str">
        <f>CONCATENATE(PROPER('DASMA INFO'!$G1732),", ",PROPER('DASMA INFO'!$E1732)," ",PROPER('DASMA INFO'!$F1732),"."," (",UPPER('DASMA INFO'!$H1732),")")</f>
        <v>Lim, Margarett B. ()</v>
      </c>
      <c r="E1732" s="70" t="s">
        <v>3085</v>
      </c>
      <c r="F1732" s="69" t="s">
        <v>627</v>
      </c>
      <c r="G1732" s="70" t="s">
        <v>611</v>
      </c>
      <c r="H1732" s="69"/>
      <c r="I1732" s="105">
        <v>0.12</v>
      </c>
      <c r="J1732" s="106">
        <v>1000.0</v>
      </c>
      <c r="K1732" s="73" t="s">
        <v>1276</v>
      </c>
      <c r="L1732" s="73"/>
      <c r="M1732" s="73"/>
      <c r="N1732" s="74" t="s">
        <v>3086</v>
      </c>
    </row>
    <row r="1733" ht="30.0" hidden="1" customHeight="1">
      <c r="A1733" s="68">
        <v>1749.0</v>
      </c>
      <c r="B1733" s="68"/>
      <c r="C1733" s="68"/>
      <c r="D1733" s="69" t="str">
        <f>CONCATENATE(PROPER('DASMA INFO'!$G1733),", ",PROPER('DASMA INFO'!$E1733)," ",PROPER('DASMA INFO'!$F1733),"."," (",UPPER('DASMA INFO'!$H1733),")")</f>
        <v>Ner, Amador Castro. ()</v>
      </c>
      <c r="E1733" s="70" t="s">
        <v>714</v>
      </c>
      <c r="F1733" s="69" t="s">
        <v>505</v>
      </c>
      <c r="G1733" s="70" t="s">
        <v>3087</v>
      </c>
      <c r="H1733" s="69"/>
      <c r="I1733" s="105">
        <v>0.12</v>
      </c>
      <c r="J1733" s="106">
        <v>1000.0</v>
      </c>
      <c r="K1733" s="73" t="s">
        <v>3088</v>
      </c>
      <c r="L1733" s="73"/>
      <c r="M1733" s="73"/>
      <c r="N1733" s="74"/>
    </row>
    <row r="1734" ht="30.0" hidden="1" customHeight="1">
      <c r="A1734" s="68">
        <v>1750.0</v>
      </c>
      <c r="B1734" s="68"/>
      <c r="C1734" s="68"/>
      <c r="D1734" s="69" t="str">
        <f>CONCATENATE(PROPER('DASMA INFO'!$G1734),", ",PROPER('DASMA INFO'!$E1734)," ",PROPER('DASMA INFO'!$F1734),"."," (",UPPER('DASMA INFO'!$H1734),")")</f>
        <v>Apresurado, Leizel Wong. ()</v>
      </c>
      <c r="E1734" s="70" t="s">
        <v>3089</v>
      </c>
      <c r="F1734" s="69" t="s">
        <v>3090</v>
      </c>
      <c r="G1734" s="70" t="s">
        <v>3091</v>
      </c>
      <c r="H1734" s="69"/>
      <c r="I1734" s="92">
        <v>0.05</v>
      </c>
      <c r="J1734" s="93">
        <v>2000.0</v>
      </c>
      <c r="K1734" s="73" t="s">
        <v>2947</v>
      </c>
      <c r="L1734" s="73"/>
      <c r="M1734" s="73"/>
      <c r="N1734" s="74"/>
    </row>
    <row r="1735" ht="30.0" hidden="1" customHeight="1">
      <c r="A1735" s="68">
        <v>1751.0</v>
      </c>
      <c r="B1735" s="68"/>
      <c r="C1735" s="68"/>
      <c r="D1735" s="69" t="str">
        <f>CONCATENATE(PROPER('DASMA INFO'!$G1735),", ",PROPER('DASMA INFO'!$E1735)," ",PROPER('DASMA INFO'!$F1735),"."," (",UPPER('DASMA INFO'!$H1735),")")</f>
        <v>Alol, Henry Calim. ()</v>
      </c>
      <c r="E1735" s="70" t="s">
        <v>2249</v>
      </c>
      <c r="F1735" s="69" t="s">
        <v>3092</v>
      </c>
      <c r="G1735" s="70" t="s">
        <v>3093</v>
      </c>
      <c r="H1735" s="69"/>
      <c r="I1735" s="105">
        <v>0.12</v>
      </c>
      <c r="J1735" s="106">
        <v>1000.0</v>
      </c>
      <c r="K1735" s="73" t="s">
        <v>3027</v>
      </c>
      <c r="L1735" s="73"/>
      <c r="M1735" s="73"/>
      <c r="N1735" s="74"/>
    </row>
    <row r="1736" ht="30.0" hidden="1" customHeight="1">
      <c r="A1736" s="68">
        <v>1752.0</v>
      </c>
      <c r="B1736" s="68"/>
      <c r="C1736" s="68"/>
      <c r="D1736" s="69" t="str">
        <f>CONCATENATE(PROPER('DASMA INFO'!$G1736),", ",PROPER('DASMA INFO'!$E1736)," ",PROPER('DASMA INFO'!$F1736),"."," (",UPPER('DASMA INFO'!$H1736),")")</f>
        <v>Casubuan, Ma. Leonora Cinco. ()</v>
      </c>
      <c r="E1736" s="70" t="s">
        <v>86</v>
      </c>
      <c r="F1736" s="69" t="s">
        <v>3094</v>
      </c>
      <c r="G1736" s="70" t="s">
        <v>3095</v>
      </c>
      <c r="H1736" s="69"/>
      <c r="I1736" s="92">
        <v>0.05</v>
      </c>
      <c r="J1736" s="93">
        <v>1000.0</v>
      </c>
      <c r="K1736" s="73" t="s">
        <v>2947</v>
      </c>
      <c r="L1736" s="73"/>
      <c r="M1736" s="73"/>
      <c r="N1736" s="74"/>
    </row>
    <row r="1737" ht="30.0" hidden="1" customHeight="1">
      <c r="A1737" s="68">
        <v>1753.0</v>
      </c>
      <c r="B1737" s="68"/>
      <c r="C1737" s="68"/>
      <c r="D1737" s="69" t="str">
        <f>CONCATENATE(PROPER('DASMA INFO'!$G1737),", ",PROPER('DASMA INFO'!$E1737)," ",PROPER('DASMA INFO'!$F1737),"."," (",UPPER('DASMA INFO'!$H1737),")")</f>
        <v>Decorina, Rebecca Abanag. ()</v>
      </c>
      <c r="E1737" s="70" t="s">
        <v>1537</v>
      </c>
      <c r="F1737" s="69" t="s">
        <v>3096</v>
      </c>
      <c r="G1737" s="70" t="s">
        <v>3097</v>
      </c>
      <c r="H1737" s="69"/>
      <c r="I1737" s="105">
        <v>0.12</v>
      </c>
      <c r="J1737" s="106">
        <v>1000.0</v>
      </c>
      <c r="K1737" s="73" t="s">
        <v>2703</v>
      </c>
      <c r="L1737" s="73"/>
      <c r="M1737" s="73"/>
      <c r="N1737" s="74"/>
    </row>
    <row r="1738" ht="30.0" hidden="1" customHeight="1">
      <c r="A1738" s="68">
        <v>1754.0</v>
      </c>
      <c r="B1738" s="68"/>
      <c r="C1738" s="68"/>
      <c r="D1738" s="69" t="str">
        <f>CONCATENATE(PROPER('DASMA INFO'!$G1738),", ",PROPER('DASMA INFO'!$E1738)," ",PROPER('DASMA INFO'!$F1738),"."," (",UPPER('DASMA INFO'!$H1738),")")</f>
        <v>Quibin, Caguioa Jhunalyn . ()</v>
      </c>
      <c r="E1738" s="70" t="s">
        <v>3098</v>
      </c>
      <c r="F1738" s="70"/>
      <c r="G1738" s="70" t="s">
        <v>3099</v>
      </c>
      <c r="H1738" s="69"/>
      <c r="I1738" s="92">
        <v>0.05</v>
      </c>
      <c r="J1738" s="93">
        <v>1000.0</v>
      </c>
      <c r="K1738" s="73" t="s">
        <v>3100</v>
      </c>
      <c r="L1738" s="73"/>
      <c r="M1738" s="73"/>
      <c r="N1738" s="74"/>
    </row>
    <row r="1739" ht="30.0" hidden="1" customHeight="1">
      <c r="A1739" s="68">
        <v>1755.0</v>
      </c>
      <c r="B1739" s="68"/>
      <c r="C1739" s="68"/>
      <c r="D1739" s="69" t="str">
        <f>CONCATENATE(PROPER('DASMA INFO'!$G1739),", ",PROPER('DASMA INFO'!$E1739)," ",PROPER('DASMA INFO'!$F1739),"."," (",UPPER('DASMA INFO'!$H1739),")")</f>
        <v>Ric Pascua, Mangahas Jay Ric. ()</v>
      </c>
      <c r="E1739" s="70" t="s">
        <v>3101</v>
      </c>
      <c r="F1739" s="70" t="s">
        <v>3102</v>
      </c>
      <c r="G1739" s="70" t="s">
        <v>3103</v>
      </c>
      <c r="H1739" s="69"/>
      <c r="I1739" s="92">
        <v>0.05</v>
      </c>
      <c r="J1739" s="93">
        <v>1000.0</v>
      </c>
      <c r="K1739" s="73" t="s">
        <v>3104</v>
      </c>
      <c r="L1739" s="73"/>
      <c r="M1739" s="73"/>
      <c r="N1739" s="74"/>
    </row>
    <row r="1740" ht="30.0" hidden="1" customHeight="1">
      <c r="A1740" s="68">
        <v>1756.0</v>
      </c>
      <c r="B1740" s="68"/>
      <c r="C1740" s="68"/>
      <c r="D1740" s="69" t="str">
        <f>CONCATENATE(PROPER('DASMA INFO'!$G1740),", ",PROPER('DASMA INFO'!$E1740)," ",PROPER('DASMA INFO'!$F1740),"."," (",UPPER('DASMA INFO'!$H1740),")")</f>
        <v>Agbuya, Maligalig Venus. ()</v>
      </c>
      <c r="E1740" s="70" t="s">
        <v>3105</v>
      </c>
      <c r="F1740" s="70" t="s">
        <v>203</v>
      </c>
      <c r="G1740" s="70" t="s">
        <v>3106</v>
      </c>
      <c r="H1740" s="69"/>
      <c r="I1740" s="92">
        <v>0.05</v>
      </c>
      <c r="J1740" s="93">
        <v>1000.0</v>
      </c>
      <c r="K1740" s="73" t="s">
        <v>3107</v>
      </c>
      <c r="L1740" s="73"/>
      <c r="M1740" s="73"/>
      <c r="N1740" s="74"/>
    </row>
    <row r="1741" ht="30.0" hidden="1" customHeight="1">
      <c r="A1741" s="68">
        <v>1757.0</v>
      </c>
      <c r="B1741" s="68"/>
      <c r="C1741" s="68"/>
      <c r="D1741" s="69" t="str">
        <f>CONCATENATE(PROPER('DASMA INFO'!$G1741),", ",PROPER('DASMA INFO'!$E1741)," ",PROPER('DASMA INFO'!$F1741),"."," (",UPPER('DASMA INFO'!$H1741),")")</f>
        <v>Manalo, Sarmiento Ronnie. ()</v>
      </c>
      <c r="E1741" s="70" t="s">
        <v>2696</v>
      </c>
      <c r="F1741" s="70" t="s">
        <v>249</v>
      </c>
      <c r="G1741" s="70" t="s">
        <v>1544</v>
      </c>
      <c r="H1741" s="69"/>
      <c r="I1741" s="105">
        <v>0.12</v>
      </c>
      <c r="J1741" s="106">
        <v>1000.0</v>
      </c>
      <c r="K1741" s="73" t="s">
        <v>1276</v>
      </c>
      <c r="L1741" s="73"/>
      <c r="M1741" s="73"/>
      <c r="N1741" s="74"/>
    </row>
    <row r="1742" ht="30.0" hidden="1" customHeight="1">
      <c r="A1742" s="68">
        <v>1758.0</v>
      </c>
      <c r="B1742" s="68"/>
      <c r="C1742" s="68"/>
      <c r="D1742" s="69" t="str">
        <f>CONCATENATE(PROPER('DASMA INFO'!$G1742),", ",PROPER('DASMA INFO'!$E1742)," ",PROPER('DASMA INFO'!$F1742),"."," (",UPPER('DASMA INFO'!$H1742),")")</f>
        <v>Alderite, Cual Rosario. ()</v>
      </c>
      <c r="E1742" s="70" t="s">
        <v>3108</v>
      </c>
      <c r="F1742" s="70" t="s">
        <v>61</v>
      </c>
      <c r="G1742" s="70" t="s">
        <v>3109</v>
      </c>
      <c r="H1742" s="69"/>
      <c r="I1742" s="105">
        <v>0.12</v>
      </c>
      <c r="J1742" s="106">
        <v>1000.0</v>
      </c>
      <c r="K1742" s="73" t="s">
        <v>2928</v>
      </c>
      <c r="L1742" s="73"/>
      <c r="M1742" s="73"/>
      <c r="N1742" s="74"/>
    </row>
    <row r="1743" ht="30.0" hidden="1" customHeight="1">
      <c r="A1743" s="68">
        <v>1759.0</v>
      </c>
      <c r="B1743" s="68"/>
      <c r="C1743" s="68"/>
      <c r="D1743" s="69" t="str">
        <f>CONCATENATE(PROPER('DASMA INFO'!$G1743),", ",PROPER('DASMA INFO'!$E1743)," ",PROPER('DASMA INFO'!$F1743),"."," (",UPPER('DASMA INFO'!$H1743),")")</f>
        <v>Bawalan, Navarro Mildred. ()</v>
      </c>
      <c r="E1743" s="70" t="s">
        <v>3110</v>
      </c>
      <c r="F1743" s="70" t="s">
        <v>1385</v>
      </c>
      <c r="G1743" s="70" t="s">
        <v>3111</v>
      </c>
      <c r="H1743" s="69"/>
      <c r="I1743" s="105">
        <v>0.12</v>
      </c>
      <c r="J1743" s="106">
        <v>1000.0</v>
      </c>
      <c r="K1743" s="73" t="s">
        <v>1276</v>
      </c>
      <c r="L1743" s="73"/>
      <c r="M1743" s="73"/>
      <c r="N1743" s="74"/>
    </row>
    <row r="1744" ht="30.0" hidden="1" customHeight="1">
      <c r="A1744" s="68">
        <v>1760.0</v>
      </c>
      <c r="B1744" s="68"/>
      <c r="C1744" s="68"/>
      <c r="D1744" s="69" t="str">
        <f>CONCATENATE(PROPER('DASMA INFO'!$G1744),", ",PROPER('DASMA INFO'!$E1744)," ",PROPER('DASMA INFO'!$F1744),"."," (",UPPER('DASMA INFO'!$H1744),")")</f>
        <v>Cenica, Laurenaria Joycelyn. ()</v>
      </c>
      <c r="E1744" s="70" t="s">
        <v>3112</v>
      </c>
      <c r="F1744" s="70" t="s">
        <v>3113</v>
      </c>
      <c r="G1744" s="70" t="s">
        <v>3114</v>
      </c>
      <c r="H1744" s="69"/>
      <c r="I1744" s="92">
        <v>0.05</v>
      </c>
      <c r="J1744" s="93">
        <v>1000.0</v>
      </c>
      <c r="K1744" s="73" t="s">
        <v>3115</v>
      </c>
      <c r="L1744" s="73"/>
      <c r="M1744" s="73"/>
      <c r="N1744" s="74"/>
    </row>
    <row r="1745" ht="30.0" hidden="1" customHeight="1">
      <c r="A1745" s="68">
        <v>1761.0</v>
      </c>
      <c r="B1745" s="68"/>
      <c r="C1745" s="68"/>
      <c r="D1745" s="69" t="str">
        <f>CONCATENATE(PROPER('DASMA INFO'!$G1745),", ",PROPER('DASMA INFO'!$E1745)," ",PROPER('DASMA INFO'!$F1745),"."," (",UPPER('DASMA INFO'!$H1745),")")</f>
        <v>Daludado, Lanuza Edna. ()</v>
      </c>
      <c r="E1745" s="70" t="s">
        <v>3116</v>
      </c>
      <c r="F1745" s="70" t="s">
        <v>527</v>
      </c>
      <c r="G1745" s="70" t="s">
        <v>3117</v>
      </c>
      <c r="H1745" s="69"/>
      <c r="I1745" s="92">
        <v>0.05</v>
      </c>
      <c r="J1745" s="93">
        <v>1000.0</v>
      </c>
      <c r="K1745" s="73" t="s">
        <v>3118</v>
      </c>
      <c r="L1745" s="73"/>
      <c r="M1745" s="73"/>
      <c r="N1745" s="74"/>
    </row>
    <row r="1746" ht="30.0" hidden="1" customHeight="1">
      <c r="A1746" s="68">
        <v>1762.0</v>
      </c>
      <c r="B1746" s="68"/>
      <c r="C1746" s="68"/>
      <c r="D1746" s="69" t="str">
        <f>CONCATENATE(PROPER('DASMA INFO'!$G1746),", ",PROPER('DASMA INFO'!$E1746)," ",PROPER('DASMA INFO'!$F1746),"."," (",UPPER('DASMA INFO'!$H1746),")")</f>
        <v>Moreno, Aillene D. ()</v>
      </c>
      <c r="E1746" s="70" t="s">
        <v>143</v>
      </c>
      <c r="F1746" s="70" t="s">
        <v>1078</v>
      </c>
      <c r="G1746" s="70" t="s">
        <v>144</v>
      </c>
      <c r="H1746" s="69"/>
      <c r="I1746" s="92">
        <v>0.05</v>
      </c>
      <c r="J1746" s="93">
        <v>1000.0</v>
      </c>
      <c r="K1746" s="73" t="s">
        <v>2176</v>
      </c>
      <c r="L1746" s="73"/>
      <c r="M1746" s="73"/>
      <c r="N1746" s="74"/>
    </row>
    <row r="1747" ht="30.0" hidden="1" customHeight="1">
      <c r="A1747" s="68">
        <v>1763.0</v>
      </c>
      <c r="B1747" s="68"/>
      <c r="C1747" s="68"/>
      <c r="D1747" s="69" t="str">
        <f>CONCATENATE(PROPER('DASMA INFO'!$G1747),", ",PROPER('DASMA INFO'!$E1747)," ",PROPER('DASMA INFO'!$F1747),"."," (",UPPER('DASMA INFO'!$H1747),")")</f>
        <v>Aguilar, Esguerra Arline. ()</v>
      </c>
      <c r="E1747" s="70" t="s">
        <v>1870</v>
      </c>
      <c r="F1747" s="70" t="s">
        <v>1872</v>
      </c>
      <c r="G1747" s="70" t="s">
        <v>287</v>
      </c>
      <c r="H1747" s="69"/>
      <c r="I1747" s="92">
        <v>0.05</v>
      </c>
      <c r="J1747" s="93">
        <v>1000.0</v>
      </c>
      <c r="K1747" s="73" t="s">
        <v>3119</v>
      </c>
      <c r="L1747" s="73"/>
      <c r="M1747" s="73"/>
      <c r="N1747" s="74"/>
    </row>
    <row r="1748" ht="30.0" hidden="1" customHeight="1">
      <c r="A1748" s="68">
        <v>1764.0</v>
      </c>
      <c r="B1748" s="68"/>
      <c r="C1748" s="68"/>
      <c r="D1748" s="69" t="str">
        <f>CONCATENATE(PROPER('DASMA INFO'!$G1748),", ",PROPER('DASMA INFO'!$E1748)," ",PROPER('DASMA INFO'!$F1748),"."," (",UPPER('DASMA INFO'!$H1748),")")</f>
        <v>Dela Cruz, Joseph Roque. (ROQUE)</v>
      </c>
      <c r="E1748" s="70" t="s">
        <v>729</v>
      </c>
      <c r="F1748" s="70" t="s">
        <v>3034</v>
      </c>
      <c r="G1748" s="70" t="s">
        <v>636</v>
      </c>
      <c r="H1748" s="70" t="s">
        <v>3034</v>
      </c>
      <c r="I1748" s="92">
        <v>0.05</v>
      </c>
      <c r="J1748" s="93">
        <v>1000.0</v>
      </c>
      <c r="K1748" s="73" t="s">
        <v>3120</v>
      </c>
      <c r="L1748" s="73"/>
      <c r="M1748" s="73"/>
      <c r="N1748" s="74"/>
    </row>
    <row r="1749" ht="30.0" hidden="1" customHeight="1">
      <c r="A1749" s="68">
        <v>1765.0</v>
      </c>
      <c r="B1749" s="68"/>
      <c r="C1749" s="68"/>
      <c r="D1749" s="69" t="str">
        <f>CONCATENATE(PROPER('DASMA INFO'!$G1749),", ",PROPER('DASMA INFO'!$E1749)," ",PROPER('DASMA INFO'!$F1749),"."," (",UPPER('DASMA INFO'!$H1749),")")</f>
        <v>Jane, Domingo Ivy. (DAQUER)</v>
      </c>
      <c r="E1749" s="70" t="s">
        <v>1331</v>
      </c>
      <c r="F1749" s="70" t="s">
        <v>3121</v>
      </c>
      <c r="G1749" s="70" t="s">
        <v>1071</v>
      </c>
      <c r="H1749" s="70" t="s">
        <v>3122</v>
      </c>
      <c r="I1749" s="105">
        <v>0.12</v>
      </c>
      <c r="J1749" s="106">
        <v>1000.0</v>
      </c>
      <c r="K1749" s="73" t="s">
        <v>3123</v>
      </c>
      <c r="L1749" s="73"/>
      <c r="M1749" s="73"/>
      <c r="N1749" s="74"/>
    </row>
    <row r="1750" ht="30.0" hidden="1" customHeight="1">
      <c r="A1750" s="68">
        <v>1766.0</v>
      </c>
      <c r="B1750" s="68"/>
      <c r="C1750" s="68"/>
      <c r="D1750" s="69" t="str">
        <f>CONCATENATE(PROPER('DASMA INFO'!$G1750),", ",PROPER('DASMA INFO'!$E1750)," ",PROPER('DASMA INFO'!$F1750),"."," (",UPPER('DASMA INFO'!$H1750),")")</f>
        <v>Levy, Encarnado Jedrek. (VINLUAN)</v>
      </c>
      <c r="E1750" s="70" t="s">
        <v>183</v>
      </c>
      <c r="F1750" s="70" t="s">
        <v>3124</v>
      </c>
      <c r="G1750" s="70" t="s">
        <v>3125</v>
      </c>
      <c r="H1750" s="70" t="s">
        <v>3126</v>
      </c>
      <c r="I1750" s="105">
        <v>0.12</v>
      </c>
      <c r="J1750" s="106">
        <v>1000.0</v>
      </c>
      <c r="K1750" s="73" t="s">
        <v>1276</v>
      </c>
      <c r="L1750" s="73"/>
      <c r="M1750" s="73"/>
      <c r="N1750" s="74"/>
    </row>
    <row r="1751" ht="30.0" hidden="1" customHeight="1">
      <c r="A1751" s="68">
        <v>1767.0</v>
      </c>
      <c r="B1751" s="68"/>
      <c r="C1751" s="68"/>
      <c r="D1751" s="69" t="str">
        <f>CONCATENATE(PROPER('DASMA INFO'!$G1751),", ",PROPER('DASMA INFO'!$E1751)," ",PROPER('DASMA INFO'!$F1751),"."," (",UPPER('DASMA INFO'!$H1751),")")</f>
        <v>Jaronel, Peraldo Amado. ()</v>
      </c>
      <c r="E1751" s="70" t="s">
        <v>3127</v>
      </c>
      <c r="F1751" s="70" t="s">
        <v>3128</v>
      </c>
      <c r="G1751" s="70" t="s">
        <v>3129</v>
      </c>
      <c r="H1751" s="69"/>
      <c r="I1751" s="105">
        <v>0.12</v>
      </c>
      <c r="J1751" s="106">
        <v>1000.0</v>
      </c>
      <c r="K1751" s="73" t="s">
        <v>1276</v>
      </c>
      <c r="L1751" s="73"/>
      <c r="M1751" s="73"/>
      <c r="N1751" s="74"/>
    </row>
    <row r="1752" ht="30.0" hidden="1" customHeight="1">
      <c r="A1752" s="68">
        <v>1768.0</v>
      </c>
      <c r="B1752" s="68"/>
      <c r="C1752" s="68"/>
      <c r="D1752" s="69" t="str">
        <f>CONCATENATE(PROPER('DASMA INFO'!$G1752),", ",PROPER('DASMA INFO'!$E1752)," ",PROPER('DASMA INFO'!$F1752),"."," (",UPPER('DASMA INFO'!$H1752),")")</f>
        <v>Cielo, Guillermo Arlyn. ()</v>
      </c>
      <c r="E1752" s="70" t="s">
        <v>870</v>
      </c>
      <c r="F1752" s="70" t="s">
        <v>3130</v>
      </c>
      <c r="G1752" s="70" t="s">
        <v>3131</v>
      </c>
      <c r="H1752" s="69"/>
      <c r="I1752" s="92">
        <v>0.05</v>
      </c>
      <c r="J1752" s="93">
        <v>1000.0</v>
      </c>
      <c r="K1752" s="73" t="s">
        <v>2947</v>
      </c>
      <c r="L1752" s="73"/>
      <c r="M1752" s="73"/>
      <c r="N1752" s="74"/>
    </row>
    <row r="1753" ht="30.0" hidden="1" customHeight="1">
      <c r="A1753" s="68">
        <v>1769.0</v>
      </c>
      <c r="B1753" s="68"/>
      <c r="C1753" s="68"/>
      <c r="D1753" s="69" t="str">
        <f>CONCATENATE(PROPER('DASMA INFO'!$G1753),", ",PROPER('DASMA INFO'!$E1753)," ",PROPER('DASMA INFO'!$F1753),"."," (",UPPER('DASMA INFO'!$H1753),")")</f>
        <v>Grace, Jumamoy Marian. (PEÑA)</v>
      </c>
      <c r="E1753" s="70" t="s">
        <v>3132</v>
      </c>
      <c r="F1753" s="70" t="s">
        <v>811</v>
      </c>
      <c r="G1753" s="70" t="s">
        <v>1724</v>
      </c>
      <c r="H1753" s="70" t="s">
        <v>3133</v>
      </c>
      <c r="I1753" s="105">
        <v>0.12</v>
      </c>
      <c r="J1753" s="106">
        <v>1000.0</v>
      </c>
      <c r="K1753" s="73" t="s">
        <v>3134</v>
      </c>
      <c r="L1753" s="73"/>
      <c r="M1753" s="73"/>
      <c r="N1753" s="74"/>
    </row>
    <row r="1754" ht="30.0" hidden="1" customHeight="1">
      <c r="A1754" s="68">
        <v>1770.0</v>
      </c>
      <c r="B1754" s="68"/>
      <c r="C1754" s="68"/>
      <c r="D1754" s="69" t="str">
        <f>CONCATENATE(PROPER('DASMA INFO'!$G1754),", ",PROPER('DASMA INFO'!$E1754)," ",PROPER('DASMA INFO'!$F1754),"."," (",UPPER('DASMA INFO'!$H1754),")")</f>
        <v>Mariano, Wahit Gina. ()</v>
      </c>
      <c r="E1754" s="70" t="s">
        <v>3135</v>
      </c>
      <c r="F1754" s="70" t="s">
        <v>1103</v>
      </c>
      <c r="G1754" s="70" t="s">
        <v>1446</v>
      </c>
      <c r="H1754" s="69"/>
      <c r="I1754" s="105">
        <v>0.12</v>
      </c>
      <c r="J1754" s="106">
        <v>1000.0</v>
      </c>
      <c r="K1754" s="73" t="s">
        <v>1276</v>
      </c>
      <c r="L1754" s="73"/>
      <c r="M1754" s="73"/>
      <c r="N1754" s="74"/>
    </row>
    <row r="1755" ht="30.0" hidden="1" customHeight="1">
      <c r="A1755" s="68">
        <v>1771.0</v>
      </c>
      <c r="B1755" s="68"/>
      <c r="C1755" s="68"/>
      <c r="D1755" s="69" t="str">
        <f>CONCATENATE(PROPER('DASMA INFO'!$G1755),", ",PROPER('DASMA INFO'!$E1755)," ",PROPER('DASMA INFO'!$F1755),"."," (",UPPER('DASMA INFO'!$H1755),")")</f>
        <v>Marasigan, Gutierrez Merilyn. ()</v>
      </c>
      <c r="E1755" s="70" t="s">
        <v>2960</v>
      </c>
      <c r="F1755" s="70" t="s">
        <v>3136</v>
      </c>
      <c r="G1755" s="70" t="s">
        <v>3137</v>
      </c>
      <c r="H1755" s="69"/>
      <c r="I1755" s="105">
        <v>0.12</v>
      </c>
      <c r="J1755" s="106">
        <v>1000.0</v>
      </c>
      <c r="K1755" s="73" t="s">
        <v>2979</v>
      </c>
      <c r="L1755" s="73"/>
      <c r="M1755" s="73"/>
      <c r="N1755" s="74"/>
    </row>
    <row r="1756" ht="30.0" hidden="1" customHeight="1">
      <c r="A1756" s="68">
        <v>1772.0</v>
      </c>
      <c r="B1756" s="68"/>
      <c r="C1756" s="68"/>
      <c r="D1756" s="69" t="str">
        <f>CONCATENATE(PROPER('DASMA INFO'!$G1756),", ",PROPER('DASMA INFO'!$E1756)," ",PROPER('DASMA INFO'!$F1756),"."," (",UPPER('DASMA INFO'!$H1756),")")</f>
        <v>Dalumpines, Dimafelix Jocelyn. ()</v>
      </c>
      <c r="E1756" s="70" t="s">
        <v>3138</v>
      </c>
      <c r="F1756" s="70" t="s">
        <v>290</v>
      </c>
      <c r="G1756" s="70" t="s">
        <v>1928</v>
      </c>
      <c r="H1756" s="69"/>
      <c r="I1756" s="105">
        <v>0.12</v>
      </c>
      <c r="J1756" s="106">
        <v>1000.0</v>
      </c>
      <c r="K1756" s="73" t="s">
        <v>3032</v>
      </c>
      <c r="L1756" s="73"/>
      <c r="M1756" s="73"/>
      <c r="N1756" s="74"/>
    </row>
    <row r="1757" ht="30.0" hidden="1" customHeight="1">
      <c r="A1757" s="68">
        <v>1773.0</v>
      </c>
      <c r="B1757" s="68"/>
      <c r="C1757" s="68"/>
      <c r="D1757" s="69" t="str">
        <f>CONCATENATE(PROPER('DASMA INFO'!$G1757),", ",PROPER('DASMA INFO'!$E1757)," ",PROPER('DASMA INFO'!$F1757),"."," (",UPPER('DASMA INFO'!$H1757),")")</f>
        <v>Canillo, Maja Maricel. ()</v>
      </c>
      <c r="E1757" s="70" t="s">
        <v>3139</v>
      </c>
      <c r="F1757" s="70" t="s">
        <v>1458</v>
      </c>
      <c r="G1757" s="70" t="s">
        <v>3140</v>
      </c>
      <c r="H1757" s="69"/>
      <c r="I1757" s="105">
        <v>0.12</v>
      </c>
      <c r="J1757" s="106">
        <v>1000.0</v>
      </c>
      <c r="K1757" s="73" t="s">
        <v>2979</v>
      </c>
      <c r="L1757" s="73"/>
      <c r="M1757" s="73"/>
      <c r="N1757" s="74"/>
    </row>
    <row r="1758" ht="30.0" hidden="1" customHeight="1">
      <c r="A1758" s="68">
        <v>1774.0</v>
      </c>
      <c r="B1758" s="68"/>
      <c r="C1758" s="68"/>
      <c r="D1758" s="69" t="str">
        <f>CONCATENATE(PROPER('DASMA INFO'!$G1758),", ",PROPER('DASMA INFO'!$E1758)," ",PROPER('DASMA INFO'!$F1758),"."," (",UPPER('DASMA INFO'!$H1758),")")</f>
        <v>Siaron, Regondola Rea. ()</v>
      </c>
      <c r="E1758" s="70" t="s">
        <v>232</v>
      </c>
      <c r="F1758" s="70" t="s">
        <v>1069</v>
      </c>
      <c r="G1758" s="70" t="s">
        <v>3141</v>
      </c>
      <c r="H1758" s="69"/>
      <c r="I1758" s="92">
        <v>0.05</v>
      </c>
      <c r="J1758" s="93">
        <v>1000.0</v>
      </c>
      <c r="K1758" s="73" t="s">
        <v>3142</v>
      </c>
      <c r="L1758" s="73"/>
      <c r="M1758" s="73"/>
      <c r="N1758" s="74"/>
    </row>
    <row r="1759" ht="30.0" hidden="1" customHeight="1">
      <c r="A1759" s="68">
        <v>1775.0</v>
      </c>
      <c r="B1759" s="68"/>
      <c r="C1759" s="68"/>
      <c r="D1759" s="69" t="str">
        <f>CONCATENATE(PROPER('DASMA INFO'!$G1759),", ",PROPER('DASMA INFO'!$E1759)," ",PROPER('DASMA INFO'!$F1759),"."," (",UPPER('DASMA INFO'!$H1759),")")</f>
        <v>Jin, Lee Sung. ()</v>
      </c>
      <c r="E1759" s="70" t="s">
        <v>853</v>
      </c>
      <c r="F1759" s="70" t="s">
        <v>2551</v>
      </c>
      <c r="G1759" s="70" t="s">
        <v>1683</v>
      </c>
      <c r="H1759" s="69"/>
      <c r="I1759" s="105">
        <v>0.12</v>
      </c>
      <c r="J1759" s="106">
        <v>1000.0</v>
      </c>
      <c r="K1759" s="73" t="s">
        <v>3143</v>
      </c>
      <c r="L1759" s="73"/>
      <c r="M1759" s="73"/>
      <c r="N1759" s="74"/>
    </row>
    <row r="1760" ht="30.0" hidden="1" customHeight="1">
      <c r="A1760" s="68">
        <v>1776.0</v>
      </c>
      <c r="B1760" s="68"/>
      <c r="C1760" s="68"/>
      <c r="D1760" s="69" t="str">
        <f>CONCATENATE(PROPER('DASMA INFO'!$G1760),", ",PROPER('DASMA INFO'!$E1760)," ",PROPER('DASMA INFO'!$F1760),"."," (",UPPER('DASMA INFO'!$H1760),")")</f>
        <v>Rizon, Irene B. ()</v>
      </c>
      <c r="E1760" s="70" t="s">
        <v>46</v>
      </c>
      <c r="F1760" s="70" t="s">
        <v>627</v>
      </c>
      <c r="G1760" s="70" t="s">
        <v>3144</v>
      </c>
      <c r="H1760" s="69"/>
      <c r="I1760" s="92">
        <v>0.05</v>
      </c>
      <c r="J1760" s="93">
        <v>1000.0</v>
      </c>
      <c r="K1760" s="73" t="s">
        <v>3145</v>
      </c>
      <c r="L1760" s="73"/>
      <c r="M1760" s="73"/>
      <c r="N1760" s="74"/>
    </row>
    <row r="1761" ht="30.0" hidden="1" customHeight="1">
      <c r="A1761" s="68">
        <v>1777.0</v>
      </c>
      <c r="B1761" s="68"/>
      <c r="C1761" s="68"/>
      <c r="D1761" s="69" t="str">
        <f>CONCATENATE(PROPER('DASMA INFO'!$G1761),", ",PROPER('DASMA INFO'!$E1761)," ",PROPER('DASMA INFO'!$F1761),"."," (",UPPER('DASMA INFO'!$H1761),")")</f>
        <v>Tapang, Pader Christian. ()</v>
      </c>
      <c r="E1761" s="70" t="s">
        <v>3146</v>
      </c>
      <c r="F1761" s="70" t="s">
        <v>426</v>
      </c>
      <c r="G1761" s="70" t="s">
        <v>3147</v>
      </c>
      <c r="H1761" s="69"/>
      <c r="I1761" s="92">
        <v>0.05</v>
      </c>
      <c r="J1761" s="93">
        <v>1000.0</v>
      </c>
      <c r="K1761" s="73" t="s">
        <v>3104</v>
      </c>
      <c r="L1761" s="73"/>
      <c r="M1761" s="73"/>
      <c r="N1761" s="74"/>
    </row>
    <row r="1762" ht="30.0" hidden="1" customHeight="1">
      <c r="A1762" s="68">
        <v>1778.0</v>
      </c>
      <c r="B1762" s="68"/>
      <c r="C1762" s="68"/>
      <c r="D1762" s="69" t="str">
        <f>CONCATENATE(PROPER('DASMA INFO'!$G1762),", ",PROPER('DASMA INFO'!$E1762)," ",PROPER('DASMA INFO'!$F1762),"."," (",UPPER('DASMA INFO'!$H1762),")")</f>
        <v>Abarcentos, Depante Angelito. ()</v>
      </c>
      <c r="E1762" s="70" t="s">
        <v>3148</v>
      </c>
      <c r="F1762" s="70" t="s">
        <v>3149</v>
      </c>
      <c r="G1762" s="70" t="s">
        <v>3150</v>
      </c>
      <c r="H1762" s="69"/>
      <c r="I1762" s="105">
        <v>0.12</v>
      </c>
      <c r="J1762" s="106">
        <v>1000.0</v>
      </c>
      <c r="K1762" s="73" t="s">
        <v>1276</v>
      </c>
      <c r="L1762" s="73"/>
      <c r="M1762" s="73"/>
      <c r="N1762" s="74"/>
    </row>
    <row r="1763" ht="30.0" hidden="1" customHeight="1">
      <c r="A1763" s="68">
        <v>1779.0</v>
      </c>
      <c r="B1763" s="68"/>
      <c r="C1763" s="68"/>
      <c r="D1763" s="69" t="str">
        <f>CONCATENATE(PROPER('DASMA INFO'!$G1763),", ",PROPER('DASMA INFO'!$E1763)," ",PROPER('DASMA INFO'!$F1763),"."," (",UPPER('DASMA INFO'!$H1763),")")</f>
        <v>Rance, Salle Irene. ()</v>
      </c>
      <c r="E1763" s="70" t="s">
        <v>3151</v>
      </c>
      <c r="F1763" s="70" t="s">
        <v>46</v>
      </c>
      <c r="G1763" s="70" t="s">
        <v>3152</v>
      </c>
      <c r="H1763" s="69"/>
      <c r="I1763" s="92">
        <v>0.05</v>
      </c>
      <c r="J1763" s="93">
        <v>1000.0</v>
      </c>
      <c r="K1763" s="73" t="s">
        <v>2941</v>
      </c>
      <c r="L1763" s="73" t="s">
        <v>3153</v>
      </c>
      <c r="M1763" s="73">
        <v>2022.0</v>
      </c>
      <c r="N1763" s="74"/>
    </row>
    <row r="1764" ht="30.0" hidden="1" customHeight="1">
      <c r="A1764" s="68">
        <v>1780.0</v>
      </c>
      <c r="B1764" s="68"/>
      <c r="C1764" s="68"/>
      <c r="D1764" s="69" t="str">
        <f>CONCATENATE(PROPER('DASMA INFO'!$G1764),", ",PROPER('DASMA INFO'!$E1764)," ",PROPER('DASMA INFO'!$F1764),"."," (",UPPER('DASMA INFO'!$H1764),")")</f>
        <v>Alcaraz, Sanchez Louie. ()</v>
      </c>
      <c r="E1764" s="70" t="s">
        <v>2448</v>
      </c>
      <c r="F1764" s="70" t="s">
        <v>1647</v>
      </c>
      <c r="G1764" s="70" t="s">
        <v>2242</v>
      </c>
      <c r="H1764" s="69"/>
      <c r="I1764" s="105">
        <v>0.12</v>
      </c>
      <c r="J1764" s="106">
        <v>1000.0</v>
      </c>
      <c r="K1764" s="73" t="s">
        <v>3154</v>
      </c>
      <c r="L1764" s="73"/>
      <c r="M1764" s="73"/>
      <c r="N1764" s="74"/>
    </row>
    <row r="1765" ht="30.0" hidden="1" customHeight="1">
      <c r="A1765" s="68">
        <v>1781.0</v>
      </c>
      <c r="B1765" s="68"/>
      <c r="C1765" s="68"/>
      <c r="D1765" s="69" t="str">
        <f>CONCATENATE(PROPER('DASMA INFO'!$G1765),", ",PROPER('DASMA INFO'!$E1765)," ",PROPER('DASMA INFO'!$F1765),"."," (",UPPER('DASMA INFO'!$H1765),")")</f>
        <v>Tejada, Barongrong Romel. ()</v>
      </c>
      <c r="E1765" s="70" t="s">
        <v>3155</v>
      </c>
      <c r="F1765" s="70" t="s">
        <v>3156</v>
      </c>
      <c r="G1765" s="70" t="s">
        <v>785</v>
      </c>
      <c r="H1765" s="69"/>
      <c r="I1765" s="105">
        <v>0.12</v>
      </c>
      <c r="J1765" s="106">
        <v>1000.0</v>
      </c>
      <c r="K1765" s="73" t="s">
        <v>3157</v>
      </c>
      <c r="L1765" s="73"/>
      <c r="M1765" s="73"/>
      <c r="N1765" s="74"/>
    </row>
    <row r="1766" ht="30.0" hidden="1" customHeight="1">
      <c r="A1766" s="68">
        <v>1784.0</v>
      </c>
      <c r="B1766" s="68"/>
      <c r="C1766" s="68"/>
      <c r="D1766" s="69" t="str">
        <f>CONCATENATE(PROPER('DASMA INFO'!$G1766),", ",PROPER('DASMA INFO'!$E1766)," ",PROPER('DASMA INFO'!$F1766),"."," (",UPPER('DASMA INFO'!$H1766),")")</f>
        <v>Nacario, Ratin Elma. ()</v>
      </c>
      <c r="E1766" s="70" t="s">
        <v>3158</v>
      </c>
      <c r="F1766" s="70" t="s">
        <v>3159</v>
      </c>
      <c r="G1766" s="70" t="s">
        <v>3160</v>
      </c>
      <c r="H1766" s="69"/>
      <c r="I1766" s="105">
        <v>0.12</v>
      </c>
      <c r="J1766" s="106">
        <v>1000.0</v>
      </c>
      <c r="K1766" s="73" t="s">
        <v>1276</v>
      </c>
      <c r="L1766" s="73"/>
      <c r="M1766" s="73"/>
      <c r="N1766" s="74"/>
    </row>
    <row r="1767" ht="30.0" hidden="1" customHeight="1">
      <c r="A1767" s="68">
        <v>1785.0</v>
      </c>
      <c r="B1767" s="68"/>
      <c r="C1767" s="68"/>
      <c r="D1767" s="69" t="str">
        <f>CONCATENATE(PROPER('DASMA INFO'!$G1767),", ",PROPER('DASMA INFO'!$E1767)," ",PROPER('DASMA INFO'!$F1767),"."," (",UPPER('DASMA INFO'!$H1767),")")</f>
        <v>Mangahas, Kim Leila. ()</v>
      </c>
      <c r="E1767" s="70" t="s">
        <v>1392</v>
      </c>
      <c r="F1767" s="70" t="s">
        <v>1732</v>
      </c>
      <c r="G1767" s="70" t="s">
        <v>592</v>
      </c>
      <c r="H1767" s="69"/>
      <c r="I1767" s="105">
        <v>0.12</v>
      </c>
      <c r="J1767" s="106">
        <v>1000.0</v>
      </c>
      <c r="K1767" s="73" t="s">
        <v>1276</v>
      </c>
      <c r="L1767" s="73"/>
      <c r="M1767" s="73"/>
      <c r="N1767" s="74"/>
    </row>
    <row r="1768" ht="30.0" hidden="1" customHeight="1">
      <c r="A1768" s="68">
        <v>1786.0</v>
      </c>
      <c r="B1768" s="68"/>
      <c r="C1768" s="68"/>
      <c r="D1768" s="69" t="str">
        <f>CONCATENATE(PROPER('DASMA INFO'!$G1768),", ",PROPER('DASMA INFO'!$E1768)," ",PROPER('DASMA INFO'!$F1768),"."," (",UPPER('DASMA INFO'!$H1768),")")</f>
        <v>Abella, Girlie E. ()</v>
      </c>
      <c r="E1768" s="70" t="s">
        <v>3161</v>
      </c>
      <c r="F1768" s="70" t="s">
        <v>299</v>
      </c>
      <c r="G1768" s="70" t="s">
        <v>167</v>
      </c>
      <c r="H1768" s="69"/>
      <c r="I1768" s="92">
        <v>0.05</v>
      </c>
      <c r="J1768" s="93">
        <v>1000.0</v>
      </c>
      <c r="K1768" s="73" t="s">
        <v>3162</v>
      </c>
      <c r="L1768" s="73"/>
      <c r="M1768" s="73"/>
      <c r="N1768" s="74"/>
    </row>
    <row r="1769" ht="30.0" hidden="1" customHeight="1">
      <c r="A1769" s="68">
        <v>1787.0</v>
      </c>
      <c r="B1769" s="68"/>
      <c r="C1769" s="68"/>
      <c r="D1769" s="69" t="str">
        <f>CONCATENATE(PROPER('DASMA INFO'!$G1769),", ",PROPER('DASMA INFO'!$E1769)," ",PROPER('DASMA INFO'!$F1769),"."," (",UPPER('DASMA INFO'!$H1769),")")</f>
        <v>Ecat, Villamor Bellaverde. ()</v>
      </c>
      <c r="E1769" s="70" t="s">
        <v>146</v>
      </c>
      <c r="F1769" s="70" t="s">
        <v>3163</v>
      </c>
      <c r="G1769" s="70" t="s">
        <v>3164</v>
      </c>
      <c r="H1769" s="69"/>
      <c r="I1769" s="92">
        <v>0.05</v>
      </c>
      <c r="J1769" s="93">
        <v>1000.0</v>
      </c>
      <c r="K1769" s="73" t="s">
        <v>1053</v>
      </c>
      <c r="L1769" s="73"/>
      <c r="M1769" s="73"/>
      <c r="N1769" s="74"/>
    </row>
    <row r="1770" ht="30.0" hidden="1" customHeight="1">
      <c r="A1770" s="68">
        <v>1788.0</v>
      </c>
      <c r="B1770" s="68"/>
      <c r="C1770" s="68"/>
      <c r="D1770" s="69" t="str">
        <f>CONCATENATE(PROPER('DASMA INFO'!$G1770),", ",PROPER('DASMA INFO'!$E1770)," ",PROPER('DASMA INFO'!$F1770),"."," (",UPPER('DASMA INFO'!$H1770),")")</f>
        <v>Obleada, Dinglasan Alnard. ()</v>
      </c>
      <c r="E1770" s="70" t="s">
        <v>3165</v>
      </c>
      <c r="F1770" s="70" t="s">
        <v>3166</v>
      </c>
      <c r="G1770" s="70" t="s">
        <v>3167</v>
      </c>
      <c r="H1770" s="69"/>
      <c r="I1770" s="105">
        <v>0.12</v>
      </c>
      <c r="J1770" s="106">
        <v>1000.0</v>
      </c>
      <c r="K1770" s="73" t="s">
        <v>1276</v>
      </c>
      <c r="L1770" s="73"/>
      <c r="M1770" s="73"/>
      <c r="N1770" s="74"/>
    </row>
    <row r="1771" ht="30.0" hidden="1" customHeight="1">
      <c r="A1771" s="68">
        <v>1789.0</v>
      </c>
      <c r="B1771" s="68"/>
      <c r="C1771" s="68"/>
      <c r="D1771" s="69" t="str">
        <f>CONCATENATE(PROPER('DASMA INFO'!$G1771),", ",PROPER('DASMA INFO'!$E1771)," ",PROPER('DASMA INFO'!$F1771),"."," (",UPPER('DASMA INFO'!$H1771),")")</f>
        <v>Campano, Figueroa Mark. ()</v>
      </c>
      <c r="E1771" s="70" t="s">
        <v>3168</v>
      </c>
      <c r="F1771" s="70" t="s">
        <v>99</v>
      </c>
      <c r="G1771" s="70" t="s">
        <v>3169</v>
      </c>
      <c r="H1771" s="69"/>
      <c r="I1771" s="105">
        <v>0.12</v>
      </c>
      <c r="J1771" s="106">
        <v>1000.0</v>
      </c>
      <c r="K1771" s="73" t="s">
        <v>1276</v>
      </c>
      <c r="L1771" s="73"/>
      <c r="M1771" s="73"/>
      <c r="N1771" s="74"/>
    </row>
    <row r="1772" ht="30.0" hidden="1" customHeight="1">
      <c r="A1772" s="68">
        <v>1790.0</v>
      </c>
      <c r="B1772" s="68"/>
      <c r="C1772" s="68"/>
      <c r="D1772" s="69" t="str">
        <f>CONCATENATE(PROPER('DASMA INFO'!$G1772),", ",PROPER('DASMA INFO'!$E1772)," ",PROPER('DASMA INFO'!$F1772),"."," (",UPPER('DASMA INFO'!$H1772),")")</f>
        <v>Campanco, Perea Israel. ()</v>
      </c>
      <c r="E1772" s="70" t="s">
        <v>1534</v>
      </c>
      <c r="F1772" s="70" t="s">
        <v>2142</v>
      </c>
      <c r="G1772" s="70" t="s">
        <v>3170</v>
      </c>
      <c r="H1772" s="69"/>
      <c r="I1772" s="105">
        <v>0.12</v>
      </c>
      <c r="J1772" s="106">
        <v>1000.0</v>
      </c>
      <c r="K1772" s="73" t="s">
        <v>1276</v>
      </c>
      <c r="L1772" s="73"/>
      <c r="M1772" s="73"/>
      <c r="N1772" s="74"/>
    </row>
    <row r="1773" ht="30.0" hidden="1" customHeight="1">
      <c r="A1773" s="68">
        <v>1791.0</v>
      </c>
      <c r="B1773" s="68"/>
      <c r="C1773" s="68"/>
      <c r="D1773" s="69" t="str">
        <f>CONCATENATE(PROPER('DASMA INFO'!$G1773),", ",PROPER('DASMA INFO'!$E1773)," ",PROPER('DASMA INFO'!$F1773),"."," (",UPPER('DASMA INFO'!$H1773),")")</f>
        <v>Retaga, Yu Sanjay. ()</v>
      </c>
      <c r="E1773" s="70" t="s">
        <v>297</v>
      </c>
      <c r="F1773" s="70" t="s">
        <v>3171</v>
      </c>
      <c r="G1773" s="70" t="s">
        <v>3172</v>
      </c>
      <c r="H1773" s="69"/>
      <c r="I1773" s="105">
        <v>0.12</v>
      </c>
      <c r="J1773" s="106">
        <v>1000.0</v>
      </c>
      <c r="K1773" s="73" t="s">
        <v>2928</v>
      </c>
      <c r="L1773" s="73"/>
      <c r="M1773" s="73"/>
      <c r="N1773" s="74"/>
    </row>
    <row r="1774" ht="30.0" hidden="1" customHeight="1">
      <c r="A1774" s="68">
        <v>1792.0</v>
      </c>
      <c r="B1774" s="68"/>
      <c r="C1774" s="68"/>
      <c r="D1774" s="69" t="str">
        <f>CONCATENATE(PROPER('DASMA INFO'!$G1774),", ",PROPER('DASMA INFO'!$E1774)," ",PROPER('DASMA INFO'!$F1774),"."," (",UPPER('DASMA INFO'!$H1774),")")</f>
        <v>Moran, Diamante Mildred. ()</v>
      </c>
      <c r="E1774" s="70" t="s">
        <v>3173</v>
      </c>
      <c r="F1774" s="70" t="s">
        <v>1385</v>
      </c>
      <c r="G1774" s="70" t="s">
        <v>1911</v>
      </c>
      <c r="H1774" s="69"/>
      <c r="I1774" s="105">
        <v>0.12</v>
      </c>
      <c r="J1774" s="106">
        <v>1000.0</v>
      </c>
      <c r="K1774" s="73" t="s">
        <v>3174</v>
      </c>
      <c r="L1774" s="73"/>
      <c r="M1774" s="73"/>
      <c r="N1774" s="74"/>
    </row>
    <row r="1775" ht="30.0" hidden="1" customHeight="1">
      <c r="A1775" s="68">
        <v>1793.0</v>
      </c>
      <c r="B1775" s="68"/>
      <c r="C1775" s="68"/>
      <c r="D1775" s="69" t="str">
        <f>CONCATENATE(PROPER('DASMA INFO'!$G1775),", ",PROPER('DASMA INFO'!$E1775)," ",PROPER('DASMA INFO'!$F1775),"."," (",UPPER('DASMA INFO'!$H1775),")")</f>
        <v>Nota, Lesaguis Ruth. ()</v>
      </c>
      <c r="E1775" s="70" t="s">
        <v>3175</v>
      </c>
      <c r="F1775" s="70" t="s">
        <v>1080</v>
      </c>
      <c r="G1775" s="70" t="s">
        <v>3176</v>
      </c>
      <c r="H1775" s="69"/>
      <c r="I1775" s="92">
        <v>0.05</v>
      </c>
      <c r="J1775" s="93">
        <v>1000.0</v>
      </c>
      <c r="K1775" s="73"/>
      <c r="L1775" s="73"/>
      <c r="M1775" s="73"/>
      <c r="N1775" s="74"/>
    </row>
    <row r="1776" ht="30.0" hidden="1" customHeight="1">
      <c r="A1776" s="68">
        <v>1794.0</v>
      </c>
      <c r="B1776" s="68"/>
      <c r="C1776" s="68"/>
      <c r="D1776" s="69" t="str">
        <f>CONCATENATE(PROPER('DASMA INFO'!$G1776),", ",PROPER('DASMA INFO'!$E1776)," ",PROPER('DASMA INFO'!$F1776),"."," (",UPPER('DASMA INFO'!$H1776),")")</f>
        <v>Picayo, Suliguin Venchito. ()</v>
      </c>
      <c r="E1776" s="70" t="s">
        <v>3177</v>
      </c>
      <c r="F1776" s="70" t="s">
        <v>3178</v>
      </c>
      <c r="G1776" s="70" t="s">
        <v>3179</v>
      </c>
      <c r="H1776" s="69"/>
      <c r="I1776" s="105">
        <v>0.12</v>
      </c>
      <c r="J1776" s="106">
        <v>1000.0</v>
      </c>
      <c r="K1776" s="73" t="s">
        <v>1276</v>
      </c>
      <c r="L1776" s="73"/>
      <c r="M1776" s="73"/>
      <c r="N1776" s="74"/>
    </row>
    <row r="1777" ht="30.0" hidden="1" customHeight="1">
      <c r="A1777" s="68">
        <v>1795.0</v>
      </c>
      <c r="B1777" s="68"/>
      <c r="C1777" s="68"/>
      <c r="D1777" s="69" t="str">
        <f>CONCATENATE(PROPER('DASMA INFO'!$G1777),", ",PROPER('DASMA INFO'!$E1777)," ",PROPER('DASMA INFO'!$F1777),"."," (",UPPER('DASMA INFO'!$H1777),")")</f>
        <v>Santos, Luyon Edilbert. (OCAMPO)</v>
      </c>
      <c r="E1777" s="70" t="s">
        <v>524</v>
      </c>
      <c r="F1777" s="70" t="s">
        <v>3045</v>
      </c>
      <c r="G1777" s="70" t="s">
        <v>204</v>
      </c>
      <c r="H1777" s="70" t="s">
        <v>1074</v>
      </c>
      <c r="I1777" s="105">
        <v>0.12</v>
      </c>
      <c r="J1777" s="106">
        <v>1000.0</v>
      </c>
      <c r="K1777" s="73" t="s">
        <v>1276</v>
      </c>
      <c r="L1777" s="73"/>
      <c r="M1777" s="73"/>
      <c r="N1777" s="74"/>
    </row>
    <row r="1778" ht="30.0" hidden="1" customHeight="1">
      <c r="A1778" s="68">
        <v>1796.0</v>
      </c>
      <c r="B1778" s="68"/>
      <c r="C1778" s="68"/>
      <c r="D1778" s="69" t="str">
        <f>CONCATENATE(PROPER('DASMA INFO'!$G1778),", ",PROPER('DASMA INFO'!$E1778)," ",PROPER('DASMA INFO'!$F1778),"."," (",UPPER('DASMA INFO'!$H1778),")")</f>
        <v>Cervantes, Venzon Rowell. ()</v>
      </c>
      <c r="E1778" s="70" t="s">
        <v>3180</v>
      </c>
      <c r="F1778" s="70" t="s">
        <v>3181</v>
      </c>
      <c r="G1778" s="70" t="s">
        <v>2088</v>
      </c>
      <c r="H1778" s="69"/>
      <c r="I1778" s="92">
        <v>0.05</v>
      </c>
      <c r="J1778" s="93">
        <v>1000.0</v>
      </c>
      <c r="K1778" s="73" t="s">
        <v>3118</v>
      </c>
      <c r="L1778" s="73"/>
      <c r="M1778" s="73"/>
      <c r="N1778" s="74"/>
    </row>
    <row r="1779" ht="30.0" hidden="1" customHeight="1">
      <c r="A1779" s="68">
        <v>1797.0</v>
      </c>
      <c r="B1779" s="68"/>
      <c r="C1779" s="68"/>
      <c r="D1779" s="69" t="str">
        <f>CONCATENATE(PROPER('DASMA INFO'!$G1779),", ",PROPER('DASMA INFO'!$E1779)," ",PROPER('DASMA INFO'!$F1779),"."," (",UPPER('DASMA INFO'!$H1779),")")</f>
        <v>Zorilla, Hernandez Jennifer. ()</v>
      </c>
      <c r="E1779" s="70" t="s">
        <v>635</v>
      </c>
      <c r="F1779" s="70" t="s">
        <v>964</v>
      </c>
      <c r="G1779" s="70" t="s">
        <v>3182</v>
      </c>
      <c r="H1779" s="69"/>
      <c r="I1779" s="105">
        <v>0.12</v>
      </c>
      <c r="J1779" s="106">
        <v>1000.0</v>
      </c>
      <c r="K1779" s="73" t="s">
        <v>1276</v>
      </c>
      <c r="L1779" s="73"/>
      <c r="M1779" s="73"/>
      <c r="N1779" s="74"/>
    </row>
    <row r="1780" ht="30.0" hidden="1" customHeight="1">
      <c r="A1780" s="68">
        <v>1798.0</v>
      </c>
      <c r="B1780" s="68"/>
      <c r="C1780" s="68"/>
      <c r="D1780" s="69" t="str">
        <f>CONCATENATE(PROPER('DASMA INFO'!$G1780),", ",PROPER('DASMA INFO'!$E1780)," ",PROPER('DASMA INFO'!$F1780),"."," (",UPPER('DASMA INFO'!$H1780),")")</f>
        <v>Cruz, Maria Estrabo. ()</v>
      </c>
      <c r="E1780" s="70" t="s">
        <v>640</v>
      </c>
      <c r="F1780" s="70" t="s">
        <v>3183</v>
      </c>
      <c r="G1780" s="69" t="s">
        <v>676</v>
      </c>
      <c r="H1780" s="69"/>
      <c r="I1780" s="105">
        <v>0.12</v>
      </c>
      <c r="J1780" s="106">
        <v>1000.0</v>
      </c>
      <c r="K1780" s="73" t="s">
        <v>3184</v>
      </c>
      <c r="L1780" s="73"/>
      <c r="M1780" s="73"/>
      <c r="N1780" s="74"/>
    </row>
    <row r="1781" ht="30.0" hidden="1" customHeight="1">
      <c r="A1781" s="68">
        <v>1799.0</v>
      </c>
      <c r="B1781" s="68"/>
      <c r="C1781" s="68"/>
      <c r="D1781" s="69" t="str">
        <f>CONCATENATE(PROPER('DASMA INFO'!$G1781),", ",PROPER('DASMA INFO'!$E1781)," ",PROPER('DASMA INFO'!$F1781),"."," (",UPPER('DASMA INFO'!$H1781),")")</f>
        <v>Chavez, Anthony D. ()</v>
      </c>
      <c r="E1781" s="70" t="s">
        <v>360</v>
      </c>
      <c r="F1781" s="69" t="s">
        <v>1078</v>
      </c>
      <c r="G1781" s="70" t="s">
        <v>179</v>
      </c>
      <c r="H1781" s="69"/>
      <c r="I1781" s="105">
        <v>0.12</v>
      </c>
      <c r="J1781" s="106">
        <v>1000.0</v>
      </c>
      <c r="K1781" s="73" t="s">
        <v>3185</v>
      </c>
      <c r="L1781" s="73"/>
      <c r="M1781" s="73"/>
      <c r="N1781" s="74"/>
    </row>
    <row r="1782" ht="30.0" hidden="1" customHeight="1">
      <c r="A1782" s="68">
        <v>1800.0</v>
      </c>
      <c r="B1782" s="68"/>
      <c r="C1782" s="68"/>
      <c r="D1782" s="69" t="str">
        <f>CONCATENATE(PROPER('DASMA INFO'!$G1782),", ",PROPER('DASMA INFO'!$E1782)," ",PROPER('DASMA INFO'!$F1782),"."," (",UPPER('DASMA INFO'!$H1782),")")</f>
        <v>Grace, Tanfelix Mary. (TORREJOS)</v>
      </c>
      <c r="E1782" s="70" t="s">
        <v>1400</v>
      </c>
      <c r="F1782" s="70" t="s">
        <v>3186</v>
      </c>
      <c r="G1782" s="70" t="s">
        <v>1724</v>
      </c>
      <c r="H1782" s="70" t="s">
        <v>3187</v>
      </c>
      <c r="I1782" s="105">
        <v>0.12</v>
      </c>
      <c r="J1782" s="106">
        <v>1000.0</v>
      </c>
      <c r="K1782" s="73" t="s">
        <v>1276</v>
      </c>
      <c r="L1782" s="73"/>
      <c r="M1782" s="73"/>
      <c r="N1782" s="74"/>
    </row>
    <row r="1783" ht="30.0" hidden="1" customHeight="1">
      <c r="A1783" s="68">
        <v>1801.0</v>
      </c>
      <c r="B1783" s="68"/>
      <c r="C1783" s="68"/>
      <c r="D1783" s="69" t="str">
        <f>CONCATENATE(PROPER('DASMA INFO'!$G1783),", ",PROPER('DASMA INFO'!$E1783)," ",PROPER('DASMA INFO'!$F1783),"."," (",UPPER('DASMA INFO'!$H1783),")")</f>
        <v>Domingo, Tablada Cezar. ()</v>
      </c>
      <c r="E1783" s="70" t="s">
        <v>1036</v>
      </c>
      <c r="F1783" s="70" t="s">
        <v>3188</v>
      </c>
      <c r="G1783" s="70" t="s">
        <v>1331</v>
      </c>
      <c r="H1783" s="69"/>
      <c r="I1783" s="105">
        <v>0.12</v>
      </c>
      <c r="J1783" s="106">
        <v>1000.0</v>
      </c>
      <c r="K1783" s="73"/>
      <c r="L1783" s="73"/>
      <c r="M1783" s="73"/>
      <c r="N1783" s="74"/>
    </row>
    <row r="1784" ht="30.0" hidden="1" customHeight="1">
      <c r="A1784" s="68">
        <v>1802.0</v>
      </c>
      <c r="B1784" s="68"/>
      <c r="C1784" s="68"/>
      <c r="D1784" s="69" t="str">
        <f>CONCATENATE(PROPER('DASMA INFO'!$G1784),", ",PROPER('DASMA INFO'!$E1784)," ",PROPER('DASMA INFO'!$F1784),"."," (",UPPER('DASMA INFO'!$H1784),")")</f>
        <v>Vertudes, Locsin Florian. (FRANCO)</v>
      </c>
      <c r="E1784" s="70" t="s">
        <v>1979</v>
      </c>
      <c r="F1784" s="70" t="s">
        <v>3189</v>
      </c>
      <c r="G1784" s="70" t="s">
        <v>3190</v>
      </c>
      <c r="H1784" s="70" t="s">
        <v>3191</v>
      </c>
      <c r="I1784" s="105">
        <v>0.12</v>
      </c>
      <c r="J1784" s="106">
        <v>1000.0</v>
      </c>
      <c r="K1784" s="73" t="s">
        <v>1276</v>
      </c>
      <c r="L1784" s="73"/>
      <c r="M1784" s="73"/>
      <c r="N1784" s="74"/>
    </row>
    <row r="1785" ht="30.0" hidden="1" customHeight="1">
      <c r="A1785" s="68">
        <v>1803.0</v>
      </c>
      <c r="B1785" s="68"/>
      <c r="C1785" s="68"/>
      <c r="D1785" s="69" t="str">
        <f>CONCATENATE(PROPER('DASMA INFO'!$G1785),", ",PROPER('DASMA INFO'!$E1785)," ",PROPER('DASMA INFO'!$F1785),"."," (",UPPER('DASMA INFO'!$H1785),")")</f>
        <v>Anizardo, Videña Antonio. ()</v>
      </c>
      <c r="E1785" s="70" t="s">
        <v>3192</v>
      </c>
      <c r="F1785" s="70" t="s">
        <v>76</v>
      </c>
      <c r="G1785" s="70" t="s">
        <v>3193</v>
      </c>
      <c r="H1785" s="69"/>
      <c r="I1785" s="105">
        <v>0.12</v>
      </c>
      <c r="J1785" s="106">
        <v>1000.0</v>
      </c>
      <c r="K1785" s="73" t="s">
        <v>2979</v>
      </c>
      <c r="L1785" s="73"/>
      <c r="M1785" s="73"/>
      <c r="N1785" s="74"/>
    </row>
    <row r="1786" ht="30.0" hidden="1" customHeight="1">
      <c r="A1786" s="68">
        <v>1804.0</v>
      </c>
      <c r="B1786" s="68"/>
      <c r="C1786" s="68"/>
      <c r="D1786" s="69" t="str">
        <f>CONCATENATE(PROPER('DASMA INFO'!$G1786),", ",PROPER('DASMA INFO'!$E1786)," ",PROPER('DASMA INFO'!$F1786),"."," (",UPPER('DASMA INFO'!$H1786),")")</f>
        <v>Icaro, Ilaga Jommel. ()</v>
      </c>
      <c r="E1786" s="70" t="s">
        <v>3194</v>
      </c>
      <c r="F1786" s="70" t="s">
        <v>3195</v>
      </c>
      <c r="G1786" s="70" t="s">
        <v>3196</v>
      </c>
      <c r="H1786" s="69"/>
      <c r="I1786" s="105">
        <v>0.12</v>
      </c>
      <c r="J1786" s="106">
        <v>1000.0</v>
      </c>
      <c r="K1786" s="73" t="s">
        <v>1131</v>
      </c>
      <c r="L1786" s="73"/>
      <c r="M1786" s="73"/>
      <c r="N1786" s="74"/>
    </row>
    <row r="1787" ht="30.0" hidden="1" customHeight="1">
      <c r="A1787" s="68">
        <v>1805.0</v>
      </c>
      <c r="B1787" s="68"/>
      <c r="C1787" s="68"/>
      <c r="D1787" s="69" t="str">
        <f>CONCATENATE(PROPER('DASMA INFO'!$G1787),", ",PROPER('DASMA INFO'!$E1787)," ",PROPER('DASMA INFO'!$F1787),"."," (",UPPER('DASMA INFO'!$H1787),")")</f>
        <v>Bejasa, Balares Alejandro. ()</v>
      </c>
      <c r="E1787" s="70" t="s">
        <v>3197</v>
      </c>
      <c r="F1787" s="70" t="s">
        <v>3198</v>
      </c>
      <c r="G1787" s="70" t="s">
        <v>389</v>
      </c>
      <c r="H1787" s="69"/>
      <c r="I1787" s="105">
        <v>0.12</v>
      </c>
      <c r="J1787" s="106">
        <v>1000.0</v>
      </c>
      <c r="K1787" s="73" t="s">
        <v>3199</v>
      </c>
      <c r="L1787" s="73"/>
      <c r="M1787" s="73"/>
      <c r="N1787" s="74"/>
    </row>
    <row r="1788" ht="30.0" hidden="1" customHeight="1">
      <c r="A1788" s="68">
        <v>1806.0</v>
      </c>
      <c r="B1788" s="68"/>
      <c r="C1788" s="68"/>
      <c r="D1788" s="69" t="str">
        <f>CONCATENATE(PROPER('DASMA INFO'!$G1788),", ",PROPER('DASMA INFO'!$E1788)," ",PROPER('DASMA INFO'!$F1788),"."," (",UPPER('DASMA INFO'!$H1788),")")</f>
        <v>Ortega, Vivian P. ()</v>
      </c>
      <c r="E1788" s="70" t="s">
        <v>1811</v>
      </c>
      <c r="F1788" s="70" t="s">
        <v>513</v>
      </c>
      <c r="G1788" s="70" t="s">
        <v>3200</v>
      </c>
      <c r="H1788" s="69"/>
      <c r="I1788" s="92">
        <v>0.05</v>
      </c>
      <c r="J1788" s="93">
        <v>1000.0</v>
      </c>
      <c r="K1788" s="73" t="s">
        <v>3201</v>
      </c>
      <c r="L1788" s="73"/>
      <c r="M1788" s="73"/>
      <c r="N1788" s="74"/>
    </row>
    <row r="1789" ht="30.0" hidden="1" customHeight="1">
      <c r="A1789" s="68">
        <v>1807.0</v>
      </c>
      <c r="B1789" s="68"/>
      <c r="C1789" s="68"/>
      <c r="D1789" s="69" t="str">
        <f>CONCATENATE(PROPER('DASMA INFO'!$G1789),", ",PROPER('DASMA INFO'!$E1789)," ",PROPER('DASMA INFO'!$F1789),"."," (",UPPER('DASMA INFO'!$H1789),")")</f>
        <v>Lirag, Robles Ronalyn. ()</v>
      </c>
      <c r="E1789" s="70" t="s">
        <v>3202</v>
      </c>
      <c r="F1789" s="70" t="s">
        <v>3203</v>
      </c>
      <c r="G1789" s="70" t="s">
        <v>3204</v>
      </c>
      <c r="H1789" s="69"/>
      <c r="I1789" s="92">
        <v>0.05</v>
      </c>
      <c r="J1789" s="93">
        <v>1000.0</v>
      </c>
      <c r="K1789" s="73" t="s">
        <v>3104</v>
      </c>
      <c r="L1789" s="73"/>
      <c r="M1789" s="73"/>
      <c r="N1789" s="74"/>
    </row>
    <row r="1790" ht="30.0" hidden="1" customHeight="1">
      <c r="A1790" s="68">
        <v>1808.0</v>
      </c>
      <c r="B1790" s="68"/>
      <c r="C1790" s="68"/>
      <c r="D1790" s="69" t="str">
        <f>CONCATENATE(PROPER('DASMA INFO'!$G1790),", ",PROPER('DASMA INFO'!$E1790)," ",PROPER('DASMA INFO'!$F1790),"."," (",UPPER('DASMA INFO'!$H1790),")")</f>
        <v>Espinas, Dionisio Jeshiree. ()</v>
      </c>
      <c r="E1790" s="70" t="s">
        <v>2226</v>
      </c>
      <c r="F1790" s="70" t="s">
        <v>3205</v>
      </c>
      <c r="G1790" s="70" t="s">
        <v>998</v>
      </c>
      <c r="H1790" s="69"/>
      <c r="I1790" s="105">
        <v>0.12</v>
      </c>
      <c r="J1790" s="106">
        <v>1000.0</v>
      </c>
      <c r="K1790" s="73" t="s">
        <v>3206</v>
      </c>
      <c r="L1790" s="73"/>
      <c r="M1790" s="73"/>
      <c r="N1790" s="74"/>
    </row>
    <row r="1791" ht="30.0" hidden="1" customHeight="1">
      <c r="A1791" s="68">
        <v>1809.0</v>
      </c>
      <c r="B1791" s="68"/>
      <c r="C1791" s="68"/>
      <c r="D1791" s="69" t="str">
        <f>CONCATENATE(PROPER('DASMA INFO'!$G1791),", ",PROPER('DASMA INFO'!$E1791)," ",PROPER('DASMA INFO'!$F1791),"."," (",UPPER('DASMA INFO'!$H1791),")")</f>
        <v>Boco, Rocillo Myrna. ()</v>
      </c>
      <c r="E1791" s="70" t="s">
        <v>3207</v>
      </c>
      <c r="F1791" s="70" t="s">
        <v>586</v>
      </c>
      <c r="G1791" s="70" t="s">
        <v>3208</v>
      </c>
      <c r="H1791" s="69"/>
      <c r="I1791" s="105">
        <v>0.12</v>
      </c>
      <c r="J1791" s="106">
        <v>1000.0</v>
      </c>
      <c r="K1791" s="73" t="s">
        <v>1156</v>
      </c>
      <c r="L1791" s="73"/>
      <c r="M1791" s="73"/>
      <c r="N1791" s="74"/>
    </row>
    <row r="1792" ht="30.0" hidden="1" customHeight="1">
      <c r="A1792" s="68">
        <v>1810.0</v>
      </c>
      <c r="B1792" s="68"/>
      <c r="C1792" s="68"/>
      <c r="D1792" s="69" t="str">
        <f>CONCATENATE(PROPER('DASMA INFO'!$G1792),", ",PROPER('DASMA INFO'!$E1792)," ",PROPER('DASMA INFO'!$F1792),"."," (",UPPER('DASMA INFO'!$H1792),")")</f>
        <v>Cinense, Libato Katherine. ()</v>
      </c>
      <c r="E1792" s="70" t="s">
        <v>3209</v>
      </c>
      <c r="F1792" s="70" t="s">
        <v>3210</v>
      </c>
      <c r="G1792" s="70" t="s">
        <v>3211</v>
      </c>
      <c r="H1792" s="69"/>
      <c r="I1792" s="105">
        <v>0.12</v>
      </c>
      <c r="J1792" s="106">
        <v>1000.0</v>
      </c>
      <c r="K1792" s="73" t="s">
        <v>2928</v>
      </c>
      <c r="L1792" s="73"/>
      <c r="M1792" s="73"/>
      <c r="N1792" s="74"/>
    </row>
    <row r="1793" ht="30.0" hidden="1" customHeight="1">
      <c r="A1793" s="68">
        <v>1811.0</v>
      </c>
      <c r="B1793" s="68"/>
      <c r="C1793" s="68"/>
      <c r="D1793" s="69" t="str">
        <f>CONCATENATE(PROPER('DASMA INFO'!$G1793),", ",PROPER('DASMA INFO'!$E1793)," ",PROPER('DASMA INFO'!$F1793),"."," (",UPPER('DASMA INFO'!$H1793),")")</f>
        <v>Atienza, Layaban Salvador. ()</v>
      </c>
      <c r="E1793" s="70" t="s">
        <v>3212</v>
      </c>
      <c r="F1793" s="70" t="s">
        <v>900</v>
      </c>
      <c r="G1793" s="70" t="s">
        <v>3213</v>
      </c>
      <c r="H1793" s="69"/>
      <c r="I1793" s="105">
        <v>0.12</v>
      </c>
      <c r="J1793" s="106">
        <v>1000.0</v>
      </c>
      <c r="K1793" s="73" t="s">
        <v>3157</v>
      </c>
      <c r="L1793" s="73"/>
      <c r="M1793" s="73"/>
      <c r="N1793" s="74"/>
    </row>
    <row r="1794" ht="30.0" hidden="1" customHeight="1">
      <c r="A1794" s="68">
        <v>1813.0</v>
      </c>
      <c r="B1794" s="68"/>
      <c r="C1794" s="68"/>
      <c r="D1794" s="69" t="str">
        <f>CONCATENATE(PROPER('DASMA INFO'!$G1794),", ",PROPER('DASMA INFO'!$E1794)," ",PROPER('DASMA INFO'!$F1794),"."," (",UPPER('DASMA INFO'!$H1794),")")</f>
        <v>Leliza, Somongsong Marcelino. ()</v>
      </c>
      <c r="E1794" s="70" t="s">
        <v>3214</v>
      </c>
      <c r="F1794" s="70" t="s">
        <v>2234</v>
      </c>
      <c r="G1794" s="70" t="s">
        <v>3215</v>
      </c>
      <c r="H1794" s="69"/>
      <c r="I1794" s="105">
        <v>0.12</v>
      </c>
      <c r="J1794" s="106">
        <v>1000.0</v>
      </c>
      <c r="K1794" s="73" t="s">
        <v>1156</v>
      </c>
      <c r="L1794" s="73"/>
      <c r="M1794" s="73"/>
      <c r="N1794" s="74"/>
    </row>
    <row r="1795" ht="30.0" hidden="1" customHeight="1">
      <c r="A1795" s="68">
        <v>1814.0</v>
      </c>
      <c r="B1795" s="68"/>
      <c r="C1795" s="68"/>
      <c r="D1795" s="69" t="str">
        <f>CONCATENATE(PROPER('DASMA INFO'!$G1795),", ",PROPER('DASMA INFO'!$E1795)," ",PROPER('DASMA INFO'!$F1795),"."," (",UPPER('DASMA INFO'!$H1795),")")</f>
        <v>Jinell, Tablang Marc. (LOBATON)</v>
      </c>
      <c r="E1795" s="70" t="s">
        <v>1374</v>
      </c>
      <c r="F1795" s="70" t="s">
        <v>3216</v>
      </c>
      <c r="G1795" s="70" t="s">
        <v>3217</v>
      </c>
      <c r="H1795" s="70" t="s">
        <v>3218</v>
      </c>
      <c r="I1795" s="92">
        <v>0.05</v>
      </c>
      <c r="J1795" s="93">
        <v>1000.0</v>
      </c>
      <c r="K1795" s="73"/>
      <c r="L1795" s="73"/>
      <c r="M1795" s="73"/>
      <c r="N1795" s="74"/>
    </row>
    <row r="1796" ht="30.0" hidden="1" customHeight="1">
      <c r="A1796" s="68">
        <v>1815.0</v>
      </c>
      <c r="B1796" s="68"/>
      <c r="C1796" s="68"/>
      <c r="D1796" s="69" t="str">
        <f>CONCATENATE(PROPER('DASMA INFO'!$G1796),", ",PROPER('DASMA INFO'!$E1796)," ",PROPER('DASMA INFO'!$F1796),"."," (",UPPER('DASMA INFO'!$H1796),")")</f>
        <v>Abella, Rj E. ()</v>
      </c>
      <c r="E1796" s="70" t="s">
        <v>3219</v>
      </c>
      <c r="F1796" s="70" t="s">
        <v>299</v>
      </c>
      <c r="G1796" s="70" t="s">
        <v>167</v>
      </c>
      <c r="H1796" s="69"/>
      <c r="I1796" s="92">
        <v>0.05</v>
      </c>
      <c r="J1796" s="93">
        <v>1000.0</v>
      </c>
      <c r="K1796" s="73" t="s">
        <v>2928</v>
      </c>
      <c r="L1796" s="73"/>
      <c r="M1796" s="73"/>
      <c r="N1796" s="74"/>
    </row>
    <row r="1797" ht="30.0" hidden="1" customHeight="1">
      <c r="A1797" s="68">
        <v>1816.0</v>
      </c>
      <c r="B1797" s="68"/>
      <c r="C1797" s="68"/>
      <c r="D1797" s="69" t="str">
        <f>CONCATENATE(PROPER('DASMA INFO'!$G1797),", ",PROPER('DASMA INFO'!$E1797)," ",PROPER('DASMA INFO'!$F1797),"."," (",UPPER('DASMA INFO'!$H1797),")")</f>
        <v>Diaz, Abudio . (JR)</v>
      </c>
      <c r="E1797" s="70" t="s">
        <v>3220</v>
      </c>
      <c r="F1797" s="70"/>
      <c r="G1797" s="70" t="s">
        <v>653</v>
      </c>
      <c r="H1797" s="69" t="s">
        <v>629</v>
      </c>
      <c r="I1797" s="105">
        <v>0.12</v>
      </c>
      <c r="J1797" s="106">
        <v>1000.0</v>
      </c>
      <c r="K1797" s="73" t="s">
        <v>3221</v>
      </c>
      <c r="L1797" s="73"/>
      <c r="M1797" s="73"/>
      <c r="N1797" s="74"/>
    </row>
    <row r="1798" ht="30.0" hidden="1" customHeight="1">
      <c r="A1798" s="68">
        <v>1817.0</v>
      </c>
      <c r="B1798" s="68"/>
      <c r="C1798" s="68"/>
      <c r="D1798" s="69" t="str">
        <f>CONCATENATE(PROPER('DASMA INFO'!$G1798),", ",PROPER('DASMA INFO'!$E1798)," ",PROPER('DASMA INFO'!$F1798),"."," (",UPPER('DASMA INFO'!$H1798),")")</f>
        <v>Bernardino, Leanillo Albert. ()</v>
      </c>
      <c r="E1798" s="70" t="s">
        <v>3222</v>
      </c>
      <c r="F1798" s="70" t="s">
        <v>2073</v>
      </c>
      <c r="G1798" s="70" t="s">
        <v>129</v>
      </c>
      <c r="H1798" s="69"/>
      <c r="I1798" s="105">
        <v>0.12</v>
      </c>
      <c r="J1798" s="106">
        <v>1000.0</v>
      </c>
      <c r="K1798" s="73" t="s">
        <v>1053</v>
      </c>
      <c r="L1798" s="73"/>
      <c r="M1798" s="73"/>
      <c r="N1798" s="74"/>
    </row>
    <row r="1799" ht="30.0" hidden="1" customHeight="1">
      <c r="A1799" s="68">
        <v>1818.0</v>
      </c>
      <c r="B1799" s="68"/>
      <c r="C1799" s="68"/>
      <c r="D1799" s="69" t="str">
        <f>CONCATENATE(PROPER('DASMA INFO'!$G1799),", ",PROPER('DASMA INFO'!$E1799)," ",PROPER('DASMA INFO'!$F1799),"."," (",UPPER('DASMA INFO'!$H1799),")")</f>
        <v>Baguio, Perez Nerissa. ()</v>
      </c>
      <c r="E1799" s="70" t="s">
        <v>236</v>
      </c>
      <c r="F1799" s="70" t="s">
        <v>328</v>
      </c>
      <c r="G1799" s="70" t="s">
        <v>3223</v>
      </c>
      <c r="H1799" s="69"/>
      <c r="I1799" s="105">
        <v>0.12</v>
      </c>
      <c r="J1799" s="106">
        <v>1000.0</v>
      </c>
      <c r="K1799" s="73" t="s">
        <v>1276</v>
      </c>
      <c r="L1799" s="73"/>
      <c r="M1799" s="73"/>
      <c r="N1799" s="74"/>
    </row>
    <row r="1800" ht="30.0" hidden="1" customHeight="1">
      <c r="A1800" s="68">
        <v>1819.0</v>
      </c>
      <c r="B1800" s="68"/>
      <c r="C1800" s="68"/>
      <c r="D1800" s="69" t="str">
        <f>CONCATENATE(PROPER('DASMA INFO'!$G1800),", ",PROPER('DASMA INFO'!$E1800)," ",PROPER('DASMA INFO'!$F1800),"."," (",UPPER('DASMA INFO'!$H1800),")")</f>
        <v>Manalo, Sarmiento Ronnie. ()</v>
      </c>
      <c r="E1800" s="70" t="s">
        <v>2696</v>
      </c>
      <c r="F1800" s="70" t="s">
        <v>249</v>
      </c>
      <c r="G1800" s="70" t="s">
        <v>1544</v>
      </c>
      <c r="H1800" s="69"/>
      <c r="I1800" s="105">
        <v>0.12</v>
      </c>
      <c r="J1800" s="106">
        <v>1000.0</v>
      </c>
      <c r="K1800" s="73" t="s">
        <v>1276</v>
      </c>
      <c r="L1800" s="73"/>
      <c r="M1800" s="73"/>
      <c r="N1800" s="74"/>
    </row>
    <row r="1801" ht="30.0" hidden="1" customHeight="1">
      <c r="A1801" s="68">
        <v>1820.0</v>
      </c>
      <c r="B1801" s="68"/>
      <c r="C1801" s="68"/>
      <c r="D1801" s="69" t="str">
        <f>CONCATENATE(PROPER('DASMA INFO'!$G1801),", ",PROPER('DASMA INFO'!$E1801)," ",PROPER('DASMA INFO'!$F1801),"."," (",UPPER('DASMA INFO'!$H1801),")")</f>
        <v>David, Lolarga Arleen. ()</v>
      </c>
      <c r="E1801" s="70" t="s">
        <v>3224</v>
      </c>
      <c r="F1801" s="70" t="s">
        <v>209</v>
      </c>
      <c r="G1801" s="70" t="s">
        <v>1840</v>
      </c>
      <c r="H1801" s="69"/>
      <c r="I1801" s="105">
        <v>0.12</v>
      </c>
      <c r="J1801" s="106">
        <v>1000.0</v>
      </c>
      <c r="K1801" s="73" t="s">
        <v>3225</v>
      </c>
      <c r="L1801" s="73"/>
      <c r="M1801" s="73"/>
      <c r="N1801" s="74"/>
    </row>
    <row r="1802" ht="30.0" hidden="1" customHeight="1">
      <c r="A1802" s="68">
        <v>1821.0</v>
      </c>
      <c r="B1802" s="68"/>
      <c r="C1802" s="68"/>
      <c r="D1802" s="69" t="str">
        <f>CONCATENATE(PROPER('DASMA INFO'!$G1802),", ",PROPER('DASMA INFO'!$E1802)," ",PROPER('DASMA INFO'!$F1802),"."," (",UPPER('DASMA INFO'!$H1802),")")</f>
        <v>Salud, Sabanal Susana. ()</v>
      </c>
      <c r="E1802" s="70" t="s">
        <v>670</v>
      </c>
      <c r="F1802" s="70" t="s">
        <v>669</v>
      </c>
      <c r="G1802" s="70" t="s">
        <v>3226</v>
      </c>
      <c r="H1802" s="69"/>
      <c r="I1802" s="105">
        <v>0.12</v>
      </c>
      <c r="J1802" s="106">
        <v>1000.0</v>
      </c>
      <c r="K1802" s="73" t="s">
        <v>1131</v>
      </c>
      <c r="L1802" s="73"/>
      <c r="M1802" s="73"/>
      <c r="N1802" s="74"/>
    </row>
    <row r="1803" ht="30.0" hidden="1" customHeight="1">
      <c r="A1803" s="68">
        <v>1822.0</v>
      </c>
      <c r="B1803" s="68"/>
      <c r="C1803" s="68"/>
      <c r="D1803" s="69" t="str">
        <f>CONCATENATE(PROPER('DASMA INFO'!$G1803),", ",PROPER('DASMA INFO'!$E1803)," ",PROPER('DASMA INFO'!$F1803),"."," (",UPPER('DASMA INFO'!$H1803),")")</f>
        <v>Dotimas, Pepito Ontiveros. ()</v>
      </c>
      <c r="E1803" s="70" t="s">
        <v>2579</v>
      </c>
      <c r="F1803" s="70" t="s">
        <v>3227</v>
      </c>
      <c r="G1803" s="70" t="s">
        <v>3228</v>
      </c>
      <c r="H1803" s="69"/>
      <c r="I1803" s="92">
        <v>0.05</v>
      </c>
      <c r="J1803" s="93">
        <v>1000.0</v>
      </c>
      <c r="K1803" s="73"/>
      <c r="L1803" s="73"/>
      <c r="M1803" s="73"/>
      <c r="N1803" s="74"/>
    </row>
    <row r="1804" ht="30.0" hidden="1" customHeight="1">
      <c r="A1804" s="68">
        <v>1823.0</v>
      </c>
      <c r="B1804" s="68"/>
      <c r="C1804" s="68"/>
      <c r="D1804" s="69" t="str">
        <f>CONCATENATE(PROPER('DASMA INFO'!$G1804),", ",PROPER('DASMA INFO'!$E1804)," ",PROPER('DASMA INFO'!$F1804),"."," (",UPPER('DASMA INFO'!$H1804),")")</f>
        <v>Anthony, Belen Godfrey. (PEDRON)</v>
      </c>
      <c r="E1804" s="70" t="s">
        <v>2560</v>
      </c>
      <c r="F1804" s="70" t="s">
        <v>3229</v>
      </c>
      <c r="G1804" s="70" t="s">
        <v>360</v>
      </c>
      <c r="H1804" s="70" t="s">
        <v>3230</v>
      </c>
      <c r="I1804" s="92">
        <v>0.05</v>
      </c>
      <c r="J1804" s="93">
        <v>1000.0</v>
      </c>
      <c r="K1804" s="73" t="s">
        <v>3231</v>
      </c>
      <c r="L1804" s="73"/>
      <c r="M1804" s="73"/>
      <c r="N1804" s="74"/>
    </row>
    <row r="1805" ht="30.0" hidden="1" customHeight="1">
      <c r="A1805" s="68">
        <v>1824.0</v>
      </c>
      <c r="B1805" s="68"/>
      <c r="C1805" s="68"/>
      <c r="D1805" s="69" t="str">
        <f>CONCATENATE(PROPER('DASMA INFO'!$G1805),", ",PROPER('DASMA INFO'!$E1805)," ",PROPER('DASMA INFO'!$F1805),"."," (",UPPER('DASMA INFO'!$H1805),")")</f>
        <v>Lanio, Cagulada Nenita. ()</v>
      </c>
      <c r="E1805" s="70" t="s">
        <v>488</v>
      </c>
      <c r="F1805" s="70" t="s">
        <v>994</v>
      </c>
      <c r="G1805" s="70" t="s">
        <v>510</v>
      </c>
      <c r="H1805" s="69"/>
      <c r="I1805" s="92">
        <v>0.05</v>
      </c>
      <c r="J1805" s="93">
        <v>1000.0</v>
      </c>
      <c r="K1805" s="73" t="s">
        <v>3104</v>
      </c>
      <c r="L1805" s="73"/>
      <c r="M1805" s="73"/>
      <c r="N1805" s="74"/>
    </row>
    <row r="1806" ht="30.0" hidden="1" customHeight="1">
      <c r="A1806" s="68">
        <v>1825.0</v>
      </c>
      <c r="B1806" s="68"/>
      <c r="C1806" s="68"/>
      <c r="D1806" s="69" t="str">
        <f>CONCATENATE(PROPER('DASMA INFO'!$G1806),", ",PROPER('DASMA INFO'!$E1806)," ",PROPER('DASMA INFO'!$F1806),"."," (",UPPER('DASMA INFO'!$H1806),")")</f>
        <v>De Leon, Lanio Edgardo. ()</v>
      </c>
      <c r="E1806" s="70" t="s">
        <v>510</v>
      </c>
      <c r="F1806" s="70" t="s">
        <v>869</v>
      </c>
      <c r="G1806" s="70" t="s">
        <v>1136</v>
      </c>
      <c r="H1806" s="70"/>
      <c r="I1806" s="105">
        <v>0.12</v>
      </c>
      <c r="J1806" s="106">
        <v>1000.0</v>
      </c>
      <c r="K1806" s="73" t="s">
        <v>1276</v>
      </c>
      <c r="L1806" s="73"/>
      <c r="M1806" s="73"/>
      <c r="N1806" s="74"/>
    </row>
    <row r="1807" ht="30.0" hidden="1" customHeight="1">
      <c r="A1807" s="68">
        <v>1826.0</v>
      </c>
      <c r="B1807" s="68"/>
      <c r="C1807" s="68"/>
      <c r="D1807" s="69" t="str">
        <f>CONCATENATE(PROPER('DASMA INFO'!$G1807),", ",PROPER('DASMA INFO'!$E1807)," ",PROPER('DASMA INFO'!$F1807),"."," (",UPPER('DASMA INFO'!$H1807),")")</f>
        <v>Lirag, Robles Resaline. ()</v>
      </c>
      <c r="E1807" s="70" t="s">
        <v>3202</v>
      </c>
      <c r="F1807" s="70" t="s">
        <v>3232</v>
      </c>
      <c r="G1807" s="70" t="s">
        <v>3204</v>
      </c>
      <c r="H1807" s="69"/>
      <c r="I1807" s="105">
        <v>0.12</v>
      </c>
      <c r="J1807" s="106">
        <v>1000.0</v>
      </c>
      <c r="K1807" s="73" t="s">
        <v>1276</v>
      </c>
      <c r="L1807" s="73"/>
      <c r="M1807" s="73"/>
      <c r="N1807" s="74"/>
    </row>
    <row r="1808" ht="30.0" hidden="1" customHeight="1">
      <c r="A1808" s="68">
        <v>1827.0</v>
      </c>
      <c r="B1808" s="68"/>
      <c r="C1808" s="68"/>
      <c r="D1808" s="69" t="str">
        <f>CONCATENATE(PROPER('DASMA INFO'!$G1808),", ",PROPER('DASMA INFO'!$E1808)," ",PROPER('DASMA INFO'!$F1808),"."," (",UPPER('DASMA INFO'!$H1808),")")</f>
        <v>Lirag, Robles Virginia. ()</v>
      </c>
      <c r="E1808" s="70" t="s">
        <v>3202</v>
      </c>
      <c r="F1808" s="70" t="s">
        <v>655</v>
      </c>
      <c r="G1808" s="70" t="s">
        <v>3204</v>
      </c>
      <c r="H1808" s="69"/>
      <c r="I1808" s="92">
        <v>0.05</v>
      </c>
      <c r="J1808" s="93">
        <v>1000.0</v>
      </c>
      <c r="K1808" s="73" t="s">
        <v>2979</v>
      </c>
      <c r="L1808" s="73"/>
      <c r="M1808" s="73"/>
      <c r="N1808" s="74"/>
    </row>
    <row r="1809" ht="30.0" hidden="1" customHeight="1">
      <c r="A1809" s="68">
        <v>1828.0</v>
      </c>
      <c r="B1809" s="68"/>
      <c r="C1809" s="68"/>
      <c r="D1809" s="69" t="str">
        <f>CONCATENATE(PROPER('DASMA INFO'!$G1809),", ",PROPER('DASMA INFO'!$E1809)," ",PROPER('DASMA INFO'!$F1809),"."," (",UPPER('DASMA INFO'!$H1809),")")</f>
        <v>San Pedro, Ferrer Dave. ()</v>
      </c>
      <c r="E1809" s="70" t="s">
        <v>570</v>
      </c>
      <c r="F1809" s="70" t="s">
        <v>569</v>
      </c>
      <c r="G1809" s="70" t="s">
        <v>92</v>
      </c>
      <c r="H1809" s="70"/>
      <c r="I1809" s="92">
        <v>0.05</v>
      </c>
      <c r="J1809" s="93">
        <v>1000.0</v>
      </c>
      <c r="K1809" s="73" t="s">
        <v>3233</v>
      </c>
      <c r="L1809" s="73"/>
      <c r="M1809" s="73"/>
      <c r="N1809" s="74"/>
    </row>
    <row r="1810" ht="30.0" hidden="1" customHeight="1">
      <c r="A1810" s="68">
        <v>1829.0</v>
      </c>
      <c r="B1810" s="68"/>
      <c r="C1810" s="68"/>
      <c r="D1810" s="69" t="str">
        <f>CONCATENATE(PROPER('DASMA INFO'!$G1810),", ",PROPER('DASMA INFO'!$E1810)," ",PROPER('DASMA INFO'!$F1810),"."," (",UPPER('DASMA INFO'!$H1810),")")</f>
        <v>Mirano, Maza Imelda. ()</v>
      </c>
      <c r="E1810" s="70" t="s">
        <v>2780</v>
      </c>
      <c r="F1810" s="70" t="s">
        <v>411</v>
      </c>
      <c r="G1810" s="70" t="s">
        <v>2810</v>
      </c>
      <c r="H1810" s="69"/>
      <c r="I1810" s="92">
        <v>0.05</v>
      </c>
      <c r="J1810" s="93">
        <v>1000.0</v>
      </c>
      <c r="K1810" s="73" t="s">
        <v>1053</v>
      </c>
      <c r="L1810" s="73"/>
      <c r="M1810" s="73"/>
      <c r="N1810" s="74"/>
    </row>
    <row r="1811" ht="30.0" hidden="1" customHeight="1">
      <c r="A1811" s="68">
        <v>1830.0</v>
      </c>
      <c r="B1811" s="68"/>
      <c r="C1811" s="68"/>
      <c r="D1811" s="69" t="str">
        <f>CONCATENATE(PROPER('DASMA INFO'!$G1811),", ",PROPER('DASMA INFO'!$E1811)," ",PROPER('DASMA INFO'!$F1811),"."," (",UPPER('DASMA INFO'!$H1811),")")</f>
        <v>Heradez, Gregorio Eva. ()</v>
      </c>
      <c r="E1811" s="70" t="s">
        <v>400</v>
      </c>
      <c r="F1811" s="70" t="s">
        <v>677</v>
      </c>
      <c r="G1811" s="70" t="s">
        <v>3234</v>
      </c>
      <c r="H1811" s="69"/>
      <c r="I1811" s="105">
        <v>0.12</v>
      </c>
      <c r="J1811" s="106">
        <v>1000.0</v>
      </c>
      <c r="K1811" s="73" t="s">
        <v>2979</v>
      </c>
      <c r="L1811" s="73"/>
      <c r="M1811" s="73"/>
      <c r="N1811" s="74"/>
    </row>
    <row r="1812" ht="30.0" hidden="1" customHeight="1">
      <c r="A1812" s="68">
        <v>1831.0</v>
      </c>
      <c r="B1812" s="68"/>
      <c r="C1812" s="68"/>
      <c r="D1812" s="69" t="str">
        <f>CONCATENATE(PROPER('DASMA INFO'!$G1812),", ",PROPER('DASMA INFO'!$E1812)," ",PROPER('DASMA INFO'!$F1812),"."," (",UPPER('DASMA INFO'!$H1812),")")</f>
        <v>Fredell, Silva Ryan. (CLORINA)</v>
      </c>
      <c r="E1812" s="70" t="s">
        <v>3235</v>
      </c>
      <c r="F1812" s="70" t="s">
        <v>1516</v>
      </c>
      <c r="G1812" s="70" t="s">
        <v>3236</v>
      </c>
      <c r="H1812" s="70" t="s">
        <v>3237</v>
      </c>
      <c r="I1812" s="105">
        <v>0.12</v>
      </c>
      <c r="J1812" s="106">
        <v>1000.0</v>
      </c>
      <c r="K1812" s="73" t="s">
        <v>1276</v>
      </c>
      <c r="L1812" s="73"/>
      <c r="M1812" s="73"/>
      <c r="N1812" s="74"/>
    </row>
    <row r="1813" ht="30.0" hidden="1" customHeight="1">
      <c r="A1813" s="68">
        <v>1832.0</v>
      </c>
      <c r="B1813" s="68"/>
      <c r="C1813" s="68"/>
      <c r="D1813" s="69" t="str">
        <f>CONCATENATE(PROPER('DASMA INFO'!$G1813),", ",PROPER('DASMA INFO'!$E1813)," ",PROPER('DASMA INFO'!$F1813),"."," (",UPPER('DASMA INFO'!$H1813),")")</f>
        <v>Paul, Lim John. (BUSTILLO)</v>
      </c>
      <c r="E1813" s="70" t="s">
        <v>611</v>
      </c>
      <c r="F1813" s="70" t="s">
        <v>1303</v>
      </c>
      <c r="G1813" s="70" t="s">
        <v>207</v>
      </c>
      <c r="H1813" s="70" t="s">
        <v>3238</v>
      </c>
      <c r="I1813" s="105">
        <v>0.12</v>
      </c>
      <c r="J1813" s="106">
        <v>1000.0</v>
      </c>
      <c r="K1813" s="73" t="s">
        <v>1276</v>
      </c>
      <c r="L1813" s="73"/>
      <c r="M1813" s="73"/>
      <c r="N1813" s="74"/>
    </row>
    <row r="1814" ht="30.0" hidden="1" customHeight="1">
      <c r="A1814" s="68">
        <v>1833.0</v>
      </c>
      <c r="B1814" s="68"/>
      <c r="C1814" s="68"/>
      <c r="D1814" s="69" t="str">
        <f>CONCATENATE(PROPER('DASMA INFO'!$G1814),", ",PROPER('DASMA INFO'!$E1814)," ",PROPER('DASMA INFO'!$F1814),"."," (",UPPER('DASMA INFO'!$H1814),")")</f>
        <v>Tanko, Ong Sergio. ()</v>
      </c>
      <c r="E1814" s="70" t="s">
        <v>192</v>
      </c>
      <c r="F1814" s="70" t="s">
        <v>2271</v>
      </c>
      <c r="G1814" s="70" t="s">
        <v>3239</v>
      </c>
      <c r="H1814" s="69"/>
      <c r="I1814" s="92">
        <v>0.05</v>
      </c>
      <c r="J1814" s="93">
        <v>1000.0</v>
      </c>
      <c r="K1814" s="73" t="s">
        <v>1276</v>
      </c>
      <c r="L1814" s="73"/>
      <c r="M1814" s="73"/>
      <c r="N1814" s="74"/>
    </row>
    <row r="1815" ht="30.0" hidden="1" customHeight="1">
      <c r="A1815" s="68">
        <v>1834.0</v>
      </c>
      <c r="B1815" s="68"/>
      <c r="C1815" s="68"/>
      <c r="D1815" s="69" t="str">
        <f>CONCATENATE(PROPER('DASMA INFO'!$G1815),", ",PROPER('DASMA INFO'!$E1815)," ",PROPER('DASMA INFO'!$F1815),"."," (",UPPER('DASMA INFO'!$H1815),")")</f>
        <v>Añonuevo, Chavez Rizalyn. ()</v>
      </c>
      <c r="E1815" s="70" t="s">
        <v>179</v>
      </c>
      <c r="F1815" s="70" t="s">
        <v>3240</v>
      </c>
      <c r="G1815" s="70" t="s">
        <v>226</v>
      </c>
      <c r="H1815" s="69"/>
      <c r="I1815" s="92">
        <v>0.05</v>
      </c>
      <c r="J1815" s="93">
        <v>1000.0</v>
      </c>
      <c r="K1815" s="73"/>
      <c r="L1815" s="73"/>
      <c r="M1815" s="73"/>
      <c r="N1815" s="74"/>
    </row>
    <row r="1816" ht="30.0" hidden="1" customHeight="1">
      <c r="A1816" s="68">
        <v>1835.0</v>
      </c>
      <c r="B1816" s="68"/>
      <c r="C1816" s="68"/>
      <c r="D1816" s="69" t="str">
        <f>CONCATENATE(PROPER('DASMA INFO'!$G1816),", ",PROPER('DASMA INFO'!$E1816)," ",PROPER('DASMA INFO'!$F1816),"."," (",UPPER('DASMA INFO'!$H1816),")")</f>
        <v>Cantillano, Bumalay Romeo. ()</v>
      </c>
      <c r="E1816" s="70" t="s">
        <v>442</v>
      </c>
      <c r="F1816" s="70" t="s">
        <v>441</v>
      </c>
      <c r="G1816" s="70" t="s">
        <v>3241</v>
      </c>
      <c r="H1816" s="69"/>
      <c r="I1816" s="92">
        <v>0.05</v>
      </c>
      <c r="J1816" s="93">
        <v>1000.0</v>
      </c>
      <c r="K1816" s="73" t="s">
        <v>2947</v>
      </c>
      <c r="L1816" s="73" t="s">
        <v>3242</v>
      </c>
      <c r="M1816" s="73">
        <v>2021.0</v>
      </c>
      <c r="N1816" s="74"/>
    </row>
    <row r="1817" ht="30.0" hidden="1" customHeight="1">
      <c r="A1817" s="68">
        <v>1836.0</v>
      </c>
      <c r="B1817" s="68"/>
      <c r="C1817" s="68"/>
      <c r="D1817" s="69" t="str">
        <f>CONCATENATE(PROPER('DASMA INFO'!$G1817),", ",PROPER('DASMA INFO'!$E1817)," ",PROPER('DASMA INFO'!$F1817),"."," (",UPPER('DASMA INFO'!$H1817),")")</f>
        <v>Concenpcion, Co Roygien. ()</v>
      </c>
      <c r="E1817" s="70" t="s">
        <v>2981</v>
      </c>
      <c r="F1817" s="70" t="s">
        <v>2980</v>
      </c>
      <c r="G1817" s="70" t="s">
        <v>3243</v>
      </c>
      <c r="H1817" s="69"/>
      <c r="I1817" s="92">
        <v>0.05</v>
      </c>
      <c r="J1817" s="93">
        <v>1000.0</v>
      </c>
      <c r="K1817" s="73" t="s">
        <v>3244</v>
      </c>
      <c r="L1817" s="73"/>
      <c r="M1817" s="73"/>
      <c r="N1817" s="74"/>
    </row>
    <row r="1818" ht="30.0" hidden="1" customHeight="1">
      <c r="A1818" s="68">
        <v>1837.0</v>
      </c>
      <c r="B1818" s="68"/>
      <c r="C1818" s="68"/>
      <c r="D1818" s="69" t="str">
        <f>CONCATENATE(PROPER('DASMA INFO'!$G1818),", ",PROPER('DASMA INFO'!$E1818)," ",PROPER('DASMA INFO'!$F1818),"."," (",UPPER('DASMA INFO'!$H1818),")")</f>
        <v>Mendez, Bringas Maricell. ()</v>
      </c>
      <c r="E1818" s="70" t="s">
        <v>2725</v>
      </c>
      <c r="F1818" s="70" t="s">
        <v>3245</v>
      </c>
      <c r="G1818" s="70" t="s">
        <v>3246</v>
      </c>
      <c r="H1818" s="69"/>
      <c r="I1818" s="105">
        <v>0.12</v>
      </c>
      <c r="J1818" s="106">
        <v>1000.0</v>
      </c>
      <c r="K1818" s="73" t="s">
        <v>3185</v>
      </c>
      <c r="L1818" s="73"/>
      <c r="M1818" s="73"/>
      <c r="N1818" s="74"/>
    </row>
    <row r="1819" ht="30.0" hidden="1" customHeight="1">
      <c r="A1819" s="68">
        <v>1838.0</v>
      </c>
      <c r="B1819" s="68"/>
      <c r="C1819" s="68"/>
      <c r="D1819" s="69" t="str">
        <f>CONCATENATE(PROPER('DASMA INFO'!$G1819),", ",PROPER('DASMA INFO'!$E1819)," ",PROPER('DASMA INFO'!$F1819),"."," (",UPPER('DASMA INFO'!$H1819),")")</f>
        <v>Lacangan, Perez Donardo. ()</v>
      </c>
      <c r="E1819" s="70" t="s">
        <v>236</v>
      </c>
      <c r="F1819" s="70" t="s">
        <v>3247</v>
      </c>
      <c r="G1819" s="70" t="s">
        <v>3248</v>
      </c>
      <c r="H1819" s="69"/>
      <c r="I1819" s="105">
        <v>0.12</v>
      </c>
      <c r="J1819" s="106">
        <v>1000.0</v>
      </c>
      <c r="K1819" s="73" t="s">
        <v>2979</v>
      </c>
      <c r="L1819" s="73"/>
      <c r="M1819" s="73"/>
      <c r="N1819" s="74"/>
    </row>
    <row r="1820" ht="30.0" hidden="1" customHeight="1">
      <c r="A1820" s="68">
        <v>1839.0</v>
      </c>
      <c r="B1820" s="68"/>
      <c r="C1820" s="68"/>
      <c r="D1820" s="69" t="str">
        <f>CONCATENATE(PROPER('DASMA INFO'!$G1820),", ",PROPER('DASMA INFO'!$E1820)," ",PROPER('DASMA INFO'!$F1820),"."," (",UPPER('DASMA INFO'!$H1820),")")</f>
        <v>Teresa, Pura Maria. (EMBILE)</v>
      </c>
      <c r="E1820" s="70" t="s">
        <v>833</v>
      </c>
      <c r="F1820" s="70" t="s">
        <v>640</v>
      </c>
      <c r="G1820" s="70" t="s">
        <v>1428</v>
      </c>
      <c r="H1820" s="70" t="s">
        <v>3249</v>
      </c>
      <c r="I1820" s="105">
        <v>0.12</v>
      </c>
      <c r="J1820" s="106">
        <v>1000.0</v>
      </c>
      <c r="K1820" s="73" t="s">
        <v>2928</v>
      </c>
      <c r="L1820" s="73"/>
      <c r="M1820" s="73"/>
      <c r="N1820" s="74"/>
    </row>
    <row r="1821" ht="30.0" hidden="1" customHeight="1">
      <c r="A1821" s="68">
        <v>1840.0</v>
      </c>
      <c r="B1821" s="68"/>
      <c r="C1821" s="68"/>
      <c r="D1821" s="69" t="str">
        <f>CONCATENATE(PROPER('DASMA INFO'!$G1821),", ",PROPER('DASMA INFO'!$E1821)," ",PROPER('DASMA INFO'!$F1821),"."," (",UPPER('DASMA INFO'!$H1821),")")</f>
        <v>Aquilina, Godito C. ()</v>
      </c>
      <c r="E1821" s="70" t="s">
        <v>945</v>
      </c>
      <c r="F1821" s="69" t="s">
        <v>318</v>
      </c>
      <c r="G1821" s="70" t="s">
        <v>944</v>
      </c>
      <c r="H1821" s="69"/>
      <c r="I1821" s="92">
        <v>0.05</v>
      </c>
      <c r="J1821" s="93">
        <v>1000.0</v>
      </c>
      <c r="K1821" s="73" t="s">
        <v>3250</v>
      </c>
      <c r="L1821" s="73"/>
      <c r="M1821" s="73"/>
      <c r="N1821" s="74"/>
    </row>
    <row r="1822" ht="30.0" hidden="1" customHeight="1">
      <c r="A1822" s="68">
        <v>1841.0</v>
      </c>
      <c r="B1822" s="68"/>
      <c r="C1822" s="68"/>
      <c r="D1822" s="69" t="str">
        <f>CONCATENATE(PROPER('DASMA INFO'!$G1822),", ",PROPER('DASMA INFO'!$E1822)," ",PROPER('DASMA INFO'!$F1822),"."," (",UPPER('DASMA INFO'!$H1822),")")</f>
        <v>Cristobal, Barba . ()</v>
      </c>
      <c r="E1822" s="70" t="s">
        <v>588</v>
      </c>
      <c r="F1822" s="69"/>
      <c r="G1822" s="70" t="s">
        <v>3251</v>
      </c>
      <c r="H1822" s="69"/>
      <c r="I1822" s="92">
        <v>0.05</v>
      </c>
      <c r="J1822" s="93">
        <v>1000.0</v>
      </c>
      <c r="K1822" s="73" t="s">
        <v>3252</v>
      </c>
      <c r="L1822" s="73"/>
      <c r="M1822" s="73"/>
      <c r="N1822" s="74"/>
    </row>
    <row r="1823" ht="30.0" hidden="1" customHeight="1">
      <c r="A1823" s="68">
        <v>1842.0</v>
      </c>
      <c r="B1823" s="68"/>
      <c r="C1823" s="68"/>
      <c r="D1823" s="69" t="str">
        <f>CONCATENATE(PROPER('DASMA INFO'!$G1823),", ",PROPER('DASMA INFO'!$E1823)," ",PROPER('DASMA INFO'!$F1823),"."," (",UPPER('DASMA INFO'!$H1823),")")</f>
        <v>Meneses, Gaudier Edna. ()</v>
      </c>
      <c r="E1823" s="70" t="s">
        <v>3253</v>
      </c>
      <c r="F1823" s="70" t="s">
        <v>527</v>
      </c>
      <c r="G1823" s="70" t="s">
        <v>2345</v>
      </c>
      <c r="H1823" s="69"/>
      <c r="I1823" s="105">
        <v>0.12</v>
      </c>
      <c r="J1823" s="106">
        <v>1000.0</v>
      </c>
      <c r="K1823" s="73"/>
      <c r="L1823" s="73"/>
      <c r="M1823" s="73"/>
      <c r="N1823" s="74"/>
    </row>
    <row r="1824" ht="30.0" hidden="1" customHeight="1">
      <c r="A1824" s="68">
        <v>1843.0</v>
      </c>
      <c r="B1824" s="68"/>
      <c r="C1824" s="68"/>
      <c r="D1824" s="69" t="str">
        <f>CONCATENATE(PROPER('DASMA INFO'!$G1824),", ",PROPER('DASMA INFO'!$E1824)," ",PROPER('DASMA INFO'!$F1824),"."," (",UPPER('DASMA INFO'!$H1824),")")</f>
        <v>Cruz, Geomar Estrabo. ()</v>
      </c>
      <c r="E1824" s="70" t="s">
        <v>3254</v>
      </c>
      <c r="F1824" s="70" t="s">
        <v>3183</v>
      </c>
      <c r="G1824" s="70" t="s">
        <v>676</v>
      </c>
      <c r="H1824" s="69"/>
      <c r="I1824" s="105">
        <v>0.12</v>
      </c>
      <c r="J1824" s="106">
        <v>1000.0</v>
      </c>
      <c r="K1824" s="73"/>
      <c r="L1824" s="73"/>
      <c r="M1824" s="73"/>
      <c r="N1824" s="74"/>
    </row>
    <row r="1825" ht="30.0" hidden="1" customHeight="1">
      <c r="A1825" s="68">
        <v>1844.0</v>
      </c>
      <c r="B1825" s="68"/>
      <c r="C1825" s="68"/>
      <c r="D1825" s="69" t="str">
        <f>CONCATENATE(PROPER('DASMA INFO'!$G1825),", ",PROPER('DASMA INFO'!$E1825)," ",PROPER('DASMA INFO'!$F1825),"."," (",UPPER('DASMA INFO'!$H1825),")")</f>
        <v>Gallego, Angie P. ()</v>
      </c>
      <c r="E1825" s="69" t="s">
        <v>2217</v>
      </c>
      <c r="F1825" s="70" t="s">
        <v>513</v>
      </c>
      <c r="G1825" s="70" t="s">
        <v>3255</v>
      </c>
      <c r="H1825" s="69"/>
      <c r="I1825" s="92">
        <v>0.05</v>
      </c>
      <c r="J1825" s="93">
        <v>1000.0</v>
      </c>
      <c r="K1825" s="73" t="s">
        <v>3256</v>
      </c>
      <c r="L1825" s="73"/>
      <c r="M1825" s="73"/>
      <c r="N1825" s="74"/>
    </row>
    <row r="1826" ht="30.0" hidden="1" customHeight="1">
      <c r="A1826" s="68">
        <v>1845.0</v>
      </c>
      <c r="B1826" s="68"/>
      <c r="C1826" s="68"/>
      <c r="D1826" s="69" t="str">
        <f>CONCATENATE(PROPER('DASMA INFO'!$G1826),", ",PROPER('DASMA INFO'!$E1826)," ",PROPER('DASMA INFO'!$F1826),"."," (",UPPER('DASMA INFO'!$H1826),")")</f>
        <v>Rey, Salces Vincent. (DIGAL)</v>
      </c>
      <c r="E1826" s="70" t="s">
        <v>3257</v>
      </c>
      <c r="F1826" s="70" t="s">
        <v>1757</v>
      </c>
      <c r="G1826" s="70" t="s">
        <v>1047</v>
      </c>
      <c r="H1826" s="70" t="s">
        <v>3258</v>
      </c>
      <c r="I1826" s="105">
        <v>0.12</v>
      </c>
      <c r="J1826" s="106">
        <v>1000.0</v>
      </c>
      <c r="K1826" s="73" t="s">
        <v>3259</v>
      </c>
      <c r="L1826" s="73"/>
      <c r="M1826" s="73"/>
      <c r="N1826" s="74"/>
    </row>
    <row r="1827" ht="30.0" hidden="1" customHeight="1">
      <c r="A1827" s="68">
        <v>1846.0</v>
      </c>
      <c r="B1827" s="68"/>
      <c r="C1827" s="68"/>
      <c r="D1827" s="69" t="str">
        <f>CONCATENATE(PROPER('DASMA INFO'!$G1827),", ",PROPER('DASMA INFO'!$E1827)," ",PROPER('DASMA INFO'!$F1827),"."," (",UPPER('DASMA INFO'!$H1827),")")</f>
        <v>Robles, Barias Julieta. ()</v>
      </c>
      <c r="E1827" s="70" t="s">
        <v>770</v>
      </c>
      <c r="F1827" s="70" t="s">
        <v>280</v>
      </c>
      <c r="G1827" s="70" t="s">
        <v>3202</v>
      </c>
      <c r="H1827" s="69"/>
      <c r="I1827" s="105">
        <v>0.12</v>
      </c>
      <c r="J1827" s="106">
        <v>1000.0</v>
      </c>
      <c r="K1827" s="73" t="s">
        <v>3260</v>
      </c>
      <c r="L1827" s="73"/>
      <c r="M1827" s="73"/>
      <c r="N1827" s="74"/>
    </row>
    <row r="1828" ht="30.0" hidden="1" customHeight="1">
      <c r="A1828" s="68">
        <v>1847.0</v>
      </c>
      <c r="B1828" s="68"/>
      <c r="C1828" s="68"/>
      <c r="D1828" s="69" t="str">
        <f>CONCATENATE(PROPER('DASMA INFO'!$G1828),", ",PROPER('DASMA INFO'!$E1828)," ",PROPER('DASMA INFO'!$F1828),"."," (",UPPER('DASMA INFO'!$H1828),")")</f>
        <v>Mercado, Capati Rosalie. ()</v>
      </c>
      <c r="E1828" s="70" t="s">
        <v>3261</v>
      </c>
      <c r="F1828" s="70" t="s">
        <v>780</v>
      </c>
      <c r="G1828" s="70" t="s">
        <v>840</v>
      </c>
      <c r="H1828" s="69"/>
      <c r="I1828" s="105">
        <v>0.12</v>
      </c>
      <c r="J1828" s="106">
        <v>1000.0</v>
      </c>
      <c r="K1828" s="73" t="s">
        <v>3262</v>
      </c>
      <c r="L1828" s="73"/>
      <c r="M1828" s="73"/>
      <c r="N1828" s="74"/>
    </row>
    <row r="1829" ht="30.0" hidden="1" customHeight="1">
      <c r="A1829" s="68">
        <v>1848.0</v>
      </c>
      <c r="B1829" s="68"/>
      <c r="C1829" s="68"/>
      <c r="D1829" s="69" t="str">
        <f>CONCATENATE(PROPER('DASMA INFO'!$G1829),", ",PROPER('DASMA INFO'!$E1829)," ",PROPER('DASMA INFO'!$F1829),"."," (",UPPER('DASMA INFO'!$H1829),")")</f>
        <v>Anita, Astorga L. ()</v>
      </c>
      <c r="E1829" s="70" t="s">
        <v>3263</v>
      </c>
      <c r="F1829" s="69" t="s">
        <v>648</v>
      </c>
      <c r="G1829" s="70" t="s">
        <v>1291</v>
      </c>
      <c r="H1829" s="69"/>
      <c r="I1829" s="105">
        <v>0.05</v>
      </c>
      <c r="J1829" s="106">
        <v>1000.0</v>
      </c>
      <c r="K1829" s="73" t="s">
        <v>50</v>
      </c>
      <c r="L1829" s="73" t="s">
        <v>2677</v>
      </c>
      <c r="M1829" s="73">
        <v>2022.0</v>
      </c>
      <c r="N1829" s="74"/>
    </row>
    <row r="1830" ht="30.0" hidden="1" customHeight="1">
      <c r="A1830" s="68">
        <v>1849.0</v>
      </c>
      <c r="B1830" s="68"/>
      <c r="C1830" s="68"/>
      <c r="D1830" s="69" t="str">
        <f>CONCATENATE(PROPER('DASMA INFO'!$G1830),", ",PROPER('DASMA INFO'!$E1830)," ",PROPER('DASMA INFO'!$F1830),"."," (",UPPER('DASMA INFO'!$H1830),")")</f>
        <v>Dologan, Dimple E. ()</v>
      </c>
      <c r="E1830" s="70" t="s">
        <v>689</v>
      </c>
      <c r="F1830" s="70" t="s">
        <v>299</v>
      </c>
      <c r="G1830" s="70" t="s">
        <v>690</v>
      </c>
      <c r="H1830" s="69"/>
      <c r="I1830" s="92">
        <v>0.05</v>
      </c>
      <c r="J1830" s="93">
        <v>1000.0</v>
      </c>
      <c r="K1830" s="73" t="s">
        <v>3264</v>
      </c>
      <c r="L1830" s="73"/>
      <c r="M1830" s="73"/>
      <c r="N1830" s="74"/>
    </row>
    <row r="1831" ht="30.0" hidden="1" customHeight="1">
      <c r="A1831" s="68">
        <v>1850.0</v>
      </c>
      <c r="B1831" s="68"/>
      <c r="C1831" s="68"/>
      <c r="D1831" s="69" t="str">
        <f>CONCATENATE(PROPER('DASMA INFO'!$G1831),", ",PROPER('DASMA INFO'!$E1831)," ",PROPER('DASMA INFO'!$F1831),"."," (",UPPER('DASMA INFO'!$H1831),")")</f>
        <v>Celis, Rossana C. ()</v>
      </c>
      <c r="E1831" s="70" t="s">
        <v>3265</v>
      </c>
      <c r="F1831" s="69" t="s">
        <v>318</v>
      </c>
      <c r="G1831" s="70" t="s">
        <v>3266</v>
      </c>
      <c r="H1831" s="69"/>
      <c r="I1831" s="92">
        <v>0.05</v>
      </c>
      <c r="J1831" s="93">
        <v>1000.0</v>
      </c>
      <c r="K1831" s="73" t="s">
        <v>3142</v>
      </c>
      <c r="L1831" s="73"/>
      <c r="M1831" s="73"/>
      <c r="N1831" s="74"/>
    </row>
    <row r="1832" ht="30.0" hidden="1" customHeight="1">
      <c r="A1832" s="68">
        <v>1851.0</v>
      </c>
      <c r="B1832" s="68"/>
      <c r="C1832" s="68"/>
      <c r="D1832" s="69" t="str">
        <f>CONCATENATE(PROPER('DASMA INFO'!$G1832),", ",PROPER('DASMA INFO'!$E1832)," ",PROPER('DASMA INFO'!$F1832),"."," (",UPPER('DASMA INFO'!$H1832),")")</f>
        <v>Codotco, Lacoste Maria. ()</v>
      </c>
      <c r="E1832" s="70" t="s">
        <v>2131</v>
      </c>
      <c r="F1832" s="70" t="s">
        <v>640</v>
      </c>
      <c r="G1832" s="70" t="s">
        <v>3267</v>
      </c>
      <c r="H1832" s="69"/>
      <c r="I1832" s="105">
        <v>0.12</v>
      </c>
      <c r="J1832" s="106">
        <v>1000.0</v>
      </c>
      <c r="K1832" s="73" t="s">
        <v>1276</v>
      </c>
      <c r="L1832" s="73"/>
      <c r="M1832" s="73"/>
      <c r="N1832" s="74"/>
    </row>
    <row r="1833" ht="30.0" hidden="1" customHeight="1">
      <c r="A1833" s="68">
        <v>1852.0</v>
      </c>
      <c r="B1833" s="68"/>
      <c r="C1833" s="68"/>
      <c r="D1833" s="69" t="str">
        <f>CONCATENATE(PROPER('DASMA INFO'!$G1833),", ",PROPER('DASMA INFO'!$E1833)," ",PROPER('DASMA INFO'!$F1833),"."," (",UPPER('DASMA INFO'!$H1833),")")</f>
        <v>Calindas, Ledesma Lourdylyn. ()</v>
      </c>
      <c r="E1833" s="70" t="s">
        <v>2676</v>
      </c>
      <c r="F1833" s="70" t="s">
        <v>3268</v>
      </c>
      <c r="G1833" s="70" t="s">
        <v>3269</v>
      </c>
      <c r="H1833" s="69"/>
      <c r="I1833" s="92">
        <v>0.05</v>
      </c>
      <c r="J1833" s="93">
        <v>1000.0</v>
      </c>
      <c r="K1833" s="73" t="s">
        <v>3264</v>
      </c>
      <c r="L1833" s="73"/>
      <c r="M1833" s="73"/>
      <c r="N1833" s="74"/>
    </row>
    <row r="1834" ht="30.0" hidden="1" customHeight="1">
      <c r="A1834" s="68">
        <v>1853.0</v>
      </c>
      <c r="B1834" s="68"/>
      <c r="C1834" s="68"/>
      <c r="D1834" s="69" t="str">
        <f>CONCATENATE(PROPER('DASMA INFO'!$G1834),", ",PROPER('DASMA INFO'!$E1834)," ",PROPER('DASMA INFO'!$F1834),"."," (",UPPER('DASMA INFO'!$H1834),")")</f>
        <v>Sugay, Rueda Enrico. ()</v>
      </c>
      <c r="E1834" s="70" t="s">
        <v>3270</v>
      </c>
      <c r="F1834" s="70" t="s">
        <v>1543</v>
      </c>
      <c r="G1834" s="70" t="s">
        <v>3271</v>
      </c>
      <c r="H1834" s="69"/>
      <c r="I1834" s="105">
        <v>0.12</v>
      </c>
      <c r="J1834" s="106">
        <v>1000.0</v>
      </c>
      <c r="K1834" s="73" t="s">
        <v>3272</v>
      </c>
      <c r="L1834" s="73"/>
      <c r="M1834" s="73"/>
      <c r="N1834" s="74"/>
    </row>
    <row r="1835" ht="30.0" hidden="1" customHeight="1">
      <c r="A1835" s="68">
        <v>1854.0</v>
      </c>
      <c r="B1835" s="68"/>
      <c r="C1835" s="68"/>
      <c r="D1835" s="69" t="str">
        <f>CONCATENATE(PROPER('DASMA INFO'!$G1835),", ",PROPER('DASMA INFO'!$E1835)," ",PROPER('DASMA INFO'!$F1835),"."," (",UPPER('DASMA INFO'!$H1835),")")</f>
        <v>Tabianan, Vicente Jocelyn. ()</v>
      </c>
      <c r="E1835" s="70" t="s">
        <v>1490</v>
      </c>
      <c r="F1835" s="70" t="s">
        <v>290</v>
      </c>
      <c r="G1835" s="70" t="s">
        <v>3273</v>
      </c>
      <c r="H1835" s="69"/>
      <c r="I1835" s="105">
        <v>0.12</v>
      </c>
      <c r="J1835" s="106">
        <v>1000.0</v>
      </c>
      <c r="K1835" s="73" t="s">
        <v>2979</v>
      </c>
      <c r="L1835" s="73"/>
      <c r="M1835" s="73"/>
      <c r="N1835" s="74"/>
    </row>
    <row r="1836" ht="30.0" hidden="1" customHeight="1">
      <c r="A1836" s="68">
        <v>1855.0</v>
      </c>
      <c r="B1836" s="68"/>
      <c r="C1836" s="68"/>
      <c r="D1836" s="69" t="str">
        <f>CONCATENATE(PROPER('DASMA INFO'!$G1836),", ",PROPER('DASMA INFO'!$E1836)," ",PROPER('DASMA INFO'!$F1836),"."," (",UPPER('DASMA INFO'!$H1836),")")</f>
        <v>Estrada, Felicidad P. ()</v>
      </c>
      <c r="E1836" s="70" t="s">
        <v>3274</v>
      </c>
      <c r="F1836" s="69" t="s">
        <v>513</v>
      </c>
      <c r="G1836" s="70" t="s">
        <v>2102</v>
      </c>
      <c r="H1836" s="69"/>
      <c r="I1836" s="92">
        <v>0.05</v>
      </c>
      <c r="J1836" s="93">
        <v>1000.0</v>
      </c>
      <c r="K1836" s="73"/>
      <c r="L1836" s="73"/>
      <c r="M1836" s="73"/>
      <c r="N1836" s="74"/>
    </row>
    <row r="1837" ht="30.0" hidden="1" customHeight="1">
      <c r="A1837" s="68">
        <v>1856.0</v>
      </c>
      <c r="B1837" s="68"/>
      <c r="C1837" s="68"/>
      <c r="D1837" s="69" t="str">
        <f>CONCATENATE(PROPER('DASMA INFO'!$G1837),", ",PROPER('DASMA INFO'!$E1837)," ",PROPER('DASMA INFO'!$F1837),"."," (",UPPER('DASMA INFO'!$H1837),")")</f>
        <v>Valencia, Diaz Geralyn. ()</v>
      </c>
      <c r="E1837" s="70" t="s">
        <v>653</v>
      </c>
      <c r="F1837" s="70" t="s">
        <v>3275</v>
      </c>
      <c r="G1837" s="70" t="s">
        <v>898</v>
      </c>
      <c r="H1837" s="69"/>
      <c r="I1837" s="105">
        <v>0.12</v>
      </c>
      <c r="J1837" s="106">
        <v>1000.0</v>
      </c>
      <c r="K1837" s="73" t="s">
        <v>1816</v>
      </c>
      <c r="L1837" s="73"/>
      <c r="M1837" s="73"/>
      <c r="N1837" s="74"/>
    </row>
    <row r="1838" ht="30.0" hidden="1" customHeight="1">
      <c r="A1838" s="68">
        <v>1857.0</v>
      </c>
      <c r="B1838" s="68"/>
      <c r="C1838" s="68"/>
      <c r="D1838" s="69" t="str">
        <f>CONCATENATE(PROPER('DASMA INFO'!$G1838),", ",PROPER('DASMA INFO'!$E1838)," ",PROPER('DASMA INFO'!$F1838),"."," (",UPPER('DASMA INFO'!$H1838),")")</f>
        <v>Alforque, Buenaventura Bernadette. ()</v>
      </c>
      <c r="E1838" s="70" t="s">
        <v>3276</v>
      </c>
      <c r="F1838" s="70" t="s">
        <v>2716</v>
      </c>
      <c r="G1838" s="70" t="s">
        <v>3277</v>
      </c>
      <c r="H1838" s="69"/>
      <c r="I1838" s="92">
        <v>0.05</v>
      </c>
      <c r="J1838" s="93">
        <v>1000.0</v>
      </c>
      <c r="K1838" s="73" t="s">
        <v>3142</v>
      </c>
      <c r="L1838" s="73"/>
      <c r="M1838" s="73"/>
      <c r="N1838" s="74"/>
    </row>
    <row r="1839" ht="30.0" hidden="1" customHeight="1">
      <c r="A1839" s="68">
        <v>1858.0</v>
      </c>
      <c r="B1839" s="68"/>
      <c r="C1839" s="68"/>
      <c r="D1839" s="69" t="str">
        <f>CONCATENATE(PROPER('DASMA INFO'!$G1839),", ",PROPER('DASMA INFO'!$E1839)," ",PROPER('DASMA INFO'!$F1839),"."," (",UPPER('DASMA INFO'!$H1839),")")</f>
        <v>Reyes, Cruz Wilfredo. ()</v>
      </c>
      <c r="E1839" s="70" t="s">
        <v>676</v>
      </c>
      <c r="F1839" s="70" t="s">
        <v>125</v>
      </c>
      <c r="G1839" s="70" t="s">
        <v>122</v>
      </c>
      <c r="H1839" s="69"/>
      <c r="I1839" s="92">
        <v>0.05</v>
      </c>
      <c r="J1839" s="93">
        <v>1000.0</v>
      </c>
      <c r="K1839" s="73" t="s">
        <v>1276</v>
      </c>
      <c r="L1839" s="73"/>
      <c r="M1839" s="73"/>
      <c r="N1839" s="74"/>
    </row>
    <row r="1840" ht="30.0" hidden="1" customHeight="1">
      <c r="A1840" s="68">
        <v>1859.0</v>
      </c>
      <c r="B1840" s="68"/>
      <c r="C1840" s="68"/>
      <c r="D1840" s="69" t="str">
        <f>CONCATENATE(PROPER('DASMA INFO'!$G1840),", ",PROPER('DASMA INFO'!$E1840)," ",PROPER('DASMA INFO'!$F1840),"."," (",UPPER('DASMA INFO'!$H1840),")")</f>
        <v>Garalde, Frivaldo Jesus. ()</v>
      </c>
      <c r="E1840" s="70" t="s">
        <v>3278</v>
      </c>
      <c r="F1840" s="70" t="s">
        <v>803</v>
      </c>
      <c r="G1840" s="70" t="s">
        <v>3279</v>
      </c>
      <c r="H1840" s="69"/>
      <c r="I1840" s="105">
        <v>0.12</v>
      </c>
      <c r="J1840" s="106">
        <v>1000.0</v>
      </c>
      <c r="K1840" s="73" t="s">
        <v>3280</v>
      </c>
      <c r="L1840" s="73"/>
      <c r="M1840" s="73"/>
      <c r="N1840" s="74"/>
    </row>
    <row r="1841" ht="30.0" hidden="1" customHeight="1">
      <c r="A1841" s="68">
        <v>1860.0</v>
      </c>
      <c r="B1841" s="68"/>
      <c r="C1841" s="68"/>
      <c r="D1841" s="69" t="str">
        <f>CONCATENATE(PROPER('DASMA INFO'!$G1841),", ",PROPER('DASMA INFO'!$E1841)," ",PROPER('DASMA INFO'!$F1841),"."," (",UPPER('DASMA INFO'!$H1841),")")</f>
        <v>Olaño, Glenda M. ()</v>
      </c>
      <c r="E1841" s="70" t="s">
        <v>530</v>
      </c>
      <c r="F1841" s="70" t="s">
        <v>587</v>
      </c>
      <c r="G1841" s="70" t="s">
        <v>531</v>
      </c>
      <c r="H1841" s="69"/>
      <c r="I1841" s="92">
        <v>0.05</v>
      </c>
      <c r="J1841" s="93">
        <v>1000.0</v>
      </c>
      <c r="K1841" s="73" t="s">
        <v>3142</v>
      </c>
      <c r="L1841" s="73"/>
      <c r="M1841" s="73"/>
      <c r="N1841" s="74"/>
    </row>
    <row r="1842" ht="30.0" hidden="1" customHeight="1">
      <c r="A1842" s="68">
        <v>1861.0</v>
      </c>
      <c r="B1842" s="68"/>
      <c r="C1842" s="68"/>
      <c r="D1842" s="69" t="str">
        <f>CONCATENATE(PROPER('DASMA INFO'!$G1842),", ",PROPER('DASMA INFO'!$E1842)," ",PROPER('DASMA INFO'!$F1842),"."," (",UPPER('DASMA INFO'!$H1842),")")</f>
        <v>Urcia, Taguibao Leonida. ()</v>
      </c>
      <c r="E1842" s="70" t="s">
        <v>3281</v>
      </c>
      <c r="F1842" s="70" t="s">
        <v>3282</v>
      </c>
      <c r="G1842" s="70" t="s">
        <v>3283</v>
      </c>
      <c r="H1842" s="69"/>
      <c r="I1842" s="92">
        <v>0.05</v>
      </c>
      <c r="J1842" s="93">
        <v>1000.0</v>
      </c>
      <c r="K1842" s="73" t="s">
        <v>3284</v>
      </c>
      <c r="L1842" s="73"/>
      <c r="M1842" s="73"/>
      <c r="N1842" s="74"/>
    </row>
    <row r="1843" ht="30.0" hidden="1" customHeight="1">
      <c r="A1843" s="68">
        <v>1862.0</v>
      </c>
      <c r="B1843" s="68"/>
      <c r="C1843" s="68"/>
      <c r="D1843" s="69" t="str">
        <f>CONCATENATE(PROPER('DASMA INFO'!$G1843),", ",PROPER('DASMA INFO'!$E1843)," ",PROPER('DASMA INFO'!$F1843),"."," (",UPPER('DASMA INFO'!$H1843),")")</f>
        <v>Rizon, Dado Rosemarie. ()</v>
      </c>
      <c r="E1843" s="70" t="s">
        <v>3285</v>
      </c>
      <c r="F1843" s="70" t="s">
        <v>42</v>
      </c>
      <c r="G1843" s="70" t="s">
        <v>3144</v>
      </c>
      <c r="H1843" s="69"/>
      <c r="I1843" s="92">
        <v>0.05</v>
      </c>
      <c r="J1843" s="93">
        <v>1000.0</v>
      </c>
      <c r="K1843" s="73" t="s">
        <v>3286</v>
      </c>
      <c r="L1843" s="73"/>
      <c r="M1843" s="73"/>
      <c r="N1843" s="74"/>
    </row>
    <row r="1844" ht="30.0" hidden="1" customHeight="1">
      <c r="A1844" s="68">
        <v>1863.0</v>
      </c>
      <c r="B1844" s="68"/>
      <c r="C1844" s="68"/>
      <c r="D1844" s="69" t="str">
        <f>CONCATENATE(PROPER('DASMA INFO'!$G1844),", ",PROPER('DASMA INFO'!$E1844)," ",PROPER('DASMA INFO'!$F1844),"."," (",UPPER('DASMA INFO'!$H1844),")")</f>
        <v>Bawalan, Navarro Mildred. ()</v>
      </c>
      <c r="E1844" s="70" t="s">
        <v>3110</v>
      </c>
      <c r="F1844" s="70" t="s">
        <v>1385</v>
      </c>
      <c r="G1844" s="70" t="s">
        <v>3111</v>
      </c>
      <c r="H1844" s="69"/>
      <c r="I1844" s="105">
        <v>0.12</v>
      </c>
      <c r="J1844" s="106">
        <v>1000.0</v>
      </c>
      <c r="K1844" s="73" t="s">
        <v>1276</v>
      </c>
      <c r="L1844" s="73"/>
      <c r="M1844" s="73"/>
      <c r="N1844" s="74"/>
    </row>
    <row r="1845" ht="30.0" hidden="1" customHeight="1">
      <c r="A1845" s="68">
        <v>1864.0</v>
      </c>
      <c r="B1845" s="68"/>
      <c r="C1845" s="68"/>
      <c r="D1845" s="69" t="str">
        <f>CONCATENATE(PROPER('DASMA INFO'!$G1845),", ",PROPER('DASMA INFO'!$E1845)," ",PROPER('DASMA INFO'!$F1845),"."," (",UPPER('DASMA INFO'!$H1845),")")</f>
        <v>Vovveo, Arellano Arlene. ()</v>
      </c>
      <c r="E1845" s="70" t="s">
        <v>1558</v>
      </c>
      <c r="F1845" s="70" t="s">
        <v>1568</v>
      </c>
      <c r="G1845" s="70" t="s">
        <v>3287</v>
      </c>
      <c r="H1845" s="69"/>
      <c r="I1845" s="92">
        <v>0.05</v>
      </c>
      <c r="J1845" s="93">
        <v>1000.0</v>
      </c>
      <c r="K1845" s="73" t="s">
        <v>3288</v>
      </c>
      <c r="L1845" s="73"/>
      <c r="M1845" s="73"/>
      <c r="N1845" s="74"/>
    </row>
    <row r="1846" ht="30.0" hidden="1" customHeight="1">
      <c r="A1846" s="68">
        <v>1865.0</v>
      </c>
      <c r="B1846" s="68"/>
      <c r="C1846" s="68"/>
      <c r="D1846" s="69" t="str">
        <f>CONCATENATE(PROPER('DASMA INFO'!$G1846),", ",PROPER('DASMA INFO'!$E1846)," ",PROPER('DASMA INFO'!$F1846),"."," (",UPPER('DASMA INFO'!$H1846),")")</f>
        <v>Fermo, Yuzon Rizzarose. ()</v>
      </c>
      <c r="E1846" s="70" t="s">
        <v>3289</v>
      </c>
      <c r="F1846" s="70" t="s">
        <v>3290</v>
      </c>
      <c r="G1846" s="70" t="s">
        <v>3291</v>
      </c>
      <c r="H1846" s="69"/>
      <c r="I1846" s="105">
        <v>0.12</v>
      </c>
      <c r="J1846" s="106">
        <v>1000.0</v>
      </c>
      <c r="K1846" s="73" t="s">
        <v>2928</v>
      </c>
      <c r="L1846" s="73"/>
      <c r="M1846" s="73"/>
      <c r="N1846" s="74"/>
    </row>
    <row r="1847" ht="30.0" hidden="1" customHeight="1">
      <c r="A1847" s="68">
        <v>1866.0</v>
      </c>
      <c r="B1847" s="68"/>
      <c r="C1847" s="68"/>
      <c r="D1847" s="69" t="str">
        <f>CONCATENATE(PROPER('DASMA INFO'!$G1847),", ",PROPER('DASMA INFO'!$E1847)," ",PROPER('DASMA INFO'!$F1847),"."," (",UPPER('DASMA INFO'!$H1847),")")</f>
        <v>Fabricante, Fuji Amy. ()</v>
      </c>
      <c r="E1847" s="70" t="s">
        <v>3292</v>
      </c>
      <c r="F1847" s="70" t="s">
        <v>3293</v>
      </c>
      <c r="G1847" s="70" t="s">
        <v>3294</v>
      </c>
      <c r="H1847" s="69"/>
      <c r="I1847" s="92">
        <v>0.05</v>
      </c>
      <c r="J1847" s="93">
        <v>1000.0</v>
      </c>
      <c r="K1847" s="73" t="s">
        <v>3295</v>
      </c>
      <c r="L1847" s="73"/>
      <c r="M1847" s="73"/>
      <c r="N1847" s="74"/>
    </row>
    <row r="1848" ht="30.0" hidden="1" customHeight="1">
      <c r="A1848" s="68">
        <v>1867.0</v>
      </c>
      <c r="B1848" s="68"/>
      <c r="C1848" s="68"/>
      <c r="D1848" s="69" t="str">
        <f>CONCATENATE(PROPER('DASMA INFO'!$G1848),", ",PROPER('DASMA INFO'!$E1848)," ",PROPER('DASMA INFO'!$F1848),"."," (",UPPER('DASMA INFO'!$H1848),")")</f>
        <v>Bernardo, Jocelyn C. ()</v>
      </c>
      <c r="E1848" s="70" t="s">
        <v>290</v>
      </c>
      <c r="F1848" s="69" t="s">
        <v>318</v>
      </c>
      <c r="G1848" s="70" t="s">
        <v>3296</v>
      </c>
      <c r="H1848" s="69"/>
      <c r="I1848" s="92">
        <v>0.05</v>
      </c>
      <c r="J1848" s="93">
        <v>5000.0</v>
      </c>
      <c r="K1848" s="73" t="s">
        <v>2941</v>
      </c>
      <c r="L1848" s="73"/>
      <c r="M1848" s="73"/>
      <c r="N1848" s="74"/>
    </row>
    <row r="1849" ht="30.0" hidden="1" customHeight="1">
      <c r="A1849" s="68">
        <v>1868.0</v>
      </c>
      <c r="B1849" s="68"/>
      <c r="C1849" s="68"/>
      <c r="D1849" s="69" t="str">
        <f>CONCATENATE(PROPER('DASMA INFO'!$G1849),", ",PROPER('DASMA INFO'!$E1849)," ",PROPER('DASMA INFO'!$F1849),"."," (",UPPER('DASMA INFO'!$H1849),")")</f>
        <v>Baeckmann, Gina C. ()</v>
      </c>
      <c r="E1849" s="70" t="s">
        <v>1103</v>
      </c>
      <c r="F1849" s="70" t="s">
        <v>318</v>
      </c>
      <c r="G1849" s="70" t="s">
        <v>2913</v>
      </c>
      <c r="H1849" s="69"/>
      <c r="I1849" s="92">
        <v>0.05</v>
      </c>
      <c r="J1849" s="93">
        <v>1000.0</v>
      </c>
      <c r="K1849" s="73" t="s">
        <v>2103</v>
      </c>
      <c r="L1849" s="73"/>
      <c r="M1849" s="73"/>
      <c r="N1849" s="74"/>
    </row>
    <row r="1850" ht="30.0" hidden="1" customHeight="1">
      <c r="A1850" s="68">
        <v>1869.0</v>
      </c>
      <c r="B1850" s="68"/>
      <c r="C1850" s="68"/>
      <c r="D1850" s="69" t="str">
        <f>CONCATENATE(PROPER('DASMA INFO'!$G1850),", ",PROPER('DASMA INFO'!$E1850)," ",PROPER('DASMA INFO'!$F1850),"."," (",UPPER('DASMA INFO'!$H1850),")")</f>
        <v>Rosellon, Jaum Rhodora. ()</v>
      </c>
      <c r="E1850" s="70" t="s">
        <v>580</v>
      </c>
      <c r="F1850" s="70" t="s">
        <v>579</v>
      </c>
      <c r="G1850" s="70" t="s">
        <v>661</v>
      </c>
      <c r="H1850" s="69"/>
      <c r="I1850" s="105">
        <v>0.12</v>
      </c>
      <c r="J1850" s="106">
        <v>1000.0</v>
      </c>
      <c r="K1850" s="73" t="s">
        <v>1276</v>
      </c>
      <c r="L1850" s="73"/>
      <c r="M1850" s="73"/>
      <c r="N1850" s="74"/>
    </row>
    <row r="1851" ht="30.0" hidden="1" customHeight="1">
      <c r="A1851" s="68">
        <v>1870.0</v>
      </c>
      <c r="B1851" s="68"/>
      <c r="C1851" s="68"/>
      <c r="D1851" s="69" t="str">
        <f>CONCATENATE(PROPER('DASMA INFO'!$G1851),", ",PROPER('DASMA INFO'!$E1851)," ",PROPER('DASMA INFO'!$F1851),"."," (",UPPER('DASMA INFO'!$H1851),")")</f>
        <v>Catsao, Campaña Leo. ()</v>
      </c>
      <c r="E1851" s="70" t="s">
        <v>3297</v>
      </c>
      <c r="F1851" s="70" t="s">
        <v>1258</v>
      </c>
      <c r="G1851" s="70" t="s">
        <v>3298</v>
      </c>
      <c r="H1851" s="69"/>
      <c r="I1851" s="105">
        <v>0.12</v>
      </c>
      <c r="J1851" s="106">
        <v>1000.0</v>
      </c>
      <c r="K1851" s="73" t="s">
        <v>1276</v>
      </c>
      <c r="L1851" s="73"/>
      <c r="M1851" s="73"/>
      <c r="N1851" s="74"/>
    </row>
    <row r="1852" ht="30.0" hidden="1" customHeight="1">
      <c r="A1852" s="68">
        <v>1871.0</v>
      </c>
      <c r="B1852" s="68"/>
      <c r="C1852" s="68"/>
      <c r="D1852" s="69" t="str">
        <f>CONCATENATE(PROPER('DASMA INFO'!$G1852),", ",PROPER('DASMA INFO'!$E1852)," ",PROPER('DASMA INFO'!$F1852),"."," (",UPPER('DASMA INFO'!$H1852),")")</f>
        <v>Ortega, Vivian P. ()</v>
      </c>
      <c r="E1852" s="70" t="s">
        <v>1811</v>
      </c>
      <c r="F1852" s="70" t="s">
        <v>513</v>
      </c>
      <c r="G1852" s="70" t="s">
        <v>3200</v>
      </c>
      <c r="H1852" s="69"/>
      <c r="I1852" s="92">
        <v>0.05</v>
      </c>
      <c r="J1852" s="93">
        <v>1000.0</v>
      </c>
      <c r="K1852" s="73" t="s">
        <v>3299</v>
      </c>
      <c r="L1852" s="73"/>
      <c r="M1852" s="73"/>
      <c r="N1852" s="74"/>
    </row>
    <row r="1853" ht="30.0" hidden="1" customHeight="1">
      <c r="A1853" s="68">
        <v>1872.0</v>
      </c>
      <c r="B1853" s="68"/>
      <c r="C1853" s="68"/>
      <c r="D1853" s="69" t="str">
        <f>CONCATENATE(PROPER('DASMA INFO'!$G1853),", ",PROPER('DASMA INFO'!$E1853)," ",PROPER('DASMA INFO'!$F1853),"."," (",UPPER('DASMA INFO'!$H1853),")")</f>
        <v>Ike, Onzo Anthony. (G)</v>
      </c>
      <c r="E1853" s="70" t="s">
        <v>3300</v>
      </c>
      <c r="F1853" s="70" t="s">
        <v>360</v>
      </c>
      <c r="G1853" s="70" t="s">
        <v>3301</v>
      </c>
      <c r="H1853" s="70" t="s">
        <v>1032</v>
      </c>
      <c r="I1853" s="105">
        <v>0.12</v>
      </c>
      <c r="J1853" s="106">
        <v>1000.0</v>
      </c>
      <c r="K1853" s="73" t="s">
        <v>3157</v>
      </c>
      <c r="L1853" s="73"/>
      <c r="M1853" s="73"/>
      <c r="N1853" s="74"/>
    </row>
    <row r="1854" ht="30.0" hidden="1" customHeight="1">
      <c r="A1854" s="68">
        <v>1873.0</v>
      </c>
      <c r="B1854" s="68"/>
      <c r="C1854" s="68"/>
      <c r="D1854" s="69" t="str">
        <f>CONCATENATE(PROPER('DASMA INFO'!$G1854),", ",PROPER('DASMA INFO'!$E1854)," ",PROPER('DASMA INFO'!$F1854),"."," (",UPPER('DASMA INFO'!$H1854),")")</f>
        <v>Domingo, Almacen Ofella. ()</v>
      </c>
      <c r="E1854" s="70" t="s">
        <v>1010</v>
      </c>
      <c r="F1854" s="70" t="s">
        <v>3302</v>
      </c>
      <c r="G1854" s="70" t="s">
        <v>1331</v>
      </c>
      <c r="H1854" s="69"/>
      <c r="I1854" s="71">
        <v>0.0</v>
      </c>
      <c r="J1854" s="72">
        <v>1000.0</v>
      </c>
      <c r="K1854" s="73" t="s">
        <v>1276</v>
      </c>
      <c r="L1854" s="73"/>
      <c r="M1854" s="73"/>
      <c r="N1854" s="74" t="s">
        <v>3303</v>
      </c>
    </row>
    <row r="1855" ht="30.0" hidden="1" customHeight="1">
      <c r="A1855" s="68">
        <v>1874.0</v>
      </c>
      <c r="B1855" s="68"/>
      <c r="C1855" s="68"/>
      <c r="D1855" s="69" t="str">
        <f>CONCATENATE(PROPER('DASMA INFO'!$G1855),", ",PROPER('DASMA INFO'!$E1855)," ",PROPER('DASMA INFO'!$F1855),"."," (",UPPER('DASMA INFO'!$H1855),")")</f>
        <v>Mercado, Baricuatro Aries. ()</v>
      </c>
      <c r="E1855" s="70" t="s">
        <v>3304</v>
      </c>
      <c r="F1855" s="70" t="s">
        <v>3305</v>
      </c>
      <c r="G1855" s="70" t="s">
        <v>840</v>
      </c>
      <c r="H1855" s="69"/>
      <c r="I1855" s="105">
        <v>0.12</v>
      </c>
      <c r="J1855" s="106">
        <v>1000.0</v>
      </c>
      <c r="K1855" s="73" t="s">
        <v>3259</v>
      </c>
      <c r="L1855" s="73"/>
      <c r="M1855" s="73"/>
      <c r="N1855" s="74"/>
    </row>
    <row r="1856" ht="30.0" hidden="1" customHeight="1">
      <c r="A1856" s="68">
        <v>1875.0</v>
      </c>
      <c r="B1856" s="68"/>
      <c r="C1856" s="68"/>
      <c r="D1856" s="69" t="str">
        <f>CONCATENATE(PROPER('DASMA INFO'!$G1856),", ",PROPER('DASMA INFO'!$E1856)," ",PROPER('DASMA INFO'!$F1856),"."," (",UPPER('DASMA INFO'!$H1856),")")</f>
        <v>De Guzman, Casas Lizial. ()</v>
      </c>
      <c r="E1856" s="70" t="s">
        <v>1974</v>
      </c>
      <c r="F1856" s="70" t="s">
        <v>3306</v>
      </c>
      <c r="G1856" s="70" t="s">
        <v>741</v>
      </c>
      <c r="H1856" s="70"/>
      <c r="I1856" s="92">
        <v>0.05</v>
      </c>
      <c r="J1856" s="93">
        <v>1000.0</v>
      </c>
      <c r="K1856" s="73" t="s">
        <v>3256</v>
      </c>
      <c r="L1856" s="73"/>
      <c r="M1856" s="73"/>
      <c r="N1856" s="74"/>
    </row>
    <row r="1857" ht="30.0" hidden="1" customHeight="1">
      <c r="A1857" s="68">
        <v>1876.0</v>
      </c>
      <c r="B1857" s="68"/>
      <c r="C1857" s="68"/>
      <c r="D1857" s="69" t="str">
        <f>CONCATENATE(PROPER('DASMA INFO'!$G1857),", ",PROPER('DASMA INFO'!$E1857)," ",PROPER('DASMA INFO'!$F1857),"."," (",UPPER('DASMA INFO'!$H1857),")")</f>
        <v>Bertis, Arlene N. ()</v>
      </c>
      <c r="E1857" s="70" t="s">
        <v>1568</v>
      </c>
      <c r="F1857" s="69" t="s">
        <v>1154</v>
      </c>
      <c r="G1857" s="70" t="s">
        <v>3307</v>
      </c>
      <c r="H1857" s="69"/>
      <c r="I1857" s="92">
        <v>0.05</v>
      </c>
      <c r="J1857" s="93">
        <v>1000.0</v>
      </c>
      <c r="K1857" s="73" t="s">
        <v>3308</v>
      </c>
      <c r="L1857" s="73"/>
      <c r="M1857" s="73">
        <v>2018.0</v>
      </c>
      <c r="N1857" s="74" t="s">
        <v>3309</v>
      </c>
    </row>
    <row r="1858" ht="30.0" hidden="1" customHeight="1">
      <c r="A1858" s="68">
        <v>1877.0</v>
      </c>
      <c r="B1858" s="68"/>
      <c r="C1858" s="68"/>
      <c r="D1858" s="69" t="str">
        <f>CONCATENATE(PROPER('DASMA INFO'!$G1858),", ",PROPER('DASMA INFO'!$E1858)," ",PROPER('DASMA INFO'!$F1858),"."," (",UPPER('DASMA INFO'!$H1858),")")</f>
        <v>Yuson, Acollador Rizzarose. ()</v>
      </c>
      <c r="E1858" s="70" t="s">
        <v>3310</v>
      </c>
      <c r="F1858" s="70" t="s">
        <v>3290</v>
      </c>
      <c r="G1858" s="70" t="s">
        <v>3311</v>
      </c>
      <c r="H1858" s="69"/>
      <c r="I1858" s="105">
        <v>0.12</v>
      </c>
      <c r="J1858" s="106">
        <v>1000.0</v>
      </c>
      <c r="K1858" s="73" t="s">
        <v>3312</v>
      </c>
      <c r="L1858" s="73"/>
      <c r="M1858" s="73"/>
      <c r="N1858" s="74"/>
    </row>
    <row r="1859" ht="30.0" hidden="1" customHeight="1">
      <c r="A1859" s="68">
        <v>1878.0</v>
      </c>
      <c r="B1859" s="68"/>
      <c r="C1859" s="68"/>
      <c r="D1859" s="69" t="str">
        <f>CONCATENATE(PROPER('DASMA INFO'!$G1859),", ",PROPER('DASMA INFO'!$E1859)," ",PROPER('DASMA INFO'!$F1859),"."," (",UPPER('DASMA INFO'!$H1859),")")</f>
        <v>Ong, Realista Peter. ()</v>
      </c>
      <c r="E1859" s="70" t="s">
        <v>3313</v>
      </c>
      <c r="F1859" s="70" t="s">
        <v>1487</v>
      </c>
      <c r="G1859" s="70" t="s">
        <v>192</v>
      </c>
      <c r="H1859" s="69"/>
      <c r="I1859" s="105">
        <v>0.12</v>
      </c>
      <c r="J1859" s="106">
        <v>1000.0</v>
      </c>
      <c r="K1859" s="73" t="s">
        <v>2950</v>
      </c>
      <c r="L1859" s="73"/>
      <c r="M1859" s="73"/>
      <c r="N1859" s="74"/>
    </row>
    <row r="1860" ht="30.0" hidden="1" customHeight="1">
      <c r="A1860" s="68">
        <v>1879.0</v>
      </c>
      <c r="B1860" s="68"/>
      <c r="C1860" s="68"/>
      <c r="D1860" s="69" t="str">
        <f>CONCATENATE(PROPER('DASMA INFO'!$G1860),", ",PROPER('DASMA INFO'!$E1860)," ",PROPER('DASMA INFO'!$F1860),"."," (",UPPER('DASMA INFO'!$H1860),")")</f>
        <v>Canama, Mangahas Beaulah. ()</v>
      </c>
      <c r="E1860" s="70" t="s">
        <v>592</v>
      </c>
      <c r="F1860" s="70" t="s">
        <v>795</v>
      </c>
      <c r="G1860" s="70" t="s">
        <v>796</v>
      </c>
      <c r="H1860" s="69"/>
      <c r="I1860" s="92">
        <v>0.05</v>
      </c>
      <c r="J1860" s="93">
        <v>1000.0</v>
      </c>
      <c r="K1860" s="73"/>
      <c r="L1860" s="73"/>
      <c r="M1860" s="73"/>
      <c r="N1860" s="74"/>
    </row>
    <row r="1861" ht="30.0" hidden="1" customHeight="1">
      <c r="A1861" s="68">
        <v>1880.0</v>
      </c>
      <c r="B1861" s="68"/>
      <c r="C1861" s="68"/>
      <c r="D1861" s="69" t="str">
        <f>CONCATENATE(PROPER('DASMA INFO'!$G1861),", ",PROPER('DASMA INFO'!$E1861)," ",PROPER('DASMA INFO'!$F1861),"."," (",UPPER('DASMA INFO'!$H1861),")")</f>
        <v>Cruz, Ramon Reyes. (JR)</v>
      </c>
      <c r="E1861" s="70" t="s">
        <v>1397</v>
      </c>
      <c r="F1861" s="70" t="s">
        <v>122</v>
      </c>
      <c r="G1861" s="70" t="s">
        <v>676</v>
      </c>
      <c r="H1861" s="70" t="s">
        <v>629</v>
      </c>
      <c r="I1861" s="105">
        <v>0.12</v>
      </c>
      <c r="J1861" s="106">
        <v>1000.0</v>
      </c>
      <c r="K1861" s="73" t="s">
        <v>1276</v>
      </c>
      <c r="L1861" s="73"/>
      <c r="M1861" s="73"/>
      <c r="N1861" s="74"/>
    </row>
    <row r="1862" ht="30.0" hidden="1" customHeight="1">
      <c r="A1862" s="68">
        <v>1881.0</v>
      </c>
      <c r="B1862" s="68"/>
      <c r="C1862" s="68"/>
      <c r="D1862" s="69" t="str">
        <f>CONCATENATE(PROPER('DASMA INFO'!$G1862),", ",PROPER('DASMA INFO'!$E1862)," ",PROPER('DASMA INFO'!$F1862),"."," (",UPPER('DASMA INFO'!$H1862),")")</f>
        <v>Mercadal, Agoncillo Dulce. ()</v>
      </c>
      <c r="E1862" s="70" t="s">
        <v>3314</v>
      </c>
      <c r="F1862" s="70" t="s">
        <v>1656</v>
      </c>
      <c r="G1862" s="70" t="s">
        <v>3315</v>
      </c>
      <c r="H1862" s="69"/>
      <c r="I1862" s="92">
        <v>0.05</v>
      </c>
      <c r="J1862" s="93">
        <v>1000.0</v>
      </c>
      <c r="K1862" s="73" t="s">
        <v>3316</v>
      </c>
      <c r="L1862" s="73"/>
      <c r="M1862" s="73"/>
      <c r="N1862" s="74"/>
    </row>
    <row r="1863" ht="30.0" hidden="1" customHeight="1">
      <c r="A1863" s="68">
        <v>1882.0</v>
      </c>
      <c r="B1863" s="68"/>
      <c r="C1863" s="68"/>
      <c r="D1863" s="69" t="str">
        <f>CONCATENATE(PROPER('DASMA INFO'!$G1863),", ",PROPER('DASMA INFO'!$E1863)," ",PROPER('DASMA INFO'!$F1863),"."," (",UPPER('DASMA INFO'!$H1863),")")</f>
        <v>Villacarlos, Melanie S. ()</v>
      </c>
      <c r="E1863" s="70" t="s">
        <v>1147</v>
      </c>
      <c r="F1863" s="70" t="s">
        <v>342</v>
      </c>
      <c r="G1863" s="70" t="s">
        <v>3317</v>
      </c>
      <c r="H1863" s="69"/>
      <c r="I1863" s="92">
        <v>0.05</v>
      </c>
      <c r="J1863" s="93">
        <v>1000.0</v>
      </c>
      <c r="K1863" s="73" t="s">
        <v>3318</v>
      </c>
      <c r="L1863" s="73"/>
      <c r="M1863" s="73"/>
      <c r="N1863" s="74"/>
    </row>
    <row r="1864" ht="30.0" hidden="1" customHeight="1">
      <c r="A1864" s="68">
        <v>1883.0</v>
      </c>
      <c r="B1864" s="68"/>
      <c r="C1864" s="68"/>
      <c r="D1864" s="69" t="str">
        <f>CONCATENATE(PROPER('DASMA INFO'!$G1864),", ",PROPER('DASMA INFO'!$E1864)," ",PROPER('DASMA INFO'!$F1864),"."," (",UPPER('DASMA INFO'!$H1864),")")</f>
        <v>Clemente, Lopez Elizabeth. ()</v>
      </c>
      <c r="E1864" s="70" t="s">
        <v>316</v>
      </c>
      <c r="F1864" s="70" t="s">
        <v>458</v>
      </c>
      <c r="G1864" s="70" t="s">
        <v>3319</v>
      </c>
      <c r="H1864" s="69"/>
      <c r="I1864" s="105">
        <v>0.12</v>
      </c>
      <c r="J1864" s="106">
        <v>1000.0</v>
      </c>
      <c r="K1864" s="73" t="s">
        <v>3027</v>
      </c>
      <c r="L1864" s="73"/>
      <c r="M1864" s="73"/>
      <c r="N1864" s="74"/>
    </row>
    <row r="1865" ht="30.0" hidden="1" customHeight="1">
      <c r="A1865" s="68">
        <v>1884.0</v>
      </c>
      <c r="B1865" s="68"/>
      <c r="C1865" s="68"/>
      <c r="D1865" s="69" t="str">
        <f>CONCATENATE(PROPER('DASMA INFO'!$G1865),", ",PROPER('DASMA INFO'!$E1865)," ",PROPER('DASMA INFO'!$F1865),"."," (",UPPER('DASMA INFO'!$H1865),")")</f>
        <v>Velasco, Sun Peria. ()</v>
      </c>
      <c r="E1865" s="70" t="s">
        <v>621</v>
      </c>
      <c r="F1865" s="70" t="s">
        <v>250</v>
      </c>
      <c r="G1865" s="70" t="s">
        <v>996</v>
      </c>
      <c r="H1865" s="69"/>
      <c r="I1865" s="92">
        <v>0.05</v>
      </c>
      <c r="J1865" s="93">
        <v>1000.0</v>
      </c>
      <c r="K1865" s="73" t="s">
        <v>50</v>
      </c>
      <c r="L1865" s="73"/>
      <c r="M1865" s="73"/>
      <c r="N1865" s="74"/>
    </row>
    <row r="1866" ht="30.0" hidden="1" customHeight="1">
      <c r="A1866" s="68">
        <v>1885.0</v>
      </c>
      <c r="B1866" s="68"/>
      <c r="C1866" s="68"/>
      <c r="D1866" s="69" t="str">
        <f>CONCATENATE(PROPER('DASMA INFO'!$G1866),", ",PROPER('DASMA INFO'!$E1866)," ",PROPER('DASMA INFO'!$F1866),"."," (",UPPER('DASMA INFO'!$H1866),")")</f>
        <v>Ribon, Abner N. ()</v>
      </c>
      <c r="E1866" s="70" t="s">
        <v>3320</v>
      </c>
      <c r="F1866" s="70" t="s">
        <v>1154</v>
      </c>
      <c r="G1866" s="70" t="s">
        <v>3321</v>
      </c>
      <c r="H1866" s="69"/>
      <c r="I1866" s="92">
        <v>0.05</v>
      </c>
      <c r="J1866" s="93">
        <v>1000.0</v>
      </c>
      <c r="K1866" s="73" t="s">
        <v>3322</v>
      </c>
      <c r="L1866" s="73"/>
      <c r="M1866" s="73"/>
      <c r="N1866" s="74"/>
    </row>
    <row r="1867" ht="30.0" hidden="1" customHeight="1">
      <c r="A1867" s="68">
        <v>1886.0</v>
      </c>
      <c r="B1867" s="68"/>
      <c r="C1867" s="68"/>
      <c r="D1867" s="69" t="str">
        <f>CONCATENATE(PROPER('DASMA INFO'!$G1867),", ",PROPER('DASMA INFO'!$E1867)," ",PROPER('DASMA INFO'!$F1867),"."," (",UPPER('DASMA INFO'!$H1867),")")</f>
        <v>Pedrito, Alfonso M. ()</v>
      </c>
      <c r="E1867" s="70" t="s">
        <v>572</v>
      </c>
      <c r="F1867" s="70" t="s">
        <v>587</v>
      </c>
      <c r="G1867" s="70" t="s">
        <v>832</v>
      </c>
      <c r="H1867" s="69"/>
      <c r="I1867" s="92">
        <v>0.05</v>
      </c>
      <c r="J1867" s="93">
        <v>1000.0</v>
      </c>
      <c r="K1867" s="73" t="s">
        <v>93</v>
      </c>
      <c r="L1867" s="73"/>
      <c r="M1867" s="73"/>
      <c r="N1867" s="74"/>
    </row>
    <row r="1868" ht="30.0" hidden="1" customHeight="1">
      <c r="A1868" s="68">
        <v>1887.0</v>
      </c>
      <c r="B1868" s="68"/>
      <c r="C1868" s="68"/>
      <c r="D1868" s="69" t="str">
        <f>CONCATENATE(PROPER('DASMA INFO'!$G1868),", ",PROPER('DASMA INFO'!$E1868)," ",PROPER('DASMA INFO'!$F1868),"."," (",UPPER('DASMA INFO'!$H1868),")")</f>
        <v>Fajutagana, Herrera Celestie. ()</v>
      </c>
      <c r="E1868" s="70" t="s">
        <v>646</v>
      </c>
      <c r="F1868" s="70" t="s">
        <v>645</v>
      </c>
      <c r="G1868" s="70" t="s">
        <v>3323</v>
      </c>
      <c r="H1868" s="69"/>
      <c r="I1868" s="92">
        <v>0.05</v>
      </c>
      <c r="J1868" s="93">
        <v>1000.0</v>
      </c>
      <c r="K1868" s="73" t="s">
        <v>3120</v>
      </c>
      <c r="L1868" s="73"/>
      <c r="M1868" s="73"/>
      <c r="N1868" s="74"/>
    </row>
    <row r="1869" ht="30.0" hidden="1" customHeight="1">
      <c r="A1869" s="68">
        <v>1888.0</v>
      </c>
      <c r="B1869" s="68"/>
      <c r="C1869" s="68"/>
      <c r="D1869" s="69" t="str">
        <f>CONCATENATE(PROPER('DASMA INFO'!$G1869),", ",PROPER('DASMA INFO'!$E1869)," ",PROPER('DASMA INFO'!$F1869),"."," (",UPPER('DASMA INFO'!$H1869),")")</f>
        <v>Clarete, Legaspi Andres. ()</v>
      </c>
      <c r="E1869" s="70" t="s">
        <v>2477</v>
      </c>
      <c r="F1869" s="70" t="s">
        <v>3324</v>
      </c>
      <c r="G1869" s="70" t="s">
        <v>3325</v>
      </c>
      <c r="H1869" s="69"/>
      <c r="I1869" s="105">
        <v>0.12</v>
      </c>
      <c r="J1869" s="106">
        <v>1000.0</v>
      </c>
      <c r="K1869" s="73" t="s">
        <v>3326</v>
      </c>
      <c r="L1869" s="73"/>
      <c r="M1869" s="73"/>
      <c r="N1869" s="74"/>
    </row>
    <row r="1870" ht="30.0" hidden="1" customHeight="1">
      <c r="A1870" s="68">
        <v>1889.0</v>
      </c>
      <c r="B1870" s="68"/>
      <c r="C1870" s="68"/>
      <c r="D1870" s="69" t="str">
        <f>CONCATENATE(PROPER('DASMA INFO'!$G1870),", ",PROPER('DASMA INFO'!$E1870)," ",PROPER('DASMA INFO'!$F1870),"."," (",UPPER('DASMA INFO'!$H1870),")")</f>
        <v>Manalo, Sarmiento Ronnie. ()</v>
      </c>
      <c r="E1870" s="70" t="s">
        <v>2696</v>
      </c>
      <c r="F1870" s="70" t="s">
        <v>249</v>
      </c>
      <c r="G1870" s="70" t="s">
        <v>1544</v>
      </c>
      <c r="H1870" s="69"/>
      <c r="I1870" s="105">
        <v>0.12</v>
      </c>
      <c r="J1870" s="106">
        <v>1000.0</v>
      </c>
      <c r="K1870" s="73" t="s">
        <v>1276</v>
      </c>
      <c r="L1870" s="73"/>
      <c r="M1870" s="73"/>
      <c r="N1870" s="74"/>
    </row>
    <row r="1871" ht="30.0" hidden="1" customHeight="1">
      <c r="A1871" s="68">
        <v>1890.0</v>
      </c>
      <c r="B1871" s="68"/>
      <c r="C1871" s="68"/>
      <c r="D1871" s="69" t="str">
        <f>CONCATENATE(PROPER('DASMA INFO'!$G1871),", ",PROPER('DASMA INFO'!$E1871)," ",PROPER('DASMA INFO'!$F1871),"."," (",UPPER('DASMA INFO'!$H1871),")")</f>
        <v>Rebecca, Polittude L. ()</v>
      </c>
      <c r="E1871" s="70" t="s">
        <v>3327</v>
      </c>
      <c r="F1871" s="69" t="s">
        <v>648</v>
      </c>
      <c r="G1871" s="70" t="s">
        <v>1537</v>
      </c>
      <c r="H1871" s="69"/>
      <c r="I1871" s="105">
        <v>0.12</v>
      </c>
      <c r="J1871" s="106">
        <v>1000.0</v>
      </c>
      <c r="K1871" s="73" t="s">
        <v>3328</v>
      </c>
      <c r="L1871" s="73"/>
      <c r="M1871" s="73"/>
      <c r="N1871" s="74"/>
    </row>
    <row r="1872" ht="30.0" hidden="1" customHeight="1">
      <c r="A1872" s="68">
        <v>1891.0</v>
      </c>
      <c r="B1872" s="68"/>
      <c r="C1872" s="68"/>
      <c r="D1872" s="69" t="str">
        <f>CONCATENATE(PROPER('DASMA INFO'!$G1872),", ",PROPER('DASMA INFO'!$E1872)," ",PROPER('DASMA INFO'!$F1872),"."," (",UPPER('DASMA INFO'!$H1872),")")</f>
        <v>Aguilar, Bruno Beverly. ()</v>
      </c>
      <c r="E1872" s="70" t="s">
        <v>3329</v>
      </c>
      <c r="F1872" s="70" t="s">
        <v>2463</v>
      </c>
      <c r="G1872" s="70" t="s">
        <v>287</v>
      </c>
      <c r="H1872" s="69"/>
      <c r="I1872" s="105">
        <v>0.12</v>
      </c>
      <c r="J1872" s="106">
        <v>1000.0</v>
      </c>
      <c r="K1872" s="73" t="s">
        <v>1816</v>
      </c>
      <c r="L1872" s="73"/>
      <c r="M1872" s="73"/>
      <c r="N1872" s="74"/>
    </row>
    <row r="1873" ht="30.0" hidden="1" customHeight="1">
      <c r="A1873" s="68">
        <v>1892.0</v>
      </c>
      <c r="B1873" s="68"/>
      <c r="C1873" s="68"/>
      <c r="D1873" s="69" t="str">
        <f>CONCATENATE(PROPER('DASMA INFO'!$G1873),", ",PROPER('DASMA INFO'!$E1873)," ",PROPER('DASMA INFO'!$F1873),"."," (",UPPER('DASMA INFO'!$H1873),")")</f>
        <v>Elsa, Pintor Maria. (PRESIDENTE)</v>
      </c>
      <c r="E1873" s="70" t="s">
        <v>3330</v>
      </c>
      <c r="F1873" s="70" t="s">
        <v>640</v>
      </c>
      <c r="G1873" s="70" t="s">
        <v>3331</v>
      </c>
      <c r="H1873" s="70" t="s">
        <v>3332</v>
      </c>
      <c r="I1873" s="92">
        <v>0.05</v>
      </c>
      <c r="J1873" s="93">
        <v>1000.0</v>
      </c>
      <c r="K1873" s="73" t="s">
        <v>3333</v>
      </c>
      <c r="L1873" s="73"/>
      <c r="M1873" s="73"/>
      <c r="N1873" s="74"/>
    </row>
    <row r="1874" ht="30.0" hidden="1" customHeight="1">
      <c r="A1874" s="68">
        <v>1893.0</v>
      </c>
      <c r="B1874" s="68"/>
      <c r="C1874" s="68"/>
      <c r="D1874" s="69" t="str">
        <f>CONCATENATE(PROPER('DASMA INFO'!$G1874),", ",PROPER('DASMA INFO'!$E1874)," ",PROPER('DASMA INFO'!$F1874),"."," (",UPPER('DASMA INFO'!$H1874),")")</f>
        <v>Sison, Adriatico Jennylyn. ()</v>
      </c>
      <c r="E1874" s="70" t="s">
        <v>2943</v>
      </c>
      <c r="F1874" s="70" t="s">
        <v>2635</v>
      </c>
      <c r="G1874" s="70" t="s">
        <v>609</v>
      </c>
      <c r="H1874" s="69"/>
      <c r="I1874" s="105">
        <v>0.12</v>
      </c>
      <c r="J1874" s="106">
        <v>1000.0</v>
      </c>
      <c r="K1874" s="73" t="s">
        <v>2703</v>
      </c>
      <c r="L1874" s="73"/>
      <c r="M1874" s="73"/>
      <c r="N1874" s="74"/>
    </row>
    <row r="1875" ht="30.0" hidden="1" customHeight="1">
      <c r="A1875" s="68">
        <v>1894.0</v>
      </c>
      <c r="B1875" s="68"/>
      <c r="C1875" s="68"/>
      <c r="D1875" s="69" t="str">
        <f>CONCATENATE(PROPER('DASMA INFO'!$G1875),", ",PROPER('DASMA INFO'!$E1875)," ",PROPER('DASMA INFO'!$F1875),"."," (",UPPER('DASMA INFO'!$H1875),")")</f>
        <v>Luarca, Telebrico Arthur. ()</v>
      </c>
      <c r="E1875" s="70" t="s">
        <v>485</v>
      </c>
      <c r="F1875" s="70" t="s">
        <v>484</v>
      </c>
      <c r="G1875" s="70" t="s">
        <v>3334</v>
      </c>
      <c r="H1875" s="69"/>
      <c r="I1875" s="105">
        <v>0.12</v>
      </c>
      <c r="J1875" s="106">
        <v>1000.0</v>
      </c>
      <c r="K1875" s="73" t="s">
        <v>1276</v>
      </c>
      <c r="L1875" s="73"/>
      <c r="M1875" s="73"/>
      <c r="N1875" s="74"/>
    </row>
    <row r="1876" ht="30.0" hidden="1" customHeight="1">
      <c r="A1876" s="68">
        <v>1895.0</v>
      </c>
      <c r="B1876" s="68"/>
      <c r="C1876" s="68"/>
      <c r="D1876" s="69" t="str">
        <f>CONCATENATE(PROPER('DASMA INFO'!$G1876),", ",PROPER('DASMA INFO'!$E1876)," ",PROPER('DASMA INFO'!$F1876),"."," (",UPPER('DASMA INFO'!$H1876),")")</f>
        <v>Dypangco, Dionisio Antonio. ()</v>
      </c>
      <c r="E1876" s="70" t="s">
        <v>2226</v>
      </c>
      <c r="F1876" s="70" t="s">
        <v>76</v>
      </c>
      <c r="G1876" s="70" t="s">
        <v>3335</v>
      </c>
      <c r="H1876" s="69"/>
      <c r="I1876" s="92">
        <v>0.05</v>
      </c>
      <c r="J1876" s="93">
        <v>3000.0</v>
      </c>
      <c r="K1876" s="73"/>
      <c r="L1876" s="73"/>
      <c r="M1876" s="73"/>
      <c r="N1876" s="74" t="s">
        <v>3336</v>
      </c>
    </row>
    <row r="1877" ht="30.0" hidden="1" customHeight="1">
      <c r="A1877" s="68">
        <v>1896.0</v>
      </c>
      <c r="B1877" s="68"/>
      <c r="C1877" s="68"/>
      <c r="D1877" s="69" t="str">
        <f>CONCATENATE(PROPER('DASMA INFO'!$G1877),", ",PROPER('DASMA INFO'!$E1877)," ",PROPER('DASMA INFO'!$F1877),"."," (",UPPER('DASMA INFO'!$H1877),")")</f>
        <v>Ramos, Dalioan Emelyn. ()</v>
      </c>
      <c r="E1877" s="70" t="s">
        <v>3337</v>
      </c>
      <c r="F1877" s="70" t="s">
        <v>1405</v>
      </c>
      <c r="G1877" s="70" t="s">
        <v>74</v>
      </c>
      <c r="H1877" s="69"/>
      <c r="I1877" s="92">
        <v>0.05</v>
      </c>
      <c r="J1877" s="93">
        <v>1000.0</v>
      </c>
      <c r="K1877" s="73" t="s">
        <v>3338</v>
      </c>
      <c r="L1877" s="73"/>
      <c r="M1877" s="73"/>
      <c r="N1877" s="74"/>
    </row>
    <row r="1878" ht="30.0" hidden="1" customHeight="1">
      <c r="A1878" s="68">
        <v>1897.0</v>
      </c>
      <c r="B1878" s="68"/>
      <c r="C1878" s="68"/>
      <c r="D1878" s="69" t="str">
        <f>CONCATENATE(PROPER('DASMA INFO'!$G1878),", ",PROPER('DASMA INFO'!$E1878)," ",PROPER('DASMA INFO'!$F1878),"."," (",UPPER('DASMA INFO'!$H1878),")")</f>
        <v>Marasigan, Adelaida Dela Cerna. ()</v>
      </c>
      <c r="E1878" s="70" t="s">
        <v>2846</v>
      </c>
      <c r="F1878" s="70" t="s">
        <v>3339</v>
      </c>
      <c r="G1878" s="70" t="s">
        <v>3137</v>
      </c>
      <c r="H1878" s="69"/>
      <c r="I1878" s="105">
        <v>0.12</v>
      </c>
      <c r="J1878" s="106">
        <v>1000.0</v>
      </c>
      <c r="K1878" s="73" t="s">
        <v>2979</v>
      </c>
      <c r="L1878" s="73"/>
      <c r="M1878" s="73"/>
      <c r="N1878" s="74"/>
    </row>
    <row r="1879" ht="30.0" hidden="1" customHeight="1">
      <c r="A1879" s="68">
        <v>1898.0</v>
      </c>
      <c r="B1879" s="68"/>
      <c r="C1879" s="68"/>
      <c r="D1879" s="69" t="str">
        <f>CONCATENATE(PROPER('DASMA INFO'!$G1879),", ",PROPER('DASMA INFO'!$E1879)," ",PROPER('DASMA INFO'!$F1879),"."," (",UPPER('DASMA INFO'!$H1879),")")</f>
        <v>Ribon, Liezl C. ()</v>
      </c>
      <c r="E1879" s="70" t="s">
        <v>733</v>
      </c>
      <c r="F1879" s="70" t="s">
        <v>318</v>
      </c>
      <c r="G1879" s="70" t="s">
        <v>3321</v>
      </c>
      <c r="H1879" s="69"/>
      <c r="I1879" s="92">
        <v>0.05</v>
      </c>
      <c r="J1879" s="93">
        <v>1000.0</v>
      </c>
      <c r="K1879" s="73" t="s">
        <v>1276</v>
      </c>
      <c r="L1879" s="73"/>
      <c r="M1879" s="73"/>
      <c r="N1879" s="74"/>
    </row>
    <row r="1880" ht="30.0" hidden="1" customHeight="1">
      <c r="A1880" s="68">
        <v>1899.0</v>
      </c>
      <c r="B1880" s="68"/>
      <c r="C1880" s="68"/>
      <c r="D1880" s="69" t="str">
        <f>CONCATENATE(PROPER('DASMA INFO'!$G1880),", ",PROPER('DASMA INFO'!$E1880)," ",PROPER('DASMA INFO'!$F1880),"."," (",UPPER('DASMA INFO'!$H1880),")")</f>
        <v>Sampaga, Andaya Rudy . ()</v>
      </c>
      <c r="E1880" s="70" t="s">
        <v>3340</v>
      </c>
      <c r="F1880" s="70"/>
      <c r="G1880" s="70" t="s">
        <v>3341</v>
      </c>
      <c r="H1880" s="69"/>
      <c r="I1880" s="105">
        <v>0.12</v>
      </c>
      <c r="J1880" s="106">
        <v>1000.0</v>
      </c>
      <c r="K1880" s="73" t="s">
        <v>1276</v>
      </c>
      <c r="L1880" s="73"/>
      <c r="M1880" s="73"/>
      <c r="N1880" s="74"/>
    </row>
    <row r="1881" ht="30.0" hidden="1" customHeight="1">
      <c r="A1881" s="68">
        <v>1900.0</v>
      </c>
      <c r="B1881" s="68"/>
      <c r="C1881" s="68"/>
      <c r="D1881" s="69" t="str">
        <f>CONCATENATE(PROPER('DASMA INFO'!$G1881),", ",PROPER('DASMA INFO'!$E1881)," ",PROPER('DASMA INFO'!$F1881),"."," (",UPPER('DASMA INFO'!$H1881),")")</f>
        <v>Estrada, Alfonso Cornelius Luizi . ()</v>
      </c>
      <c r="E1881" s="70" t="s">
        <v>3342</v>
      </c>
      <c r="F1881" s="70"/>
      <c r="G1881" s="70" t="s">
        <v>2102</v>
      </c>
      <c r="H1881" s="69"/>
      <c r="I1881" s="92">
        <v>0.05</v>
      </c>
      <c r="J1881" s="93">
        <v>1000.0</v>
      </c>
      <c r="K1881" s="73" t="s">
        <v>3343</v>
      </c>
      <c r="L1881" s="73"/>
      <c r="M1881" s="73"/>
      <c r="N1881" s="74"/>
    </row>
    <row r="1882" ht="30.0" hidden="1" customHeight="1">
      <c r="A1882" s="68">
        <v>1901.0</v>
      </c>
      <c r="B1882" s="68"/>
      <c r="C1882" s="68"/>
      <c r="D1882" s="69" t="str">
        <f>CONCATENATE(PROPER('DASMA INFO'!$G1882),", ",PROPER('DASMA INFO'!$E1882)," ",PROPER('DASMA INFO'!$F1882),"."," (",UPPER('DASMA INFO'!$H1882),")")</f>
        <v>Estrada, Alfonso Minerua . ()</v>
      </c>
      <c r="E1882" s="70" t="s">
        <v>3344</v>
      </c>
      <c r="F1882" s="70"/>
      <c r="G1882" s="70" t="s">
        <v>2102</v>
      </c>
      <c r="H1882" s="69"/>
      <c r="I1882" s="92">
        <v>0.05</v>
      </c>
      <c r="J1882" s="93">
        <v>1000.0</v>
      </c>
      <c r="K1882" s="73" t="s">
        <v>3345</v>
      </c>
      <c r="L1882" s="73"/>
      <c r="M1882" s="73"/>
      <c r="N1882" s="74"/>
    </row>
    <row r="1883" ht="30.0" hidden="1" customHeight="1">
      <c r="A1883" s="68">
        <v>1902.0</v>
      </c>
      <c r="B1883" s="68"/>
      <c r="C1883" s="68"/>
      <c r="D1883" s="69" t="str">
        <f>CONCATENATE(PROPER('DASMA INFO'!$G1883),", ",PROPER('DASMA INFO'!$E1883)," ",PROPER('DASMA INFO'!$F1883),"."," (",UPPER('DASMA INFO'!$H1883),")")</f>
        <v>Ilagan, Herrera Deniss . ()</v>
      </c>
      <c r="E1883" s="70" t="s">
        <v>3346</v>
      </c>
      <c r="F1883" s="70"/>
      <c r="G1883" s="70" t="s">
        <v>738</v>
      </c>
      <c r="H1883" s="69"/>
      <c r="I1883" s="92">
        <v>0.05</v>
      </c>
      <c r="J1883" s="93">
        <v>1000.0</v>
      </c>
      <c r="K1883" s="73" t="s">
        <v>3347</v>
      </c>
      <c r="L1883" s="73"/>
      <c r="M1883" s="73"/>
      <c r="N1883" s="74"/>
    </row>
    <row r="1884" ht="30.0" hidden="1" customHeight="1">
      <c r="A1884" s="68">
        <v>1903.0</v>
      </c>
      <c r="B1884" s="68"/>
      <c r="C1884" s="68"/>
      <c r="D1884" s="69" t="str">
        <f>CONCATENATE(PROPER('DASMA INFO'!$G1884),", ",PROPER('DASMA INFO'!$E1884)," ",PROPER('DASMA INFO'!$F1884),"."," (",UPPER('DASMA INFO'!$H1884),")")</f>
        <v>Christopher, Caoile G. ()</v>
      </c>
      <c r="E1884" s="70" t="s">
        <v>307</v>
      </c>
      <c r="F1884" s="69" t="s">
        <v>1032</v>
      </c>
      <c r="G1884" s="70" t="s">
        <v>1101</v>
      </c>
      <c r="H1884" s="69"/>
      <c r="I1884" s="92">
        <v>0.05</v>
      </c>
      <c r="J1884" s="93">
        <v>1000.0</v>
      </c>
      <c r="K1884" s="73" t="s">
        <v>1276</v>
      </c>
      <c r="L1884" s="73"/>
      <c r="M1884" s="73"/>
      <c r="N1884" s="74"/>
    </row>
    <row r="1885" ht="30.0" hidden="1" customHeight="1">
      <c r="A1885" s="68">
        <v>1904.0</v>
      </c>
      <c r="B1885" s="68"/>
      <c r="C1885" s="68"/>
      <c r="D1885" s="69" t="str">
        <f>CONCATENATE(PROPER('DASMA INFO'!$G1885),", ",PROPER('DASMA INFO'!$E1885)," ",PROPER('DASMA INFO'!$F1885),"."," (",UPPER('DASMA INFO'!$H1885),")")</f>
        <v>Faraon, Corporal Leonardo. (JR)</v>
      </c>
      <c r="E1885" s="70" t="s">
        <v>3348</v>
      </c>
      <c r="F1885" s="70" t="s">
        <v>790</v>
      </c>
      <c r="G1885" s="70" t="s">
        <v>3349</v>
      </c>
      <c r="H1885" s="70" t="s">
        <v>629</v>
      </c>
      <c r="I1885" s="105">
        <v>0.12</v>
      </c>
      <c r="J1885" s="106">
        <v>1000.0</v>
      </c>
      <c r="K1885" s="73" t="s">
        <v>3350</v>
      </c>
      <c r="L1885" s="73"/>
      <c r="M1885" s="73"/>
      <c r="N1885" s="74"/>
    </row>
    <row r="1886" ht="30.0" hidden="1" customHeight="1">
      <c r="A1886" s="68">
        <v>1905.0</v>
      </c>
      <c r="B1886" s="68"/>
      <c r="C1886" s="68"/>
      <c r="D1886" s="69" t="str">
        <f>CONCATENATE(PROPER('DASMA INFO'!$G1886),", ",PROPER('DASMA INFO'!$E1886)," ",PROPER('DASMA INFO'!$F1886),"."," (",UPPER('DASMA INFO'!$H1886),")")</f>
        <v>Angeles, Alden Maribel. ()</v>
      </c>
      <c r="E1886" s="70" t="s">
        <v>3351</v>
      </c>
      <c r="F1886" s="70" t="s">
        <v>3352</v>
      </c>
      <c r="G1886" s="70" t="s">
        <v>202</v>
      </c>
      <c r="H1886" s="69"/>
      <c r="I1886" s="92">
        <v>0.05</v>
      </c>
      <c r="J1886" s="93">
        <v>1000.0</v>
      </c>
      <c r="K1886" s="73" t="s">
        <v>3120</v>
      </c>
      <c r="L1886" s="73"/>
      <c r="M1886" s="73"/>
      <c r="N1886" s="74"/>
    </row>
    <row r="1887" ht="30.0" hidden="1" customHeight="1">
      <c r="A1887" s="68">
        <v>1906.0</v>
      </c>
      <c r="B1887" s="68"/>
      <c r="C1887" s="68"/>
      <c r="D1887" s="69" t="str">
        <f>CONCATENATE(PROPER('DASMA INFO'!$G1887),", ",PROPER('DASMA INFO'!$E1887)," ",PROPER('DASMA INFO'!$F1887),"."," (",UPPER('DASMA INFO'!$H1887),")")</f>
        <v>Bulos, Matongga Lydia. ()</v>
      </c>
      <c r="E1887" s="70" t="s">
        <v>3353</v>
      </c>
      <c r="F1887" s="70" t="s">
        <v>2138</v>
      </c>
      <c r="G1887" s="70" t="s">
        <v>3354</v>
      </c>
      <c r="H1887" s="69"/>
      <c r="I1887" s="105">
        <v>0.12</v>
      </c>
      <c r="J1887" s="106">
        <v>1000.0</v>
      </c>
      <c r="K1887" s="73"/>
      <c r="L1887" s="73"/>
      <c r="M1887" s="73"/>
      <c r="N1887" s="74"/>
    </row>
    <row r="1888" ht="30.0" hidden="1" customHeight="1">
      <c r="A1888" s="68">
        <v>1907.0</v>
      </c>
      <c r="B1888" s="68"/>
      <c r="C1888" s="68"/>
      <c r="D1888" s="69" t="str">
        <f>CONCATENATE(PROPER('DASMA INFO'!$G1888),", ",PROPER('DASMA INFO'!$E1888)," ",PROPER('DASMA INFO'!$F1888),"."," (",UPPER('DASMA INFO'!$H1888),")")</f>
        <v>Frias, Nadal Murna. ()</v>
      </c>
      <c r="E1888" s="70" t="s">
        <v>3355</v>
      </c>
      <c r="F1888" s="70" t="s">
        <v>3356</v>
      </c>
      <c r="G1888" s="70" t="s">
        <v>1701</v>
      </c>
      <c r="H1888" s="69"/>
      <c r="I1888" s="92">
        <v>0.05</v>
      </c>
      <c r="J1888" s="93">
        <v>1000.0</v>
      </c>
      <c r="K1888" s="73" t="s">
        <v>3357</v>
      </c>
      <c r="L1888" s="73"/>
      <c r="M1888" s="73"/>
      <c r="N1888" s="74"/>
    </row>
    <row r="1889" ht="30.0" hidden="1" customHeight="1">
      <c r="A1889" s="68">
        <v>1908.0</v>
      </c>
      <c r="B1889" s="68"/>
      <c r="C1889" s="68"/>
      <c r="D1889" s="69" t="str">
        <f>CONCATENATE(PROPER('DASMA INFO'!$G1889),", ",PROPER('DASMA INFO'!$E1889)," ",PROPER('DASMA INFO'!$F1889),"."," (",UPPER('DASMA INFO'!$H1889),")")</f>
        <v>Aquino, Bonaubra Allan. ()</v>
      </c>
      <c r="E1889" s="70" t="s">
        <v>3358</v>
      </c>
      <c r="F1889" s="70" t="s">
        <v>2424</v>
      </c>
      <c r="G1889" s="70" t="s">
        <v>331</v>
      </c>
      <c r="H1889" s="69"/>
      <c r="I1889" s="105">
        <v>0.12</v>
      </c>
      <c r="J1889" s="106">
        <v>1000.0</v>
      </c>
      <c r="K1889" s="73"/>
      <c r="L1889" s="73"/>
      <c r="M1889" s="73"/>
      <c r="N1889" s="74"/>
    </row>
    <row r="1890" ht="30.0" hidden="1" customHeight="1">
      <c r="A1890" s="68">
        <v>1909.0</v>
      </c>
      <c r="B1890" s="68"/>
      <c r="C1890" s="68"/>
      <c r="D1890" s="69" t="str">
        <f>CONCATENATE(PROPER('DASMA INFO'!$G1890),", ",PROPER('DASMA INFO'!$E1890)," ",PROPER('DASMA INFO'!$F1890),"."," (",UPPER('DASMA INFO'!$H1890),")")</f>
        <v>Avinante, Estaras Angelo. ()</v>
      </c>
      <c r="E1890" s="70" t="s">
        <v>3359</v>
      </c>
      <c r="F1890" s="70" t="s">
        <v>347</v>
      </c>
      <c r="G1890" s="70" t="s">
        <v>2043</v>
      </c>
      <c r="H1890" s="69"/>
      <c r="I1890" s="105">
        <v>0.12</v>
      </c>
      <c r="J1890" s="106">
        <v>1000.0</v>
      </c>
      <c r="K1890" s="73" t="s">
        <v>1276</v>
      </c>
      <c r="L1890" s="73"/>
      <c r="M1890" s="73"/>
      <c r="N1890" s="74"/>
    </row>
    <row r="1891" ht="30.0" hidden="1" customHeight="1">
      <c r="A1891" s="68">
        <v>1910.0</v>
      </c>
      <c r="B1891" s="68"/>
      <c r="C1891" s="68"/>
      <c r="D1891" s="69" t="str">
        <f>CONCATENATE(PROPER('DASMA INFO'!$G1891),", ",PROPER('DASMA INFO'!$E1891)," ",PROPER('DASMA INFO'!$F1891),"."," (",UPPER('DASMA INFO'!$H1891),")")</f>
        <v>Sarino, Maria Nenita. ()</v>
      </c>
      <c r="E1891" s="70" t="s">
        <v>640</v>
      </c>
      <c r="F1891" s="70" t="s">
        <v>994</v>
      </c>
      <c r="G1891" s="70" t="s">
        <v>3360</v>
      </c>
      <c r="H1891" s="69"/>
      <c r="I1891" s="92">
        <v>0.05</v>
      </c>
      <c r="J1891" s="93">
        <v>1000.0</v>
      </c>
      <c r="K1891" s="73"/>
      <c r="L1891" s="73"/>
      <c r="M1891" s="73"/>
      <c r="N1891" s="74"/>
    </row>
    <row r="1892" ht="30.0" hidden="1" customHeight="1">
      <c r="A1892" s="68">
        <v>1911.0</v>
      </c>
      <c r="B1892" s="68"/>
      <c r="C1892" s="68"/>
      <c r="D1892" s="69" t="str">
        <f>CONCATENATE(PROPER('DASMA INFO'!$G1892),", ",PROPER('DASMA INFO'!$E1892)," ",PROPER('DASMA INFO'!$F1892),"."," (",UPPER('DASMA INFO'!$H1892),")")</f>
        <v>Relova, Morcilla Nerlita. ()</v>
      </c>
      <c r="E1892" s="70" t="s">
        <v>3361</v>
      </c>
      <c r="F1892" s="70" t="s">
        <v>3362</v>
      </c>
      <c r="G1892" s="70" t="s">
        <v>3363</v>
      </c>
      <c r="H1892" s="69"/>
      <c r="I1892" s="105">
        <v>0.12</v>
      </c>
      <c r="J1892" s="106">
        <v>1000.0</v>
      </c>
      <c r="K1892" s="73" t="s">
        <v>3364</v>
      </c>
      <c r="L1892" s="73"/>
      <c r="M1892" s="73"/>
      <c r="N1892" s="74"/>
    </row>
    <row r="1893" ht="30.0" hidden="1" customHeight="1">
      <c r="A1893" s="68">
        <v>1912.0</v>
      </c>
      <c r="B1893" s="68"/>
      <c r="C1893" s="68"/>
      <c r="D1893" s="69" t="str">
        <f>CONCATENATE(PROPER('DASMA INFO'!$G1893),", ",PROPER('DASMA INFO'!$E1893)," ",PROPER('DASMA INFO'!$F1893),"."," (",UPPER('DASMA INFO'!$H1893),")")</f>
        <v>Gracilla, Listana Marivic. ()</v>
      </c>
      <c r="E1893" s="70" t="s">
        <v>3365</v>
      </c>
      <c r="F1893" s="70" t="s">
        <v>84</v>
      </c>
      <c r="G1893" s="70" t="s">
        <v>3366</v>
      </c>
      <c r="H1893" s="69"/>
      <c r="I1893" s="105">
        <v>0.12</v>
      </c>
      <c r="J1893" s="106">
        <v>1000.0</v>
      </c>
      <c r="K1893" s="73" t="s">
        <v>2950</v>
      </c>
      <c r="L1893" s="73"/>
      <c r="M1893" s="73"/>
      <c r="N1893" s="74"/>
    </row>
    <row r="1894" ht="30.0" hidden="1" customHeight="1">
      <c r="A1894" s="68">
        <v>1913.0</v>
      </c>
      <c r="B1894" s="68"/>
      <c r="C1894" s="68"/>
      <c r="D1894" s="69" t="str">
        <f>CONCATENATE(PROPER('DASMA INFO'!$G1894),", ",PROPER('DASMA INFO'!$E1894)," ",PROPER('DASMA INFO'!$F1894),"."," (",UPPER('DASMA INFO'!$H1894),")")</f>
        <v>Duma, Oliveros Jenny. ()</v>
      </c>
      <c r="E1894" s="70" t="s">
        <v>541</v>
      </c>
      <c r="F1894" s="70" t="s">
        <v>540</v>
      </c>
      <c r="G1894" s="70" t="s">
        <v>3367</v>
      </c>
      <c r="H1894" s="69"/>
      <c r="I1894" s="92">
        <v>0.05</v>
      </c>
      <c r="J1894" s="93">
        <v>1000.0</v>
      </c>
      <c r="K1894" s="73" t="s">
        <v>1276</v>
      </c>
      <c r="L1894" s="73"/>
      <c r="M1894" s="73"/>
      <c r="N1894" s="74"/>
    </row>
    <row r="1895" ht="30.0" hidden="1" customHeight="1">
      <c r="A1895" s="68">
        <v>1914.0</v>
      </c>
      <c r="B1895" s="68"/>
      <c r="C1895" s="68"/>
      <c r="D1895" s="69" t="str">
        <f>CONCATENATE(PROPER('DASMA INFO'!$G1895),", ",PROPER('DASMA INFO'!$E1895)," ",PROPER('DASMA INFO'!$F1895),"."," (",UPPER('DASMA INFO'!$H1895),")")</f>
        <v>Lunario, Arlen Mejico. ()</v>
      </c>
      <c r="E1895" s="70" t="s">
        <v>798</v>
      </c>
      <c r="F1895" s="70" t="s">
        <v>3368</v>
      </c>
      <c r="G1895" s="70" t="s">
        <v>3369</v>
      </c>
      <c r="H1895" s="69"/>
      <c r="I1895" s="92">
        <v>0.05</v>
      </c>
      <c r="J1895" s="93">
        <v>1000.0</v>
      </c>
      <c r="K1895" s="73" t="s">
        <v>2947</v>
      </c>
      <c r="L1895" s="73"/>
      <c r="M1895" s="73"/>
      <c r="N1895" s="74"/>
    </row>
    <row r="1896" ht="30.0" hidden="1" customHeight="1">
      <c r="A1896" s="68">
        <v>1915.0</v>
      </c>
      <c r="B1896" s="68"/>
      <c r="C1896" s="68"/>
      <c r="D1896" s="69" t="str">
        <f>CONCATENATE(PROPER('DASMA INFO'!$G1896),", ",PROPER('DASMA INFO'!$E1896)," ",PROPER('DASMA INFO'!$F1896),"."," (",UPPER('DASMA INFO'!$H1896),")")</f>
        <v>Jugado, Sagpao Marissa . ()</v>
      </c>
      <c r="E1896" s="70" t="s">
        <v>3370</v>
      </c>
      <c r="F1896" s="70"/>
      <c r="G1896" s="70" t="s">
        <v>3371</v>
      </c>
      <c r="H1896" s="69"/>
      <c r="I1896" s="105">
        <v>0.12</v>
      </c>
      <c r="J1896" s="106">
        <v>1000.0</v>
      </c>
      <c r="K1896" s="73" t="s">
        <v>3259</v>
      </c>
      <c r="L1896" s="73"/>
      <c r="M1896" s="73"/>
      <c r="N1896" s="74"/>
    </row>
    <row r="1897" ht="30.0" hidden="1" customHeight="1">
      <c r="A1897" s="68">
        <v>1916.0</v>
      </c>
      <c r="B1897" s="68"/>
      <c r="C1897" s="68"/>
      <c r="D1897" s="69" t="str">
        <f>CONCATENATE(PROPER('DASMA INFO'!$G1897),", ",PROPER('DASMA INFO'!$E1897)," ",PROPER('DASMA INFO'!$F1897),"."," (",UPPER('DASMA INFO'!$H1897),")")</f>
        <v>Aquino, Judy M. ()</v>
      </c>
      <c r="E1897" s="69" t="s">
        <v>3372</v>
      </c>
      <c r="F1897" s="69" t="s">
        <v>587</v>
      </c>
      <c r="G1897" s="69" t="s">
        <v>331</v>
      </c>
      <c r="H1897" s="69"/>
      <c r="I1897" s="92">
        <v>0.05</v>
      </c>
      <c r="J1897" s="93">
        <v>1000.0</v>
      </c>
      <c r="K1897" s="73"/>
      <c r="L1897" s="73"/>
      <c r="M1897" s="73"/>
      <c r="N1897" s="74" t="s">
        <v>3373</v>
      </c>
    </row>
    <row r="1898" ht="30.0" hidden="1" customHeight="1">
      <c r="A1898" s="68">
        <v>1917.0</v>
      </c>
      <c r="B1898" s="68"/>
      <c r="C1898" s="68"/>
      <c r="D1898" s="69" t="str">
        <f>CONCATENATE(PROPER('DASMA INFO'!$G1898),", ",PROPER('DASMA INFO'!$E1898)," ",PROPER('DASMA INFO'!$F1898),"."," (",UPPER('DASMA INFO'!$H1898),")")</f>
        <v>Villaflores, Elvira P. ()</v>
      </c>
      <c r="E1898" s="69" t="s">
        <v>147</v>
      </c>
      <c r="F1898" s="69" t="s">
        <v>513</v>
      </c>
      <c r="G1898" s="69" t="s">
        <v>3374</v>
      </c>
      <c r="H1898" s="69"/>
      <c r="I1898" s="92">
        <v>0.12</v>
      </c>
      <c r="J1898" s="93">
        <v>1000.0</v>
      </c>
      <c r="K1898" s="73" t="s">
        <v>3375</v>
      </c>
      <c r="L1898" s="73"/>
      <c r="M1898" s="73"/>
      <c r="N1898" s="74"/>
    </row>
    <row r="1899" ht="30.0" hidden="1" customHeight="1">
      <c r="A1899" s="68">
        <v>1918.0</v>
      </c>
      <c r="B1899" s="68"/>
      <c r="C1899" s="68"/>
      <c r="D1899" s="69" t="str">
        <f>CONCATENATE(PROPER('DASMA INFO'!$G1899),", ",PROPER('DASMA INFO'!$E1899)," ",PROPER('DASMA INFO'!$F1899),"."," (",UPPER('DASMA INFO'!$H1899),")")</f>
        <v>Mamaril, Bernadette Amor M. ()</v>
      </c>
      <c r="E1899" s="69" t="s">
        <v>3376</v>
      </c>
      <c r="F1899" s="69" t="s">
        <v>587</v>
      </c>
      <c r="G1899" s="69" t="s">
        <v>3377</v>
      </c>
      <c r="H1899" s="69"/>
      <c r="I1899" s="92">
        <v>0.05</v>
      </c>
      <c r="J1899" s="93">
        <v>1000.0</v>
      </c>
      <c r="K1899" s="73" t="s">
        <v>3378</v>
      </c>
      <c r="L1899" s="73"/>
      <c r="M1899" s="73"/>
      <c r="N1899" s="74" t="s">
        <v>3379</v>
      </c>
    </row>
    <row r="1900" ht="30.0" hidden="1" customHeight="1">
      <c r="A1900" s="68">
        <v>1919.0</v>
      </c>
      <c r="B1900" s="68"/>
      <c r="C1900" s="68"/>
      <c r="D1900" s="69" t="str">
        <f>CONCATENATE(PROPER('DASMA INFO'!$G1900),", ",PROPER('DASMA INFO'!$E1900)," ",PROPER('DASMA INFO'!$F1900),"."," (",UPPER('DASMA INFO'!$H1900),")")</f>
        <v>Ligon, Ralph P. ()</v>
      </c>
      <c r="E1900" s="69" t="s">
        <v>3380</v>
      </c>
      <c r="F1900" s="69" t="s">
        <v>513</v>
      </c>
      <c r="G1900" s="69" t="s">
        <v>2792</v>
      </c>
      <c r="H1900" s="69"/>
      <c r="I1900" s="92">
        <v>0.05</v>
      </c>
      <c r="J1900" s="93">
        <v>1000.0</v>
      </c>
      <c r="K1900" s="73"/>
      <c r="L1900" s="73"/>
      <c r="M1900" s="73"/>
      <c r="N1900" s="74" t="s">
        <v>3381</v>
      </c>
    </row>
    <row r="1901" ht="30.0" hidden="1" customHeight="1">
      <c r="A1901" s="68">
        <v>1920.0</v>
      </c>
      <c r="B1901" s="68"/>
      <c r="C1901" s="68"/>
      <c r="D1901" s="69" t="str">
        <f>CONCATENATE(PROPER('DASMA INFO'!$G1901),", ",PROPER('DASMA INFO'!$E1901)," ",PROPER('DASMA INFO'!$F1901),"."," (",UPPER('DASMA INFO'!$H1901),")")</f>
        <v>Gonzales, Roberto . ()</v>
      </c>
      <c r="E1901" s="69" t="s">
        <v>197</v>
      </c>
      <c r="F1901" s="69"/>
      <c r="G1901" s="69" t="s">
        <v>394</v>
      </c>
      <c r="H1901" s="69"/>
      <c r="I1901" s="105">
        <v>0.12</v>
      </c>
      <c r="J1901" s="106">
        <v>1000.0</v>
      </c>
      <c r="K1901" s="73"/>
      <c r="L1901" s="73"/>
      <c r="M1901" s="73"/>
      <c r="N1901" s="74"/>
    </row>
    <row r="1902" ht="30.0" hidden="1" customHeight="1">
      <c r="A1902" s="68">
        <v>1921.0</v>
      </c>
      <c r="B1902" s="68"/>
      <c r="C1902" s="68"/>
      <c r="D1902" s="69" t="str">
        <f>CONCATENATE(PROPER('DASMA INFO'!$G1902),", ",PROPER('DASMA INFO'!$E1902)," ",PROPER('DASMA INFO'!$F1902),"."," (",UPPER('DASMA INFO'!$H1902),")")</f>
        <v>Miralles, Melanie Castro. ()</v>
      </c>
      <c r="E1902" s="69" t="s">
        <v>1147</v>
      </c>
      <c r="F1902" s="69" t="s">
        <v>505</v>
      </c>
      <c r="G1902" s="69" t="s">
        <v>3382</v>
      </c>
      <c r="H1902" s="69"/>
      <c r="I1902" s="105">
        <v>0.12</v>
      </c>
      <c r="J1902" s="106">
        <v>1000.0</v>
      </c>
      <c r="K1902" s="73" t="s">
        <v>2950</v>
      </c>
      <c r="L1902" s="73"/>
      <c r="M1902" s="73"/>
      <c r="N1902" s="74"/>
    </row>
    <row r="1903" ht="30.0" hidden="1" customHeight="1">
      <c r="A1903" s="68">
        <v>1922.0</v>
      </c>
      <c r="B1903" s="68"/>
      <c r="C1903" s="68"/>
      <c r="D1903" s="69" t="str">
        <f>CONCATENATE(PROPER('DASMA INFO'!$G1903),", ",PROPER('DASMA INFO'!$E1903)," ",PROPER('DASMA INFO'!$F1903),"."," (",UPPER('DASMA INFO'!$H1903),")")</f>
        <v>Ramos, Socorro Alcancia. ()</v>
      </c>
      <c r="E1903" s="69" t="s">
        <v>73</v>
      </c>
      <c r="F1903" s="69" t="s">
        <v>3383</v>
      </c>
      <c r="G1903" s="69" t="s">
        <v>74</v>
      </c>
      <c r="H1903" s="69"/>
      <c r="I1903" s="105">
        <v>0.12</v>
      </c>
      <c r="J1903" s="106">
        <v>1000.0</v>
      </c>
      <c r="K1903" s="73" t="s">
        <v>3384</v>
      </c>
      <c r="L1903" s="73"/>
      <c r="M1903" s="73"/>
      <c r="N1903" s="74"/>
    </row>
    <row r="1904" ht="30.0" hidden="1" customHeight="1">
      <c r="A1904" s="68">
        <v>1923.0</v>
      </c>
      <c r="B1904" s="68"/>
      <c r="C1904" s="68"/>
      <c r="D1904" s="69" t="str">
        <f>CONCATENATE(PROPER('DASMA INFO'!$G1904),", ",PROPER('DASMA INFO'!$E1904)," ",PROPER('DASMA INFO'!$F1904),"."," (",UPPER('DASMA INFO'!$H1904),")")</f>
        <v>Tuazon, Catherine Bongayan. ()</v>
      </c>
      <c r="E1904" s="69" t="s">
        <v>3385</v>
      </c>
      <c r="F1904" s="69" t="s">
        <v>3386</v>
      </c>
      <c r="G1904" s="69" t="s">
        <v>553</v>
      </c>
      <c r="H1904" s="69"/>
      <c r="I1904" s="105">
        <v>0.12</v>
      </c>
      <c r="J1904" s="106">
        <v>1000.0</v>
      </c>
      <c r="K1904" s="73" t="s">
        <v>1276</v>
      </c>
      <c r="L1904" s="73"/>
      <c r="M1904" s="73"/>
      <c r="N1904" s="74"/>
    </row>
    <row r="1905" ht="30.0" hidden="1" customHeight="1">
      <c r="A1905" s="68">
        <v>1924.0</v>
      </c>
      <c r="B1905" s="68"/>
      <c r="C1905" s="68"/>
      <c r="D1905" s="69" t="str">
        <f>CONCATENATE(PROPER('DASMA INFO'!$G1905),", ",PROPER('DASMA INFO'!$E1905)," ",PROPER('DASMA INFO'!$F1905),"."," (",UPPER('DASMA INFO'!$H1905),")")</f>
        <v>De Luna, Brian Jerold B. ()</v>
      </c>
      <c r="E1905" s="69" t="s">
        <v>3387</v>
      </c>
      <c r="F1905" s="69" t="s">
        <v>627</v>
      </c>
      <c r="G1905" s="69" t="s">
        <v>3388</v>
      </c>
      <c r="H1905" s="69"/>
      <c r="I1905" s="105">
        <v>0.12</v>
      </c>
      <c r="J1905" s="106">
        <v>1000.0</v>
      </c>
      <c r="K1905" s="73"/>
      <c r="L1905" s="73"/>
      <c r="M1905" s="73"/>
      <c r="N1905" s="74"/>
    </row>
    <row r="1906" ht="30.0" hidden="1" customHeight="1">
      <c r="A1906" s="68">
        <v>1925.0</v>
      </c>
      <c r="B1906" s="68"/>
      <c r="C1906" s="68"/>
      <c r="D1906" s="69" t="str">
        <f>CONCATENATE(PROPER('DASMA INFO'!$G1906),", ",PROPER('DASMA INFO'!$E1906)," ",PROPER('DASMA INFO'!$F1906),"."," (",UPPER('DASMA INFO'!$H1906),")")</f>
        <v>Amemiya, Maylene Abilgos. ()</v>
      </c>
      <c r="E1906" s="69" t="s">
        <v>363</v>
      </c>
      <c r="F1906" s="69" t="s">
        <v>3389</v>
      </c>
      <c r="G1906" s="69" t="s">
        <v>3390</v>
      </c>
      <c r="H1906" s="69"/>
      <c r="I1906" s="105">
        <v>0.12</v>
      </c>
      <c r="J1906" s="106">
        <v>1000.0</v>
      </c>
      <c r="K1906" s="73" t="s">
        <v>1596</v>
      </c>
      <c r="L1906" s="73"/>
      <c r="M1906" s="73"/>
      <c r="N1906" s="74"/>
    </row>
    <row r="1907" ht="30.0" hidden="1" customHeight="1">
      <c r="A1907" s="68">
        <v>1926.0</v>
      </c>
      <c r="B1907" s="68"/>
      <c r="C1907" s="68"/>
      <c r="D1907" s="69" t="str">
        <f>CONCATENATE(PROPER('DASMA INFO'!$G1907),", ",PROPER('DASMA INFO'!$E1907)," ",PROPER('DASMA INFO'!$F1907),"."," (",UPPER('DASMA INFO'!$H1907),")")</f>
        <v>Romero Jr, Benedicto Salvador. ()</v>
      </c>
      <c r="E1907" s="69" t="s">
        <v>2955</v>
      </c>
      <c r="F1907" s="69" t="s">
        <v>900</v>
      </c>
      <c r="G1907" s="69" t="s">
        <v>3391</v>
      </c>
      <c r="H1907" s="69"/>
      <c r="I1907" s="105">
        <v>0.12</v>
      </c>
      <c r="J1907" s="106">
        <v>1000.0</v>
      </c>
      <c r="K1907" s="73" t="s">
        <v>2928</v>
      </c>
      <c r="L1907" s="73"/>
      <c r="M1907" s="73"/>
      <c r="N1907" s="74"/>
    </row>
    <row r="1908" ht="30.0" hidden="1" customHeight="1">
      <c r="A1908" s="68">
        <v>1927.0</v>
      </c>
      <c r="B1908" s="68"/>
      <c r="C1908" s="68"/>
      <c r="D1908" s="69" t="str">
        <f>CONCATENATE(PROPER('DASMA INFO'!$G1908),", ",PROPER('DASMA INFO'!$E1908)," ",PROPER('DASMA INFO'!$F1908),"."," (",UPPER('DASMA INFO'!$H1908),")")</f>
        <v>Jumamoy, Marian Grace Peña. ()</v>
      </c>
      <c r="E1908" s="69" t="s">
        <v>3392</v>
      </c>
      <c r="F1908" s="69" t="s">
        <v>3133</v>
      </c>
      <c r="G1908" s="69" t="s">
        <v>3132</v>
      </c>
      <c r="H1908" s="69"/>
      <c r="I1908" s="92">
        <v>0.05</v>
      </c>
      <c r="J1908" s="93">
        <v>1000.0</v>
      </c>
      <c r="K1908" s="73" t="s">
        <v>3393</v>
      </c>
      <c r="L1908" s="73"/>
      <c r="M1908" s="73">
        <v>2022.0</v>
      </c>
      <c r="N1908" s="74"/>
    </row>
    <row r="1909" ht="30.0" hidden="1" customHeight="1">
      <c r="A1909" s="68">
        <v>1928.0</v>
      </c>
      <c r="B1909" s="68"/>
      <c r="C1909" s="68"/>
      <c r="D1909" s="69" t="str">
        <f>CONCATENATE(PROPER('DASMA INFO'!$G1909),", ",PROPER('DASMA INFO'!$E1909)," ",PROPER('DASMA INFO'!$F1909),"."," (",UPPER('DASMA INFO'!$H1909),")")</f>
        <v>Sato, Mary Joyce Agub. ()</v>
      </c>
      <c r="E1909" s="69" t="s">
        <v>3394</v>
      </c>
      <c r="F1909" s="69" t="s">
        <v>3052</v>
      </c>
      <c r="G1909" s="69" t="s">
        <v>3395</v>
      </c>
      <c r="H1909" s="69"/>
      <c r="I1909" s="92">
        <v>0.05</v>
      </c>
      <c r="J1909" s="93">
        <v>1000.0</v>
      </c>
      <c r="K1909" s="73"/>
      <c r="L1909" s="73"/>
      <c r="M1909" s="73"/>
      <c r="N1909" s="74" t="s">
        <v>3396</v>
      </c>
    </row>
    <row r="1910" ht="30.0" hidden="1" customHeight="1">
      <c r="A1910" s="68">
        <v>1929.0</v>
      </c>
      <c r="B1910" s="68"/>
      <c r="C1910" s="68"/>
      <c r="D1910" s="69" t="str">
        <f>CONCATENATE(PROPER('DASMA INFO'!$G1910),", ",PROPER('DASMA INFO'!$E1910)," ",PROPER('DASMA INFO'!$F1910),"."," (",UPPER('DASMA INFO'!$H1910),")")</f>
        <v>Tudio, Gerame Cabonegro. ()</v>
      </c>
      <c r="E1910" s="69" t="s">
        <v>535</v>
      </c>
      <c r="F1910" s="69" t="s">
        <v>3397</v>
      </c>
      <c r="G1910" s="69" t="s">
        <v>536</v>
      </c>
      <c r="H1910" s="69"/>
      <c r="I1910" s="92">
        <v>0.05</v>
      </c>
      <c r="J1910" s="93">
        <v>1000.0</v>
      </c>
      <c r="K1910" s="73"/>
      <c r="L1910" s="73"/>
      <c r="M1910" s="73"/>
      <c r="N1910" s="74"/>
    </row>
    <row r="1911" ht="30.0" hidden="1" customHeight="1">
      <c r="A1911" s="86">
        <v>1930.0</v>
      </c>
      <c r="B1911" s="86"/>
      <c r="C1911" s="86"/>
      <c r="D1911" s="69" t="str">
        <f>CONCATENATE(PROPER('DASMA INFO'!$G1911),", ",PROPER('DASMA INFO'!$E1911)," ",PROPER('DASMA INFO'!$F1911),"."," (",UPPER('DASMA INFO'!$H1911),")")</f>
        <v>Tamaray, Rose Cyra Manzano. ()</v>
      </c>
      <c r="E1911" s="87" t="s">
        <v>3398</v>
      </c>
      <c r="F1911" s="87" t="s">
        <v>1835</v>
      </c>
      <c r="G1911" s="87" t="s">
        <v>3399</v>
      </c>
      <c r="H1911" s="87"/>
      <c r="I1911" s="105">
        <v>0.12</v>
      </c>
      <c r="J1911" s="106">
        <v>1000.0</v>
      </c>
      <c r="K1911" s="89"/>
      <c r="L1911" s="89"/>
      <c r="M1911" s="89"/>
      <c r="N1911" s="90"/>
    </row>
    <row r="1912" ht="30.0" hidden="1" customHeight="1">
      <c r="A1912" s="68">
        <v>1931.0</v>
      </c>
      <c r="B1912" s="68"/>
      <c r="C1912" s="68"/>
      <c r="D1912" s="69" t="str">
        <f>CONCATENATE(PROPER('DASMA INFO'!$G1912),", ",PROPER('DASMA INFO'!$E1912)," ",PROPER('DASMA INFO'!$F1912),"."," (",UPPER('DASMA INFO'!$H1912),")")</f>
        <v>Baldon, Sonie Ann Caballero. ()</v>
      </c>
      <c r="E1912" s="69" t="s">
        <v>3400</v>
      </c>
      <c r="F1912" s="69" t="s">
        <v>1688</v>
      </c>
      <c r="G1912" s="69" t="s">
        <v>3401</v>
      </c>
      <c r="H1912" s="69"/>
      <c r="I1912" s="105">
        <v>0.12</v>
      </c>
      <c r="J1912" s="106">
        <v>1000.0</v>
      </c>
      <c r="K1912" s="73" t="s">
        <v>1276</v>
      </c>
      <c r="L1912" s="73"/>
      <c r="M1912" s="73"/>
      <c r="N1912" s="74"/>
    </row>
    <row r="1913" ht="30.0" hidden="1" customHeight="1">
      <c r="A1913" s="68">
        <v>1932.0</v>
      </c>
      <c r="B1913" s="68"/>
      <c r="C1913" s="68"/>
      <c r="D1913" s="69" t="str">
        <f>CONCATENATE(PROPER('DASMA INFO'!$G1913),", ",PROPER('DASMA INFO'!$E1913)," ",PROPER('DASMA INFO'!$F1913),"."," (",UPPER('DASMA INFO'!$H1913),")")</f>
        <v>Cielo, Flordeliza Lagunero. ()</v>
      </c>
      <c r="E1913" s="69" t="s">
        <v>111</v>
      </c>
      <c r="F1913" s="69" t="s">
        <v>3402</v>
      </c>
      <c r="G1913" s="69" t="s">
        <v>3131</v>
      </c>
      <c r="H1913" s="69"/>
      <c r="I1913" s="105">
        <v>0.12</v>
      </c>
      <c r="J1913" s="106">
        <v>1000.0</v>
      </c>
      <c r="K1913" s="73" t="s">
        <v>2979</v>
      </c>
      <c r="L1913" s="73"/>
      <c r="M1913" s="73"/>
      <c r="N1913" s="74"/>
    </row>
    <row r="1914" ht="30.0" hidden="1" customHeight="1">
      <c r="A1914" s="68">
        <v>1933.0</v>
      </c>
      <c r="B1914" s="68"/>
      <c r="C1914" s="68"/>
      <c r="D1914" s="69" t="str">
        <f>CONCATENATE(PROPER('DASMA INFO'!$G1914),", ",PROPER('DASMA INFO'!$E1914)," ",PROPER('DASMA INFO'!$F1914),"."," (",UPPER('DASMA INFO'!$H1914),")")</f>
        <v>Gragas, Benilda Oribe. ()</v>
      </c>
      <c r="E1914" s="69" t="s">
        <v>3403</v>
      </c>
      <c r="F1914" s="69" t="s">
        <v>3404</v>
      </c>
      <c r="G1914" s="69" t="s">
        <v>3405</v>
      </c>
      <c r="H1914" s="69"/>
      <c r="I1914" s="105">
        <v>0.12</v>
      </c>
      <c r="J1914" s="106">
        <v>1000.0</v>
      </c>
      <c r="K1914" s="73" t="s">
        <v>2979</v>
      </c>
      <c r="L1914" s="73"/>
      <c r="M1914" s="73"/>
      <c r="N1914" s="74"/>
    </row>
    <row r="1915" ht="30.0" hidden="1" customHeight="1">
      <c r="A1915" s="68">
        <v>1934.0</v>
      </c>
      <c r="B1915" s="68"/>
      <c r="C1915" s="68"/>
      <c r="D1915" s="69" t="str">
        <f>CONCATENATE(PROPER('DASMA INFO'!$G1915),", ",PROPER('DASMA INFO'!$E1915)," ",PROPER('DASMA INFO'!$F1915),"."," (",UPPER('DASMA INFO'!$H1915),")")</f>
        <v>Enrico, Jhenilee Bartolome. ()</v>
      </c>
      <c r="E1915" s="69" t="s">
        <v>3406</v>
      </c>
      <c r="F1915" s="69" t="s">
        <v>258</v>
      </c>
      <c r="G1915" s="69" t="s">
        <v>1543</v>
      </c>
      <c r="H1915" s="69"/>
      <c r="I1915" s="105">
        <v>0.12</v>
      </c>
      <c r="J1915" s="106">
        <v>1000.0</v>
      </c>
      <c r="K1915" s="73" t="s">
        <v>3407</v>
      </c>
      <c r="L1915" s="73"/>
      <c r="M1915" s="73"/>
      <c r="N1915" s="74"/>
    </row>
    <row r="1916" ht="30.0" hidden="1" customHeight="1">
      <c r="A1916" s="68">
        <v>1935.0</v>
      </c>
      <c r="B1916" s="68"/>
      <c r="C1916" s="68"/>
      <c r="D1916" s="69" t="str">
        <f>CONCATENATE(PROPER('DASMA INFO'!$G1916),", ",PROPER('DASMA INFO'!$E1916)," ",PROPER('DASMA INFO'!$F1916),"."," (",UPPER('DASMA INFO'!$H1916),")")</f>
        <v>Tablang, Riona Jay Revidad. ()</v>
      </c>
      <c r="E1916" s="69" t="s">
        <v>3408</v>
      </c>
      <c r="F1916" s="69" t="s">
        <v>3409</v>
      </c>
      <c r="G1916" s="69" t="s">
        <v>1374</v>
      </c>
      <c r="H1916" s="69"/>
      <c r="I1916" s="92">
        <v>0.05</v>
      </c>
      <c r="J1916" s="93">
        <v>1000.0</v>
      </c>
      <c r="K1916" s="73" t="s">
        <v>3410</v>
      </c>
      <c r="L1916" s="73"/>
      <c r="M1916" s="73"/>
      <c r="N1916" s="74"/>
    </row>
    <row r="1917" ht="30.0" hidden="1" customHeight="1">
      <c r="A1917" s="68">
        <v>1936.0</v>
      </c>
      <c r="B1917" s="68"/>
      <c r="C1917" s="68"/>
      <c r="D1917" s="69" t="str">
        <f>CONCATENATE(PROPER('DASMA INFO'!$G1917),", ",PROPER('DASMA INFO'!$E1917)," ",PROPER('DASMA INFO'!$F1917),"."," (",UPPER('DASMA INFO'!$H1917),")")</f>
        <v>Lerit, Richard Zaragoza. ()</v>
      </c>
      <c r="E1917" s="69" t="s">
        <v>1039</v>
      </c>
      <c r="F1917" s="69" t="s">
        <v>1898</v>
      </c>
      <c r="G1917" s="69" t="s">
        <v>3411</v>
      </c>
      <c r="H1917" s="69"/>
      <c r="I1917" s="105">
        <v>0.12</v>
      </c>
      <c r="J1917" s="106">
        <v>1000.0</v>
      </c>
      <c r="K1917" s="73" t="s">
        <v>1276</v>
      </c>
      <c r="L1917" s="73"/>
      <c r="M1917" s="73"/>
      <c r="N1917" s="74"/>
    </row>
    <row r="1918" ht="30.0" hidden="1" customHeight="1">
      <c r="A1918" s="68">
        <v>1937.0</v>
      </c>
      <c r="B1918" s="68"/>
      <c r="C1918" s="68"/>
      <c r="D1918" s="69" t="str">
        <f>CONCATENATE(PROPER('DASMA INFO'!$G1918),", ",PROPER('DASMA INFO'!$E1918)," ",PROPER('DASMA INFO'!$F1918),"."," (",UPPER('DASMA INFO'!$H1918),")")</f>
        <v>Fontanares, Romeo Sahagun. ()</v>
      </c>
      <c r="E1918" s="69" t="s">
        <v>441</v>
      </c>
      <c r="F1918" s="69" t="s">
        <v>3412</v>
      </c>
      <c r="G1918" s="69" t="s">
        <v>3413</v>
      </c>
      <c r="H1918" s="69"/>
      <c r="I1918" s="105">
        <v>0.12</v>
      </c>
      <c r="J1918" s="106">
        <v>1000.0</v>
      </c>
      <c r="K1918" s="73" t="s">
        <v>1053</v>
      </c>
      <c r="L1918" s="73"/>
      <c r="M1918" s="73"/>
      <c r="N1918" s="74"/>
    </row>
    <row r="1919" ht="30.0" hidden="1" customHeight="1">
      <c r="A1919" s="68">
        <v>1938.0</v>
      </c>
      <c r="B1919" s="68"/>
      <c r="C1919" s="68"/>
      <c r="D1919" s="69" t="str">
        <f>CONCATENATE(PROPER('DASMA INFO'!$G1919),", ",PROPER('DASMA INFO'!$E1919)," ",PROPER('DASMA INFO'!$F1919),"."," (",UPPER('DASMA INFO'!$H1919),")")</f>
        <v>Alforgue, Jonna Marie Jumawan. ()</v>
      </c>
      <c r="E1919" s="69" t="s">
        <v>3414</v>
      </c>
      <c r="F1919" s="69" t="s">
        <v>3415</v>
      </c>
      <c r="G1919" s="69" t="s">
        <v>3416</v>
      </c>
      <c r="H1919" s="69"/>
      <c r="I1919" s="105">
        <v>0.05</v>
      </c>
      <c r="J1919" s="106">
        <v>1000.0</v>
      </c>
      <c r="K1919" s="73" t="s">
        <v>3417</v>
      </c>
      <c r="L1919" s="73" t="s">
        <v>81</v>
      </c>
      <c r="M1919" s="73">
        <v>2022.0</v>
      </c>
      <c r="N1919" s="74"/>
    </row>
    <row r="1920" ht="30.0" hidden="1" customHeight="1">
      <c r="A1920" s="68">
        <v>1939.0</v>
      </c>
      <c r="B1920" s="68"/>
      <c r="C1920" s="68"/>
      <c r="D1920" s="69" t="str">
        <f>CONCATENATE(PROPER('DASMA INFO'!$G1920),", ",PROPER('DASMA INFO'!$E1920)," ",PROPER('DASMA INFO'!$F1920),"."," (",UPPER('DASMA INFO'!$H1920),")")</f>
        <v>Taguibao, Jorge Urcia. ()</v>
      </c>
      <c r="E1920" s="69" t="s">
        <v>286</v>
      </c>
      <c r="F1920" s="69" t="s">
        <v>3283</v>
      </c>
      <c r="G1920" s="69" t="s">
        <v>3281</v>
      </c>
      <c r="H1920" s="69"/>
      <c r="I1920" s="105">
        <v>0.12</v>
      </c>
      <c r="J1920" s="106">
        <v>1000.0</v>
      </c>
      <c r="K1920" s="73" t="s">
        <v>2027</v>
      </c>
      <c r="L1920" s="73"/>
      <c r="M1920" s="73"/>
      <c r="N1920" s="74"/>
    </row>
    <row r="1921" ht="30.0" hidden="1" customHeight="1">
      <c r="A1921" s="68">
        <v>1940.0</v>
      </c>
      <c r="B1921" s="68"/>
      <c r="C1921" s="68"/>
      <c r="D1921" s="69" t="str">
        <f>CONCATENATE(PROPER('DASMA INFO'!$G1921),", ",PROPER('DASMA INFO'!$E1921)," ",PROPER('DASMA INFO'!$F1921),"."," (",UPPER('DASMA INFO'!$H1921),")")</f>
        <v>Reyes, Jesus O. ()</v>
      </c>
      <c r="E1921" s="69" t="s">
        <v>803</v>
      </c>
      <c r="F1921" s="69" t="s">
        <v>634</v>
      </c>
      <c r="G1921" s="69" t="s">
        <v>122</v>
      </c>
      <c r="H1921" s="69"/>
      <c r="I1921" s="105">
        <v>0.05</v>
      </c>
      <c r="J1921" s="106">
        <v>1000.0</v>
      </c>
      <c r="K1921" s="73" t="s">
        <v>2947</v>
      </c>
      <c r="L1921" s="73" t="s">
        <v>465</v>
      </c>
      <c r="M1921" s="73">
        <v>2022.0</v>
      </c>
      <c r="N1921" s="74"/>
    </row>
    <row r="1922" ht="30.0" hidden="1" customHeight="1">
      <c r="A1922" s="68">
        <v>1941.0</v>
      </c>
      <c r="B1922" s="68"/>
      <c r="C1922" s="68"/>
      <c r="D1922" s="69" t="str">
        <f>CONCATENATE(PROPER('DASMA INFO'!$G1922),", ",PROPER('DASMA INFO'!$E1922)," ",PROPER('DASMA INFO'!$F1922),"."," (",UPPER('DASMA INFO'!$H1922),")")</f>
        <v>Nawa, Raquel B. ()</v>
      </c>
      <c r="E1922" s="69" t="s">
        <v>191</v>
      </c>
      <c r="F1922" s="69" t="s">
        <v>627</v>
      </c>
      <c r="G1922" s="69" t="s">
        <v>3418</v>
      </c>
      <c r="H1922" s="69"/>
      <c r="I1922" s="105">
        <v>0.05</v>
      </c>
      <c r="J1922" s="106">
        <v>1000.0</v>
      </c>
      <c r="K1922" s="73" t="s">
        <v>50</v>
      </c>
      <c r="L1922" s="73"/>
      <c r="M1922" s="73"/>
      <c r="N1922" s="74"/>
    </row>
    <row r="1923" ht="30.0" hidden="1" customHeight="1">
      <c r="A1923" s="68">
        <v>1942.0</v>
      </c>
      <c r="B1923" s="68"/>
      <c r="C1923" s="68"/>
      <c r="D1923" s="69" t="str">
        <f>CONCATENATE(PROPER('DASMA INFO'!$G1923),", ",PROPER('DASMA INFO'!$E1923)," ",PROPER('DASMA INFO'!$F1923),"."," (",UPPER('DASMA INFO'!$H1923),")")</f>
        <v>Serrano, Mandelson V. ()</v>
      </c>
      <c r="E1923" s="69" t="s">
        <v>3419</v>
      </c>
      <c r="F1923" s="69" t="s">
        <v>620</v>
      </c>
      <c r="G1923" s="69" t="s">
        <v>2321</v>
      </c>
      <c r="H1923" s="69"/>
      <c r="I1923" s="105">
        <v>0.12</v>
      </c>
      <c r="J1923" s="106">
        <v>1000.0</v>
      </c>
      <c r="K1923" s="73" t="s">
        <v>2979</v>
      </c>
      <c r="L1923" s="73"/>
      <c r="M1923" s="73"/>
      <c r="N1923" s="74"/>
    </row>
    <row r="1924" ht="30.0" hidden="1" customHeight="1">
      <c r="A1924" s="68">
        <v>1943.0</v>
      </c>
      <c r="B1924" s="68"/>
      <c r="C1924" s="68"/>
      <c r="D1924" s="69" t="str">
        <f>CONCATENATE(PROPER('DASMA INFO'!$G1924),", ",PROPER('DASMA INFO'!$E1924)," ",PROPER('DASMA INFO'!$F1924),"."," (",UPPER('DASMA INFO'!$H1924),")")</f>
        <v>Fandiño, Jocelyn De Leon. ()</v>
      </c>
      <c r="E1924" s="69" t="s">
        <v>290</v>
      </c>
      <c r="F1924" s="69" t="s">
        <v>1136</v>
      </c>
      <c r="G1924" s="69" t="s">
        <v>3420</v>
      </c>
      <c r="H1924" s="69"/>
      <c r="I1924" s="105">
        <v>0.12</v>
      </c>
      <c r="J1924" s="106">
        <v>1000.0</v>
      </c>
      <c r="K1924" s="73" t="s">
        <v>2027</v>
      </c>
      <c r="L1924" s="73"/>
      <c r="M1924" s="73"/>
      <c r="N1924" s="74"/>
    </row>
    <row r="1925" ht="30.0" hidden="1" customHeight="1">
      <c r="A1925" s="68">
        <v>1944.0</v>
      </c>
      <c r="B1925" s="68"/>
      <c r="C1925" s="68"/>
      <c r="D1925" s="69" t="str">
        <f>CONCATENATE(PROPER('DASMA INFO'!$G1925),", ",PROPER('DASMA INFO'!$E1925)," ",PROPER('DASMA INFO'!$F1925),"."," (",UPPER('DASMA INFO'!$H1925),")")</f>
        <v>Kim, Liela M. ()</v>
      </c>
      <c r="E1925" s="69" t="s">
        <v>3421</v>
      </c>
      <c r="F1925" s="69" t="s">
        <v>587</v>
      </c>
      <c r="G1925" s="69" t="s">
        <v>1392</v>
      </c>
      <c r="H1925" s="69"/>
      <c r="I1925" s="92">
        <v>0.05</v>
      </c>
      <c r="J1925" s="93">
        <v>1000.0</v>
      </c>
      <c r="K1925" s="73" t="s">
        <v>50</v>
      </c>
      <c r="L1925" s="73"/>
      <c r="M1925" s="73"/>
      <c r="N1925" s="74" t="s">
        <v>3422</v>
      </c>
    </row>
    <row r="1926" ht="30.0" hidden="1" customHeight="1">
      <c r="A1926" s="68">
        <v>1945.0</v>
      </c>
      <c r="B1926" s="68"/>
      <c r="C1926" s="68"/>
      <c r="D1926" s="69" t="str">
        <f>CONCATENATE(PROPER('DASMA INFO'!$G1926),", ",PROPER('DASMA INFO'!$E1926)," ",PROPER('DASMA INFO'!$F1926),"."," (",UPPER('DASMA INFO'!$H1926),")")</f>
        <v>Maquiling, Joullet Diaz. ()</v>
      </c>
      <c r="E1926" s="69" t="s">
        <v>3423</v>
      </c>
      <c r="F1926" s="69" t="s">
        <v>653</v>
      </c>
      <c r="G1926" s="69" t="s">
        <v>3424</v>
      </c>
      <c r="H1926" s="69"/>
      <c r="I1926" s="105">
        <v>0.12</v>
      </c>
      <c r="J1926" s="106">
        <v>1000.0</v>
      </c>
      <c r="K1926" s="73" t="s">
        <v>3259</v>
      </c>
      <c r="L1926" s="73"/>
      <c r="M1926" s="73"/>
      <c r="N1926" s="74"/>
    </row>
    <row r="1927" ht="30.0" hidden="1" customHeight="1">
      <c r="A1927" s="68">
        <v>1946.0</v>
      </c>
      <c r="B1927" s="68"/>
      <c r="C1927" s="68"/>
      <c r="D1927" s="69" t="str">
        <f>CONCATENATE(PROPER('DASMA INFO'!$G1927),", ",PROPER('DASMA INFO'!$E1927)," ",PROPER('DASMA INFO'!$F1927),"."," (",UPPER('DASMA INFO'!$H1927),")")</f>
        <v>Tria, Jesse Cesar Tabora. ()</v>
      </c>
      <c r="E1927" s="69" t="s">
        <v>3425</v>
      </c>
      <c r="F1927" s="69" t="s">
        <v>228</v>
      </c>
      <c r="G1927" s="69" t="s">
        <v>3426</v>
      </c>
      <c r="H1927" s="69"/>
      <c r="I1927" s="105">
        <v>0.12</v>
      </c>
      <c r="J1927" s="106">
        <v>1000.0</v>
      </c>
      <c r="K1927" s="73" t="s">
        <v>3427</v>
      </c>
      <c r="L1927" s="73"/>
      <c r="M1927" s="73"/>
      <c r="N1927" s="74"/>
    </row>
    <row r="1928" ht="30.0" hidden="1" customHeight="1">
      <c r="A1928" s="68">
        <v>1947.0</v>
      </c>
      <c r="B1928" s="68"/>
      <c r="C1928" s="68"/>
      <c r="D1928" s="69" t="str">
        <f>CONCATENATE(PROPER('DASMA INFO'!$G1928),", ",PROPER('DASMA INFO'!$E1928)," ",PROPER('DASMA INFO'!$F1928),"."," (",UPPER('DASMA INFO'!$H1928),")")</f>
        <v>Parot, Rodel Laudato. ()</v>
      </c>
      <c r="E1928" s="69" t="s">
        <v>2695</v>
      </c>
      <c r="F1928" s="69" t="s">
        <v>3428</v>
      </c>
      <c r="G1928" s="69" t="s">
        <v>3429</v>
      </c>
      <c r="H1928" s="69"/>
      <c r="I1928" s="92">
        <v>0.05</v>
      </c>
      <c r="J1928" s="93">
        <v>1000.0</v>
      </c>
      <c r="K1928" s="73" t="s">
        <v>2947</v>
      </c>
      <c r="L1928" s="73" t="s">
        <v>2677</v>
      </c>
      <c r="M1928" s="73">
        <v>2022.0</v>
      </c>
      <c r="N1928" s="74" t="s">
        <v>3430</v>
      </c>
    </row>
    <row r="1929" ht="30.0" hidden="1" customHeight="1">
      <c r="A1929" s="68">
        <v>1948.0</v>
      </c>
      <c r="B1929" s="68"/>
      <c r="C1929" s="68"/>
      <c r="D1929" s="69" t="str">
        <f>CONCATENATE(PROPER('DASMA INFO'!$G1929),", ",PROPER('DASMA INFO'!$E1929)," ",PROPER('DASMA INFO'!$F1929),"."," (",UPPER('DASMA INFO'!$H1929),")")</f>
        <v>De Mesa, Judith Mary Diocson. ()</v>
      </c>
      <c r="E1929" s="69" t="s">
        <v>3431</v>
      </c>
      <c r="F1929" s="69" t="s">
        <v>3432</v>
      </c>
      <c r="G1929" s="69" t="s">
        <v>3433</v>
      </c>
      <c r="H1929" s="69"/>
      <c r="I1929" s="105">
        <v>0.12</v>
      </c>
      <c r="J1929" s="106">
        <v>1000.0</v>
      </c>
      <c r="K1929" s="73" t="s">
        <v>1816</v>
      </c>
      <c r="L1929" s="73"/>
      <c r="M1929" s="73"/>
      <c r="N1929" s="74" t="s">
        <v>3434</v>
      </c>
    </row>
    <row r="1930" ht="30.0" hidden="1" customHeight="1">
      <c r="A1930" s="68">
        <v>1949.0</v>
      </c>
      <c r="B1930" s="68"/>
      <c r="C1930" s="68"/>
      <c r="D1930" s="69" t="str">
        <f>CONCATENATE(PROPER('DASMA INFO'!$G1930),", ",PROPER('DASMA INFO'!$E1930)," ",PROPER('DASMA INFO'!$F1930),"."," (",UPPER('DASMA INFO'!$H1930),")")</f>
        <v>Brillo, Conrad Anthony Orpilla. ()</v>
      </c>
      <c r="E1930" s="69" t="s">
        <v>3435</v>
      </c>
      <c r="F1930" s="69" t="s">
        <v>3436</v>
      </c>
      <c r="G1930" s="69" t="s">
        <v>138</v>
      </c>
      <c r="H1930" s="69"/>
      <c r="I1930" s="92">
        <v>0.05</v>
      </c>
      <c r="J1930" s="93">
        <v>1000.0</v>
      </c>
      <c r="K1930" s="73" t="s">
        <v>93</v>
      </c>
      <c r="L1930" s="73"/>
      <c r="M1930" s="73"/>
      <c r="N1930" s="74" t="s">
        <v>3422</v>
      </c>
    </row>
    <row r="1931" ht="30.0" hidden="1" customHeight="1">
      <c r="A1931" s="68">
        <v>1950.0</v>
      </c>
      <c r="B1931" s="68"/>
      <c r="C1931" s="68"/>
      <c r="D1931" s="69" t="str">
        <f>CONCATENATE(PROPER('DASMA INFO'!$G1931),", ",PROPER('DASMA INFO'!$E1931)," ",PROPER('DASMA INFO'!$F1931),"."," (",UPPER('DASMA INFO'!$H1931),")")</f>
        <v>Mendoza-Atayde, Melissa Arciaga. ()</v>
      </c>
      <c r="E1931" s="69" t="s">
        <v>1235</v>
      </c>
      <c r="F1931" s="69" t="s">
        <v>3437</v>
      </c>
      <c r="G1931" s="69" t="s">
        <v>3438</v>
      </c>
      <c r="H1931" s="69"/>
      <c r="I1931" s="105">
        <v>0.12</v>
      </c>
      <c r="J1931" s="106">
        <v>1000.0</v>
      </c>
      <c r="K1931" s="73" t="s">
        <v>1276</v>
      </c>
      <c r="L1931" s="73"/>
      <c r="M1931" s="73"/>
      <c r="N1931" s="74"/>
    </row>
    <row r="1932" ht="30.0" hidden="1" customHeight="1">
      <c r="A1932" s="68">
        <v>1951.0</v>
      </c>
      <c r="B1932" s="68"/>
      <c r="C1932" s="68"/>
      <c r="D1932" s="69" t="str">
        <f>CONCATENATE(PROPER('DASMA INFO'!$G1932),", ",PROPER('DASMA INFO'!$E1932)," ",PROPER('DASMA INFO'!$F1932),"."," (",UPPER('DASMA INFO'!$H1932),")")</f>
        <v>Jumamoy, Odenelle V. ()</v>
      </c>
      <c r="E1932" s="69" t="s">
        <v>3439</v>
      </c>
      <c r="F1932" s="69" t="s">
        <v>620</v>
      </c>
      <c r="G1932" s="69" t="s">
        <v>3132</v>
      </c>
      <c r="H1932" s="69"/>
      <c r="I1932" s="92">
        <v>0.05</v>
      </c>
      <c r="J1932" s="93">
        <v>1000.0</v>
      </c>
      <c r="K1932" s="73" t="s">
        <v>3440</v>
      </c>
      <c r="L1932" s="73"/>
      <c r="M1932" s="73">
        <v>2022.0</v>
      </c>
      <c r="N1932" s="74"/>
    </row>
    <row r="1933" ht="30.0" hidden="1" customHeight="1">
      <c r="A1933" s="68">
        <v>1952.0</v>
      </c>
      <c r="B1933" s="68"/>
      <c r="C1933" s="68"/>
      <c r="D1933" s="69" t="str">
        <f>CONCATENATE(PROPER('DASMA INFO'!$G1933),", ",PROPER('DASMA INFO'!$E1933)," ",PROPER('DASMA INFO'!$F1933),"."," (",UPPER('DASMA INFO'!$H1933),")")</f>
        <v>Secuya, Angelito Cansancio. ()</v>
      </c>
      <c r="E1933" s="69" t="s">
        <v>3149</v>
      </c>
      <c r="F1933" s="69" t="s">
        <v>3441</v>
      </c>
      <c r="G1933" s="69" t="s">
        <v>3442</v>
      </c>
      <c r="H1933" s="69"/>
      <c r="I1933" s="105">
        <v>0.12</v>
      </c>
      <c r="J1933" s="106">
        <v>1000.0</v>
      </c>
      <c r="K1933" s="73" t="s">
        <v>1053</v>
      </c>
      <c r="L1933" s="73"/>
      <c r="M1933" s="73"/>
      <c r="N1933" s="74"/>
    </row>
    <row r="1934" ht="30.0" hidden="1" customHeight="1">
      <c r="A1934" s="68">
        <v>1953.0</v>
      </c>
      <c r="B1934" s="68"/>
      <c r="C1934" s="68"/>
      <c r="D1934" s="69" t="str">
        <f>CONCATENATE(PROPER('DASMA INFO'!$G1934),", ",PROPER('DASMA INFO'!$E1934)," ",PROPER('DASMA INFO'!$F1934),"."," (",UPPER('DASMA INFO'!$H1934),")")</f>
        <v>Padre-E, Bernard Dagaas. ()</v>
      </c>
      <c r="E1934" s="69" t="s">
        <v>2056</v>
      </c>
      <c r="F1934" s="69" t="s">
        <v>3443</v>
      </c>
      <c r="G1934" s="69" t="s">
        <v>3444</v>
      </c>
      <c r="H1934" s="69"/>
      <c r="I1934" s="105">
        <v>0.12</v>
      </c>
      <c r="J1934" s="106">
        <v>1000.0</v>
      </c>
      <c r="K1934" s="73" t="s">
        <v>1053</v>
      </c>
      <c r="L1934" s="73"/>
      <c r="M1934" s="73"/>
      <c r="N1934" s="74"/>
    </row>
    <row r="1935" ht="30.0" hidden="1" customHeight="1">
      <c r="A1935" s="68">
        <v>1954.0</v>
      </c>
      <c r="B1935" s="68"/>
      <c r="C1935" s="68"/>
      <c r="D1935" s="69" t="str">
        <f>CONCATENATE(PROPER('DASMA INFO'!$G1935),", ",PROPER('DASMA INFO'!$E1935)," ",PROPER('DASMA INFO'!$F1935),"."," (",UPPER('DASMA INFO'!$H1935),")")</f>
        <v>Baldon, Ma. Teresa Malinao. ()</v>
      </c>
      <c r="E1935" s="69" t="s">
        <v>2036</v>
      </c>
      <c r="F1935" s="69" t="s">
        <v>888</v>
      </c>
      <c r="G1935" s="69" t="s">
        <v>3401</v>
      </c>
      <c r="H1935" s="69"/>
      <c r="I1935" s="105">
        <v>0.12</v>
      </c>
      <c r="J1935" s="106">
        <v>1000.0</v>
      </c>
      <c r="K1935" s="73" t="s">
        <v>3445</v>
      </c>
      <c r="L1935" s="73"/>
      <c r="M1935" s="73"/>
      <c r="N1935" s="74"/>
    </row>
    <row r="1936" ht="30.0" hidden="1" customHeight="1">
      <c r="A1936" s="68">
        <v>1955.0</v>
      </c>
      <c r="B1936" s="68"/>
      <c r="C1936" s="68"/>
      <c r="D1936" s="69" t="str">
        <f>CONCATENATE(PROPER('DASMA INFO'!$G1936),", ",PROPER('DASMA INFO'!$E1936)," ",PROPER('DASMA INFO'!$F1936),"."," (",UPPER('DASMA INFO'!$H1936),")")</f>
        <v>Hintay, Jadaza M. ()</v>
      </c>
      <c r="E1936" s="69" t="s">
        <v>3446</v>
      </c>
      <c r="F1936" s="69" t="s">
        <v>587</v>
      </c>
      <c r="G1936" s="69" t="s">
        <v>3447</v>
      </c>
      <c r="H1936" s="69"/>
      <c r="I1936" s="105">
        <v>0.12</v>
      </c>
      <c r="J1936" s="106">
        <v>1000.0</v>
      </c>
      <c r="K1936" s="73" t="s">
        <v>3448</v>
      </c>
      <c r="L1936" s="73"/>
      <c r="M1936" s="73"/>
      <c r="N1936" s="74"/>
    </row>
    <row r="1937" ht="30.0" hidden="1" customHeight="1">
      <c r="A1937" s="68">
        <v>1956.0</v>
      </c>
      <c r="B1937" s="68"/>
      <c r="C1937" s="68"/>
      <c r="D1937" s="69" t="str">
        <f>CONCATENATE(PROPER('DASMA INFO'!$G1937),", ",PROPER('DASMA INFO'!$E1937)," ",PROPER('DASMA INFO'!$F1937),"."," (",UPPER('DASMA INFO'!$H1937),")")</f>
        <v>Sapunto, Cleofe Jabal. ()</v>
      </c>
      <c r="E1937" s="69" t="s">
        <v>2681</v>
      </c>
      <c r="F1937" s="69" t="s">
        <v>3449</v>
      </c>
      <c r="G1937" s="69" t="s">
        <v>3450</v>
      </c>
      <c r="H1937" s="69"/>
      <c r="I1937" s="92">
        <v>0.05</v>
      </c>
      <c r="J1937" s="93">
        <v>1000.0</v>
      </c>
      <c r="K1937" s="73" t="s">
        <v>50</v>
      </c>
      <c r="L1937" s="73"/>
      <c r="M1937" s="73"/>
      <c r="N1937" s="74"/>
    </row>
    <row r="1938" ht="30.0" hidden="1" customHeight="1">
      <c r="A1938" s="68">
        <v>1957.0</v>
      </c>
      <c r="B1938" s="68"/>
      <c r="C1938" s="68"/>
      <c r="D1938" s="69" t="str">
        <f>CONCATENATE(PROPER('DASMA INFO'!$G1938),", ",PROPER('DASMA INFO'!$E1938)," ",PROPER('DASMA INFO'!$F1938),"."," (",UPPER('DASMA INFO'!$H1938),")")</f>
        <v>Baudin, Lea Brabante. ()</v>
      </c>
      <c r="E1938" s="69" t="s">
        <v>666</v>
      </c>
      <c r="F1938" s="69" t="s">
        <v>667</v>
      </c>
      <c r="G1938" s="69" t="s">
        <v>668</v>
      </c>
      <c r="H1938" s="69"/>
      <c r="I1938" s="105">
        <v>0.12</v>
      </c>
      <c r="J1938" s="106">
        <v>1000.0</v>
      </c>
      <c r="K1938" s="73" t="s">
        <v>3009</v>
      </c>
      <c r="L1938" s="73"/>
      <c r="M1938" s="73"/>
      <c r="N1938" s="74"/>
    </row>
    <row r="1939" ht="30.0" hidden="1" customHeight="1">
      <c r="A1939" s="68">
        <v>1958.0</v>
      </c>
      <c r="B1939" s="68"/>
      <c r="C1939" s="68"/>
      <c r="D1939" s="69" t="str">
        <f>CONCATENATE(PROPER('DASMA INFO'!$G1939),", ",PROPER('DASMA INFO'!$E1939)," ",PROPER('DASMA INFO'!$F1939),"."," (",UPPER('DASMA INFO'!$H1939),")")</f>
        <v>Mangente, Josephine Lansi. ()</v>
      </c>
      <c r="E1939" s="69" t="s">
        <v>137</v>
      </c>
      <c r="F1939" s="69" t="s">
        <v>3451</v>
      </c>
      <c r="G1939" s="69" t="s">
        <v>3452</v>
      </c>
      <c r="H1939" s="69"/>
      <c r="I1939" s="105">
        <v>0.12</v>
      </c>
      <c r="J1939" s="106">
        <v>1000.0</v>
      </c>
      <c r="K1939" s="73" t="s">
        <v>2979</v>
      </c>
      <c r="L1939" s="73"/>
      <c r="M1939" s="73"/>
      <c r="N1939" s="74"/>
    </row>
    <row r="1940" ht="30.0" hidden="1" customHeight="1">
      <c r="A1940" s="68">
        <v>1959.0</v>
      </c>
      <c r="B1940" s="68"/>
      <c r="C1940" s="68"/>
      <c r="D1940" s="69" t="str">
        <f>CONCATENATE(PROPER('DASMA INFO'!$G1940),", ",PROPER('DASMA INFO'!$E1940)," ",PROPER('DASMA INFO'!$F1940),"."," (",UPPER('DASMA INFO'!$H1940),")")</f>
        <v>Bandin, Glimmer Brabante. ()</v>
      </c>
      <c r="E1940" s="69" t="s">
        <v>3453</v>
      </c>
      <c r="F1940" s="69" t="s">
        <v>667</v>
      </c>
      <c r="G1940" s="69" t="s">
        <v>3454</v>
      </c>
      <c r="H1940" s="69"/>
      <c r="I1940" s="105">
        <v>0.12</v>
      </c>
      <c r="J1940" s="106">
        <v>1000.0</v>
      </c>
      <c r="K1940" s="73" t="s">
        <v>2979</v>
      </c>
      <c r="L1940" s="73"/>
      <c r="M1940" s="73"/>
      <c r="N1940" s="74"/>
    </row>
    <row r="1941" ht="30.0" hidden="1" customHeight="1">
      <c r="A1941" s="68">
        <v>1960.0</v>
      </c>
      <c r="B1941" s="68"/>
      <c r="C1941" s="68"/>
      <c r="D1941" s="69" t="str">
        <f>CONCATENATE(PROPER('DASMA INFO'!$G1941),", ",PROPER('DASMA INFO'!$E1941)," ",PROPER('DASMA INFO'!$F1941),"."," (",UPPER('DASMA INFO'!$H1941),")")</f>
        <v>Retardo, Ronnelon Recarro. ()</v>
      </c>
      <c r="E1941" s="69" t="s">
        <v>134</v>
      </c>
      <c r="F1941" s="69" t="s">
        <v>3455</v>
      </c>
      <c r="G1941" s="69" t="s">
        <v>132</v>
      </c>
      <c r="H1941" s="69"/>
      <c r="I1941" s="92">
        <v>0.05</v>
      </c>
      <c r="J1941" s="93">
        <v>1000.0</v>
      </c>
      <c r="K1941" s="73" t="s">
        <v>50</v>
      </c>
      <c r="L1941" s="73"/>
      <c r="M1941" s="73"/>
      <c r="N1941" s="74"/>
    </row>
    <row r="1942" ht="30.0" hidden="1" customHeight="1">
      <c r="A1942" s="68">
        <v>1961.0</v>
      </c>
      <c r="B1942" s="68"/>
      <c r="C1942" s="68"/>
      <c r="D1942" s="69" t="str">
        <f>CONCATENATE(PROPER('DASMA INFO'!$G1942),", ",PROPER('DASMA INFO'!$E1942)," ",PROPER('DASMA INFO'!$F1942),"."," (",UPPER('DASMA INFO'!$H1942),")")</f>
        <v>Villareal, Nelson Danes. ()</v>
      </c>
      <c r="E1942" s="69" t="s">
        <v>3456</v>
      </c>
      <c r="F1942" s="69" t="s">
        <v>3457</v>
      </c>
      <c r="G1942" s="69" t="s">
        <v>625</v>
      </c>
      <c r="H1942" s="69"/>
      <c r="I1942" s="105">
        <v>0.12</v>
      </c>
      <c r="J1942" s="106">
        <v>1000.0</v>
      </c>
      <c r="K1942" s="73" t="s">
        <v>1276</v>
      </c>
      <c r="L1942" s="73"/>
      <c r="M1942" s="73"/>
      <c r="N1942" s="74"/>
    </row>
    <row r="1943" ht="30.0" hidden="1" customHeight="1">
      <c r="A1943" s="68">
        <v>1962.0</v>
      </c>
      <c r="B1943" s="68"/>
      <c r="C1943" s="68"/>
      <c r="D1943" s="69" t="str">
        <f>CONCATENATE(PROPER('DASMA INFO'!$G1943),", ",PROPER('DASMA INFO'!$E1943)," ",PROPER('DASMA INFO'!$F1943),"."," (",UPPER('DASMA INFO'!$H1943),")")</f>
        <v>Masangkay, Maricris Recio. ()</v>
      </c>
      <c r="E1943" s="69" t="s">
        <v>3083</v>
      </c>
      <c r="F1943" s="69" t="s">
        <v>3458</v>
      </c>
      <c r="G1943" s="69" t="s">
        <v>3459</v>
      </c>
      <c r="H1943" s="69"/>
      <c r="I1943" s="105">
        <v>0.12</v>
      </c>
      <c r="J1943" s="106">
        <v>1000.0</v>
      </c>
      <c r="K1943" s="73" t="s">
        <v>1276</v>
      </c>
      <c r="L1943" s="73"/>
      <c r="M1943" s="73"/>
      <c r="N1943" s="74"/>
    </row>
    <row r="1944" ht="30.0" hidden="1" customHeight="1">
      <c r="A1944" s="68">
        <v>1963.0</v>
      </c>
      <c r="B1944" s="68"/>
      <c r="C1944" s="68"/>
      <c r="D1944" s="69" t="str">
        <f>CONCATENATE(PROPER('DASMA INFO'!$G1944),", ",PROPER('DASMA INFO'!$E1944)," ",PROPER('DASMA INFO'!$F1944),"."," (",UPPER('DASMA INFO'!$H1944),")")</f>
        <v>Jose, Rhodora Mojica. ()</v>
      </c>
      <c r="E1944" s="69" t="s">
        <v>579</v>
      </c>
      <c r="F1944" s="69" t="s">
        <v>2462</v>
      </c>
      <c r="G1944" s="69" t="s">
        <v>303</v>
      </c>
      <c r="H1944" s="69"/>
      <c r="I1944" s="105">
        <v>0.12</v>
      </c>
      <c r="J1944" s="106">
        <v>1000.0</v>
      </c>
      <c r="K1944" s="73"/>
      <c r="L1944" s="73"/>
      <c r="M1944" s="73"/>
      <c r="N1944" s="74"/>
    </row>
    <row r="1945" ht="30.0" hidden="1" customHeight="1">
      <c r="A1945" s="68">
        <v>1964.0</v>
      </c>
      <c r="B1945" s="68"/>
      <c r="C1945" s="68"/>
      <c r="D1945" s="69" t="str">
        <f>CONCATENATE(PROPER('DASMA INFO'!$G1945),", ",PROPER('DASMA INFO'!$E1945)," ",PROPER('DASMA INFO'!$F1945),"."," (",UPPER('DASMA INFO'!$H1945),")")</f>
        <v>Dologan, Melchor Abunyag. ()</v>
      </c>
      <c r="E1945" s="69" t="s">
        <v>2162</v>
      </c>
      <c r="F1945" s="69" t="s">
        <v>3460</v>
      </c>
      <c r="G1945" s="69" t="s">
        <v>690</v>
      </c>
      <c r="H1945" s="69"/>
      <c r="I1945" s="92">
        <v>0.05</v>
      </c>
      <c r="J1945" s="93">
        <v>1000.0</v>
      </c>
      <c r="K1945" s="73"/>
      <c r="L1945" s="73"/>
      <c r="M1945" s="73"/>
      <c r="N1945" s="74" t="s">
        <v>3461</v>
      </c>
    </row>
    <row r="1946" ht="30.0" hidden="1" customHeight="1">
      <c r="A1946" s="68">
        <v>1965.0</v>
      </c>
      <c r="B1946" s="68"/>
      <c r="C1946" s="68"/>
      <c r="D1946" s="69" t="str">
        <f>CONCATENATE(PROPER('DASMA INFO'!$G1946),", ",PROPER('DASMA INFO'!$E1946)," ",PROPER('DASMA INFO'!$F1946),"."," (",UPPER('DASMA INFO'!$H1946),")")</f>
        <v>Sison, Ailene G. ()</v>
      </c>
      <c r="E1946" s="69" t="s">
        <v>3462</v>
      </c>
      <c r="F1946" s="69" t="s">
        <v>1032</v>
      </c>
      <c r="G1946" s="69" t="s">
        <v>609</v>
      </c>
      <c r="H1946" s="69"/>
      <c r="I1946" s="92">
        <v>0.05</v>
      </c>
      <c r="J1946" s="93">
        <v>1000.0</v>
      </c>
      <c r="K1946" s="73" t="s">
        <v>33</v>
      </c>
      <c r="L1946" s="73"/>
      <c r="M1946" s="73"/>
      <c r="N1946" s="74" t="s">
        <v>3396</v>
      </c>
    </row>
    <row r="1947" ht="30.0" hidden="1" customHeight="1">
      <c r="A1947" s="68">
        <v>1966.0</v>
      </c>
      <c r="B1947" s="68"/>
      <c r="C1947" s="68"/>
      <c r="D1947" s="69" t="str">
        <f>CONCATENATE(PROPER('DASMA INFO'!$G1947),", ",PROPER('DASMA INFO'!$E1947)," ",PROPER('DASMA INFO'!$F1947),"."," (",UPPER('DASMA INFO'!$H1947),")")</f>
        <v>Agoncillo, Dulce M. ()</v>
      </c>
      <c r="E1947" s="69" t="s">
        <v>1656</v>
      </c>
      <c r="F1947" s="69" t="s">
        <v>587</v>
      </c>
      <c r="G1947" s="69" t="s">
        <v>3314</v>
      </c>
      <c r="H1947" s="69"/>
      <c r="I1947" s="92">
        <v>0.05</v>
      </c>
      <c r="J1947" s="93">
        <v>1000.0</v>
      </c>
      <c r="K1947" s="73"/>
      <c r="L1947" s="73"/>
      <c r="M1947" s="73"/>
      <c r="N1947" s="74" t="s">
        <v>3463</v>
      </c>
    </row>
    <row r="1948" ht="30.0" hidden="1" customHeight="1">
      <c r="A1948" s="68">
        <v>1967.0</v>
      </c>
      <c r="B1948" s="68"/>
      <c r="C1948" s="68"/>
      <c r="D1948" s="69" t="str">
        <f>CONCATENATE(PROPER('DASMA INFO'!$G1948),", ",PROPER('DASMA INFO'!$E1948)," ",PROPER('DASMA INFO'!$F1948),"."," (",UPPER('DASMA INFO'!$H1948),")")</f>
        <v>Mendoza Jr, Reynaldo Sionson. ()</v>
      </c>
      <c r="E1948" s="69" t="s">
        <v>1028</v>
      </c>
      <c r="F1948" s="69" t="s">
        <v>3464</v>
      </c>
      <c r="G1948" s="69" t="s">
        <v>3465</v>
      </c>
      <c r="H1948" s="69"/>
      <c r="I1948" s="92">
        <v>0.05</v>
      </c>
      <c r="J1948" s="93">
        <v>1000.0</v>
      </c>
      <c r="K1948" s="73" t="s">
        <v>50</v>
      </c>
      <c r="L1948" s="73"/>
      <c r="M1948" s="73"/>
      <c r="N1948" s="74"/>
    </row>
    <row r="1949" ht="30.0" hidden="1" customHeight="1">
      <c r="A1949" s="68">
        <v>1968.0</v>
      </c>
      <c r="B1949" s="68"/>
      <c r="C1949" s="68"/>
      <c r="D1949" s="69" t="str">
        <f>CONCATENATE(PROPER('DASMA INFO'!$G1949),", ",PROPER('DASMA INFO'!$E1949)," ",PROPER('DASMA INFO'!$F1949),"."," (",UPPER('DASMA INFO'!$H1949),")")</f>
        <v>Tamaray, Ralphie Manzano. ()</v>
      </c>
      <c r="E1949" s="69" t="s">
        <v>3466</v>
      </c>
      <c r="F1949" s="69" t="s">
        <v>1835</v>
      </c>
      <c r="G1949" s="69" t="s">
        <v>3399</v>
      </c>
      <c r="H1949" s="69"/>
      <c r="I1949" s="105">
        <v>0.12</v>
      </c>
      <c r="J1949" s="106">
        <v>1000.0</v>
      </c>
      <c r="K1949" s="73" t="s">
        <v>1276</v>
      </c>
      <c r="L1949" s="73"/>
      <c r="M1949" s="73"/>
      <c r="N1949" s="74"/>
    </row>
    <row r="1950" ht="30.0" hidden="1" customHeight="1">
      <c r="A1950" s="68">
        <v>1969.0</v>
      </c>
      <c r="B1950" s="68"/>
      <c r="C1950" s="68"/>
      <c r="D1950" s="69" t="str">
        <f>CONCATENATE(PROPER('DASMA INFO'!$G1950),", ",PROPER('DASMA INFO'!$E1950)," ",PROPER('DASMA INFO'!$F1950),"."," (",UPPER('DASMA INFO'!$H1950),")")</f>
        <v>Antipuesto, Jennifer Ventures. ()</v>
      </c>
      <c r="E1950" s="69" t="s">
        <v>964</v>
      </c>
      <c r="F1950" s="69" t="s">
        <v>3467</v>
      </c>
      <c r="G1950" s="69" t="s">
        <v>3468</v>
      </c>
      <c r="H1950" s="69"/>
      <c r="I1950" s="92">
        <v>0.05</v>
      </c>
      <c r="J1950" s="93">
        <v>1000.0</v>
      </c>
      <c r="K1950" s="73" t="s">
        <v>3469</v>
      </c>
      <c r="L1950" s="73"/>
      <c r="M1950" s="73"/>
      <c r="N1950" s="74"/>
    </row>
    <row r="1951" ht="30.0" hidden="1" customHeight="1">
      <c r="A1951" s="68">
        <v>1970.0</v>
      </c>
      <c r="B1951" s="68"/>
      <c r="C1951" s="68"/>
      <c r="D1951" s="69" t="str">
        <f>CONCATENATE(PROPER('DASMA INFO'!$G1951),", ",PROPER('DASMA INFO'!$E1951)," ",PROPER('DASMA INFO'!$F1951),"."," (",UPPER('DASMA INFO'!$H1951),")")</f>
        <v>Dela Cruz, Anna Melissa Cunanan. ()</v>
      </c>
      <c r="E1951" s="69" t="s">
        <v>3470</v>
      </c>
      <c r="F1951" s="69" t="s">
        <v>2400</v>
      </c>
      <c r="G1951" s="69" t="s">
        <v>636</v>
      </c>
      <c r="H1951" s="69"/>
      <c r="I1951" s="105">
        <v>0.12</v>
      </c>
      <c r="J1951" s="106">
        <v>1000.0</v>
      </c>
      <c r="K1951" s="73" t="s">
        <v>1131</v>
      </c>
      <c r="L1951" s="73"/>
      <c r="M1951" s="73"/>
      <c r="N1951" s="74"/>
    </row>
    <row r="1952" ht="30.0" hidden="1" customHeight="1">
      <c r="A1952" s="68">
        <v>1971.0</v>
      </c>
      <c r="B1952" s="68"/>
      <c r="C1952" s="68"/>
      <c r="D1952" s="69" t="str">
        <f>CONCATENATE(PROPER('DASMA INFO'!$G1952),", ",PROPER('DASMA INFO'!$E1952)," ",PROPER('DASMA INFO'!$F1952),"."," (",UPPER('DASMA INFO'!$H1952),")")</f>
        <v>Casapao, Erma Joy Balenia. ()</v>
      </c>
      <c r="E1952" s="69" t="s">
        <v>3471</v>
      </c>
      <c r="F1952" s="69" t="s">
        <v>3472</v>
      </c>
      <c r="G1952" s="69" t="s">
        <v>3473</v>
      </c>
      <c r="H1952" s="69"/>
      <c r="I1952" s="92">
        <v>0.05</v>
      </c>
      <c r="J1952" s="93">
        <v>1000.0</v>
      </c>
      <c r="K1952" s="73" t="s">
        <v>3250</v>
      </c>
      <c r="L1952" s="73"/>
      <c r="M1952" s="73"/>
      <c r="N1952" s="74"/>
    </row>
    <row r="1953" ht="30.0" hidden="1" customHeight="1">
      <c r="A1953" s="68">
        <v>1972.0</v>
      </c>
      <c r="B1953" s="68"/>
      <c r="C1953" s="68"/>
      <c r="D1953" s="69" t="str">
        <f>CONCATENATE(PROPER('DASMA INFO'!$G1953),", ",PROPER('DASMA INFO'!$E1953)," ",PROPER('DASMA INFO'!$F1953),"."," (",UPPER('DASMA INFO'!$H1953),")")</f>
        <v>Bautista, Alma Figueroa. ()</v>
      </c>
      <c r="E1953" s="69" t="s">
        <v>1056</v>
      </c>
      <c r="F1953" s="69" t="s">
        <v>3168</v>
      </c>
      <c r="G1953" s="69" t="s">
        <v>275</v>
      </c>
      <c r="H1953" s="69"/>
      <c r="I1953" s="92">
        <v>0.05</v>
      </c>
      <c r="J1953" s="93">
        <v>1000.0</v>
      </c>
      <c r="K1953" s="73" t="s">
        <v>3316</v>
      </c>
      <c r="L1953" s="73" t="s">
        <v>81</v>
      </c>
      <c r="M1953" s="73">
        <v>2022.0</v>
      </c>
      <c r="N1953" s="74"/>
    </row>
    <row r="1954" ht="30.0" hidden="1" customHeight="1">
      <c r="A1954" s="68">
        <v>1973.0</v>
      </c>
      <c r="B1954" s="68"/>
      <c r="C1954" s="68"/>
      <c r="D1954" s="69" t="str">
        <f>CONCATENATE(PROPER('DASMA INFO'!$G1954),", ",PROPER('DASMA INFO'!$E1954)," ",PROPER('DASMA INFO'!$F1954),"."," (",UPPER('DASMA INFO'!$H1954),")")</f>
        <v>Hechanova, Joel Celescial. ()</v>
      </c>
      <c r="E1954" s="69" t="s">
        <v>846</v>
      </c>
      <c r="F1954" s="69" t="s">
        <v>3474</v>
      </c>
      <c r="G1954" s="69" t="s">
        <v>3475</v>
      </c>
      <c r="H1954" s="69"/>
      <c r="I1954" s="105">
        <v>0.12</v>
      </c>
      <c r="J1954" s="106">
        <v>1000.0</v>
      </c>
      <c r="K1954" s="73" t="s">
        <v>3027</v>
      </c>
      <c r="L1954" s="73"/>
      <c r="M1954" s="73"/>
      <c r="N1954" s="74"/>
    </row>
    <row r="1955" ht="30.0" hidden="1" customHeight="1">
      <c r="A1955" s="68">
        <v>1974.0</v>
      </c>
      <c r="B1955" s="68"/>
      <c r="C1955" s="68"/>
      <c r="D1955" s="69" t="str">
        <f>CONCATENATE(PROPER('DASMA INFO'!$G1955),", ",PROPER('DASMA INFO'!$E1955)," ",PROPER('DASMA INFO'!$F1955),"."," (",UPPER('DASMA INFO'!$H1955),")")</f>
        <v>Par, Janeth Macalintal. ()</v>
      </c>
      <c r="E1955" s="69" t="s">
        <v>3476</v>
      </c>
      <c r="F1955" s="69" t="s">
        <v>3477</v>
      </c>
      <c r="G1955" s="69" t="s">
        <v>908</v>
      </c>
      <c r="H1955" s="69"/>
      <c r="I1955" s="105">
        <v>0.12</v>
      </c>
      <c r="J1955" s="106">
        <v>1000.0</v>
      </c>
      <c r="K1955" s="73" t="s">
        <v>2928</v>
      </c>
      <c r="L1955" s="73"/>
      <c r="M1955" s="73"/>
      <c r="N1955" s="74"/>
    </row>
    <row r="1956" ht="30.0" hidden="1" customHeight="1">
      <c r="A1956" s="68">
        <v>1975.0</v>
      </c>
      <c r="B1956" s="68"/>
      <c r="C1956" s="68"/>
      <c r="D1956" s="69" t="str">
        <f>CONCATENATE(PROPER('DASMA INFO'!$G1956),", ",PROPER('DASMA INFO'!$E1956)," ",PROPER('DASMA INFO'!$F1956),"."," (",UPPER('DASMA INFO'!$H1956),")")</f>
        <v>Kapalac, Allan De Jesus. ()</v>
      </c>
      <c r="E1956" s="69" t="s">
        <v>2424</v>
      </c>
      <c r="F1956" s="69" t="s">
        <v>1556</v>
      </c>
      <c r="G1956" s="69" t="s">
        <v>3478</v>
      </c>
      <c r="H1956" s="69"/>
      <c r="I1956" s="105">
        <v>0.12</v>
      </c>
      <c r="J1956" s="106">
        <v>1000.0</v>
      </c>
      <c r="K1956" s="73" t="s">
        <v>3479</v>
      </c>
      <c r="L1956" s="73"/>
      <c r="M1956" s="73"/>
      <c r="N1956" s="74"/>
    </row>
    <row r="1957" ht="30.0" hidden="1" customHeight="1">
      <c r="A1957" s="68">
        <v>1976.0</v>
      </c>
      <c r="B1957" s="68"/>
      <c r="C1957" s="68"/>
      <c r="D1957" s="69" t="str">
        <f>CONCATENATE(PROPER('DASMA INFO'!$G1957),", ",PROPER('DASMA INFO'!$E1957)," ",PROPER('DASMA INFO'!$F1957),"."," (",UPPER('DASMA INFO'!$H1957),")")</f>
        <v>Brucal Jr., Cipriano Sapin. ()</v>
      </c>
      <c r="E1957" s="69" t="s">
        <v>3480</v>
      </c>
      <c r="F1957" s="69" t="s">
        <v>3481</v>
      </c>
      <c r="G1957" s="69" t="s">
        <v>3482</v>
      </c>
      <c r="H1957" s="69"/>
      <c r="I1957" s="105">
        <v>0.12</v>
      </c>
      <c r="J1957" s="106">
        <v>1000.0</v>
      </c>
      <c r="K1957" s="73" t="s">
        <v>3483</v>
      </c>
      <c r="L1957" s="73"/>
      <c r="M1957" s="73"/>
      <c r="N1957" s="74"/>
    </row>
    <row r="1958" ht="30.0" hidden="1" customHeight="1">
      <c r="A1958" s="68">
        <v>1977.0</v>
      </c>
      <c r="B1958" s="68"/>
      <c r="C1958" s="68"/>
      <c r="D1958" s="69" t="str">
        <f>CONCATENATE(PROPER('DASMA INFO'!$G1958),", ",PROPER('DASMA INFO'!$E1958)," ",PROPER('DASMA INFO'!$F1958),"."," (",UPPER('DASMA INFO'!$H1958),")")</f>
        <v>Kapalac, Allan De Jesus. ()</v>
      </c>
      <c r="E1958" s="69" t="s">
        <v>2424</v>
      </c>
      <c r="F1958" s="69" t="s">
        <v>1556</v>
      </c>
      <c r="G1958" s="69" t="s">
        <v>3478</v>
      </c>
      <c r="H1958" s="69"/>
      <c r="I1958" s="105">
        <v>0.12</v>
      </c>
      <c r="J1958" s="106">
        <v>1000.0</v>
      </c>
      <c r="K1958" s="73" t="s">
        <v>1276</v>
      </c>
      <c r="L1958" s="73"/>
      <c r="M1958" s="73"/>
      <c r="N1958" s="74"/>
    </row>
    <row r="1959" ht="30.0" hidden="1" customHeight="1">
      <c r="A1959" s="68">
        <v>1978.0</v>
      </c>
      <c r="B1959" s="68"/>
      <c r="C1959" s="68"/>
      <c r="D1959" s="69" t="str">
        <f>CONCATENATE(PROPER('DASMA INFO'!$G1959),", ",PROPER('DASMA INFO'!$E1959)," ",PROPER('DASMA INFO'!$F1959),"."," (",UPPER('DASMA INFO'!$H1959),")")</f>
        <v>Baes, Paul . ()</v>
      </c>
      <c r="E1959" s="69" t="s">
        <v>207</v>
      </c>
      <c r="F1959" s="69"/>
      <c r="G1959" s="69" t="s">
        <v>208</v>
      </c>
      <c r="H1959" s="69"/>
      <c r="I1959" s="92">
        <v>0.05</v>
      </c>
      <c r="J1959" s="93">
        <v>1000.0</v>
      </c>
      <c r="K1959" s="73">
        <v>1133.0</v>
      </c>
      <c r="L1959" s="73"/>
      <c r="M1959" s="73"/>
      <c r="N1959" s="74" t="s">
        <v>3484</v>
      </c>
    </row>
    <row r="1960" ht="30.0" hidden="1" customHeight="1">
      <c r="A1960" s="68">
        <v>1979.0</v>
      </c>
      <c r="B1960" s="68"/>
      <c r="C1960" s="68"/>
      <c r="D1960" s="69" t="str">
        <f>CONCATENATE(PROPER('DASMA INFO'!$G1960),", ",PROPER('DASMA INFO'!$E1960)," ",PROPER('DASMA INFO'!$F1960),"."," (",UPPER('DASMA INFO'!$H1960),")")</f>
        <v>Mendoza, Ronnel Maon. ()</v>
      </c>
      <c r="E1960" s="69" t="s">
        <v>774</v>
      </c>
      <c r="F1960" s="69" t="s">
        <v>3485</v>
      </c>
      <c r="G1960" s="69" t="s">
        <v>775</v>
      </c>
      <c r="H1960" s="69"/>
      <c r="I1960" s="105">
        <v>0.12</v>
      </c>
      <c r="J1960" s="106">
        <v>1000.0</v>
      </c>
      <c r="K1960" s="73" t="s">
        <v>1276</v>
      </c>
      <c r="L1960" s="73"/>
      <c r="M1960" s="73"/>
      <c r="N1960" s="74"/>
    </row>
    <row r="1961" ht="30.0" hidden="1" customHeight="1">
      <c r="A1961" s="68">
        <v>1980.0</v>
      </c>
      <c r="B1961" s="68"/>
      <c r="C1961" s="68"/>
      <c r="D1961" s="69" t="str">
        <f>CONCATENATE(PROPER('DASMA INFO'!$G1961),", ",PROPER('DASMA INFO'!$E1961)," ",PROPER('DASMA INFO'!$F1961),"."," (",UPPER('DASMA INFO'!$H1961),")")</f>
        <v>De Guzman, Napoleon Murtel. ()</v>
      </c>
      <c r="E1961" s="69" t="s">
        <v>3486</v>
      </c>
      <c r="F1961" s="69" t="s">
        <v>3487</v>
      </c>
      <c r="G1961" s="69" t="s">
        <v>741</v>
      </c>
      <c r="H1961" s="69"/>
      <c r="I1961" s="105">
        <v>0.12</v>
      </c>
      <c r="J1961" s="106">
        <v>1000.0</v>
      </c>
      <c r="K1961" s="73" t="s">
        <v>1276</v>
      </c>
      <c r="L1961" s="73"/>
      <c r="M1961" s="73"/>
      <c r="N1961" s="74"/>
    </row>
    <row r="1962" ht="30.0" hidden="1" customHeight="1">
      <c r="A1962" s="68">
        <v>1981.0</v>
      </c>
      <c r="B1962" s="68"/>
      <c r="C1962" s="68"/>
      <c r="D1962" s="69" t="str">
        <f>CONCATENATE(PROPER('DASMA INFO'!$G1962),", ",PROPER('DASMA INFO'!$E1962)," ",PROPER('DASMA INFO'!$F1962),"."," (",UPPER('DASMA INFO'!$H1962),")")</f>
        <v>Andaleon, Marivic G. ()</v>
      </c>
      <c r="E1962" s="69" t="s">
        <v>84</v>
      </c>
      <c r="F1962" s="69" t="s">
        <v>1032</v>
      </c>
      <c r="G1962" s="69" t="s">
        <v>3488</v>
      </c>
      <c r="H1962" s="69"/>
      <c r="I1962" s="92">
        <v>0.05</v>
      </c>
      <c r="J1962" s="93">
        <v>1000.0</v>
      </c>
      <c r="K1962" s="73" t="s">
        <v>3489</v>
      </c>
      <c r="L1962" s="73" t="s">
        <v>852</v>
      </c>
      <c r="M1962" s="73">
        <v>2020.0</v>
      </c>
      <c r="N1962" s="74" t="s">
        <v>3490</v>
      </c>
    </row>
    <row r="1963" ht="30.0" hidden="1" customHeight="1">
      <c r="A1963" s="68">
        <v>1982.0</v>
      </c>
      <c r="B1963" s="68"/>
      <c r="C1963" s="68"/>
      <c r="D1963" s="69" t="str">
        <f>CONCATENATE(PROPER('DASMA INFO'!$G1963),", ",PROPER('DASMA INFO'!$E1963)," ",PROPER('DASMA INFO'!$F1963),"."," (",UPPER('DASMA INFO'!$H1963),")")</f>
        <v>De Leon, Emmanuel F. ()</v>
      </c>
      <c r="E1963" s="69" t="s">
        <v>107</v>
      </c>
      <c r="F1963" s="69" t="s">
        <v>1738</v>
      </c>
      <c r="G1963" s="69" t="s">
        <v>1136</v>
      </c>
      <c r="H1963" s="69"/>
      <c r="I1963" s="92">
        <v>0.05</v>
      </c>
      <c r="J1963" s="93">
        <v>1000.0</v>
      </c>
      <c r="K1963" s="73" t="s">
        <v>3491</v>
      </c>
      <c r="L1963" s="73" t="s">
        <v>81</v>
      </c>
      <c r="M1963" s="73">
        <v>2022.0</v>
      </c>
      <c r="N1963" s="74" t="s">
        <v>3492</v>
      </c>
    </row>
    <row r="1964" ht="30.0" hidden="1" customHeight="1">
      <c r="A1964" s="68">
        <v>1983.0</v>
      </c>
      <c r="B1964" s="68"/>
      <c r="C1964" s="68"/>
      <c r="D1964" s="69" t="str">
        <f>CONCATENATE(PROPER('DASMA INFO'!$G1964),", ",PROPER('DASMA INFO'!$E1964)," ",PROPER('DASMA INFO'!$F1964),"."," (",UPPER('DASMA INFO'!$H1964),")")</f>
        <v>Adriano, Adrian C. ()</v>
      </c>
      <c r="E1964" s="69" t="s">
        <v>1171</v>
      </c>
      <c r="F1964" s="69" t="s">
        <v>318</v>
      </c>
      <c r="G1964" s="69" t="s">
        <v>3493</v>
      </c>
      <c r="H1964" s="69"/>
      <c r="I1964" s="105">
        <v>0.12</v>
      </c>
      <c r="J1964" s="106">
        <v>1000.0</v>
      </c>
      <c r="K1964" s="73" t="s">
        <v>3494</v>
      </c>
      <c r="L1964" s="73"/>
      <c r="M1964" s="73"/>
      <c r="N1964" s="74"/>
    </row>
    <row r="1965" ht="30.0" hidden="1" customHeight="1">
      <c r="A1965" s="68">
        <v>1984.0</v>
      </c>
      <c r="B1965" s="68"/>
      <c r="C1965" s="68"/>
      <c r="D1965" s="69" t="str">
        <f>CONCATENATE(PROPER('DASMA INFO'!$G1965),", ",PROPER('DASMA INFO'!$E1965)," ",PROPER('DASMA INFO'!$F1965),"."," (",UPPER('DASMA INFO'!$H1965),")")</f>
        <v>Comia, Araceli G. ()</v>
      </c>
      <c r="E1965" s="69" t="s">
        <v>1819</v>
      </c>
      <c r="F1965" s="69" t="s">
        <v>1032</v>
      </c>
      <c r="G1965" s="69" t="s">
        <v>354</v>
      </c>
      <c r="H1965" s="69"/>
      <c r="I1965" s="92">
        <v>0.05</v>
      </c>
      <c r="J1965" s="93">
        <v>1000.0</v>
      </c>
      <c r="K1965" s="73" t="s">
        <v>50</v>
      </c>
      <c r="L1965" s="73" t="s">
        <v>3495</v>
      </c>
      <c r="M1965" s="73">
        <v>2021.0</v>
      </c>
      <c r="N1965" s="74" t="s">
        <v>3496</v>
      </c>
    </row>
    <row r="1966" ht="30.0" hidden="1" customHeight="1">
      <c r="A1966" s="68">
        <v>1985.0</v>
      </c>
      <c r="B1966" s="68"/>
      <c r="C1966" s="68"/>
      <c r="D1966" s="69" t="str">
        <f>CONCATENATE(PROPER('DASMA INFO'!$G1966),", ",PROPER('DASMA INFO'!$E1966)," ",PROPER('DASMA INFO'!$F1966),"."," (",UPPER('DASMA INFO'!$H1966),")")</f>
        <v>Paculan, Loida P. ()</v>
      </c>
      <c r="E1966" s="69" t="s">
        <v>1630</v>
      </c>
      <c r="F1966" s="69" t="s">
        <v>513</v>
      </c>
      <c r="G1966" s="69" t="s">
        <v>3497</v>
      </c>
      <c r="H1966" s="69"/>
      <c r="I1966" s="105">
        <v>0.12</v>
      </c>
      <c r="J1966" s="106">
        <v>1000.0</v>
      </c>
      <c r="K1966" s="73" t="s">
        <v>3498</v>
      </c>
      <c r="L1966" s="73"/>
      <c r="M1966" s="73"/>
      <c r="N1966" s="74"/>
    </row>
    <row r="1967" ht="30.0" hidden="1" customHeight="1">
      <c r="A1967" s="68">
        <v>1986.0</v>
      </c>
      <c r="B1967" s="68"/>
      <c r="C1967" s="68"/>
      <c r="D1967" s="69" t="str">
        <f>CONCATENATE(PROPER('DASMA INFO'!$G1967),", ",PROPER('DASMA INFO'!$E1967)," ",PROPER('DASMA INFO'!$F1967),"."," (",UPPER('DASMA INFO'!$H1967),")")</f>
        <v>Del Mundo, Michael D. ()</v>
      </c>
      <c r="E1967" s="69" t="s">
        <v>38</v>
      </c>
      <c r="F1967" s="69" t="s">
        <v>1078</v>
      </c>
      <c r="G1967" s="69" t="s">
        <v>1532</v>
      </c>
      <c r="H1967" s="69"/>
      <c r="I1967" s="105">
        <v>0.12</v>
      </c>
      <c r="J1967" s="106">
        <v>1000.0</v>
      </c>
      <c r="K1967" s="73" t="s">
        <v>3494</v>
      </c>
      <c r="L1967" s="73"/>
      <c r="M1967" s="73"/>
      <c r="N1967" s="74"/>
    </row>
    <row r="1968" ht="30.0" hidden="1" customHeight="1">
      <c r="A1968" s="68">
        <v>1987.0</v>
      </c>
      <c r="B1968" s="68"/>
      <c r="C1968" s="68"/>
      <c r="D1968" s="69" t="str">
        <f>CONCATENATE(PROPER('DASMA INFO'!$G1968),", ",PROPER('DASMA INFO'!$E1968)," ",PROPER('DASMA INFO'!$F1968),"."," (",UPPER('DASMA INFO'!$H1968),")")</f>
        <v>Seña, Romer H. ()</v>
      </c>
      <c r="E1968" s="69" t="s">
        <v>768</v>
      </c>
      <c r="F1968" s="69" t="s">
        <v>2537</v>
      </c>
      <c r="G1968" s="69" t="s">
        <v>769</v>
      </c>
      <c r="H1968" s="69"/>
      <c r="I1968" s="105">
        <v>0.12</v>
      </c>
      <c r="J1968" s="106">
        <v>1000.0</v>
      </c>
      <c r="K1968" s="73" t="s">
        <v>3494</v>
      </c>
      <c r="L1968" s="73"/>
      <c r="M1968" s="73"/>
      <c r="N1968" s="74"/>
    </row>
    <row r="1969" ht="30.0" hidden="1" customHeight="1">
      <c r="A1969" s="68">
        <v>1988.0</v>
      </c>
      <c r="B1969" s="68"/>
      <c r="C1969" s="68"/>
      <c r="D1969" s="69" t="str">
        <f>CONCATENATE(PROPER('DASMA INFO'!$G1969),", ",PROPER('DASMA INFO'!$E1969)," ",PROPER('DASMA INFO'!$F1969),"."," (",UPPER('DASMA INFO'!$H1969),")")</f>
        <v>Pajimola, Jerry G. ()</v>
      </c>
      <c r="E1969" s="69" t="s">
        <v>1990</v>
      </c>
      <c r="F1969" s="69" t="s">
        <v>1032</v>
      </c>
      <c r="G1969" s="69" t="s">
        <v>3499</v>
      </c>
      <c r="H1969" s="69"/>
      <c r="I1969" s="92">
        <v>0.05</v>
      </c>
      <c r="J1969" s="93">
        <v>1000.0</v>
      </c>
      <c r="K1969" s="73" t="s">
        <v>3500</v>
      </c>
      <c r="L1969" s="73" t="s">
        <v>480</v>
      </c>
      <c r="M1969" s="73">
        <v>2022.0</v>
      </c>
      <c r="N1969" s="74" t="s">
        <v>3501</v>
      </c>
    </row>
    <row r="1970" ht="30.0" hidden="1" customHeight="1">
      <c r="A1970" s="68">
        <v>1989.0</v>
      </c>
      <c r="B1970" s="68"/>
      <c r="C1970" s="68"/>
      <c r="D1970" s="69" t="str">
        <f>CONCATENATE(PROPER('DASMA INFO'!$G1970),", ",PROPER('DASMA INFO'!$E1970)," ",PROPER('DASMA INFO'!$F1970),"."," (",UPPER('DASMA INFO'!$H1970),")")</f>
        <v>Corporal, Lorceli C. ()</v>
      </c>
      <c r="E1970" s="69" t="s">
        <v>3502</v>
      </c>
      <c r="F1970" s="69" t="s">
        <v>318</v>
      </c>
      <c r="G1970" s="69" t="s">
        <v>3348</v>
      </c>
      <c r="H1970" s="69"/>
      <c r="I1970" s="105">
        <v>0.12</v>
      </c>
      <c r="J1970" s="106">
        <v>1000.0</v>
      </c>
      <c r="K1970" s="73" t="s">
        <v>3503</v>
      </c>
      <c r="L1970" s="73"/>
      <c r="M1970" s="73"/>
      <c r="N1970" s="74"/>
    </row>
    <row r="1971" ht="30.0" hidden="1" customHeight="1">
      <c r="A1971" s="68">
        <v>1990.0</v>
      </c>
      <c r="B1971" s="68"/>
      <c r="C1971" s="68"/>
      <c r="D1971" s="69" t="str">
        <f>CONCATENATE(PROPER('DASMA INFO'!$G1971),", ",PROPER('DASMA INFO'!$E1971)," ",PROPER('DASMA INFO'!$F1971),"."," (",UPPER('DASMA INFO'!$H1971),")")</f>
        <v>Domaoan, Carl Anthony P. ()</v>
      </c>
      <c r="E1971" s="69" t="s">
        <v>3504</v>
      </c>
      <c r="F1971" s="69" t="s">
        <v>513</v>
      </c>
      <c r="G1971" s="69" t="s">
        <v>3505</v>
      </c>
      <c r="H1971" s="69"/>
      <c r="I1971" s="105">
        <v>0.12</v>
      </c>
      <c r="J1971" s="106">
        <v>1000.0</v>
      </c>
      <c r="K1971" s="73"/>
      <c r="L1971" s="73"/>
      <c r="M1971" s="73"/>
      <c r="N1971" s="74"/>
    </row>
    <row r="1972" ht="30.0" hidden="1" customHeight="1">
      <c r="A1972" s="68">
        <v>1991.0</v>
      </c>
      <c r="B1972" s="68"/>
      <c r="C1972" s="68"/>
      <c r="D1972" s="69" t="str">
        <f>CONCATENATE(PROPER('DASMA INFO'!$G1972),", ",PROPER('DASMA INFO'!$E1972)," ",PROPER('DASMA INFO'!$F1972),"."," (",UPPER('DASMA INFO'!$H1972),")")</f>
        <v>Osumo, Christine P. ()</v>
      </c>
      <c r="E1972" s="69" t="s">
        <v>3506</v>
      </c>
      <c r="F1972" s="69" t="s">
        <v>513</v>
      </c>
      <c r="G1972" s="69" t="s">
        <v>3507</v>
      </c>
      <c r="H1972" s="69"/>
      <c r="I1972" s="92">
        <v>0.05</v>
      </c>
      <c r="J1972" s="93">
        <v>1000.0</v>
      </c>
      <c r="K1972" s="73" t="s">
        <v>3508</v>
      </c>
      <c r="L1972" s="73" t="s">
        <v>81</v>
      </c>
      <c r="M1972" s="73">
        <v>2022.0</v>
      </c>
      <c r="N1972" s="74" t="s">
        <v>3509</v>
      </c>
    </row>
    <row r="1973" ht="30.0" hidden="1" customHeight="1">
      <c r="A1973" s="68">
        <v>1992.0</v>
      </c>
      <c r="B1973" s="68"/>
      <c r="C1973" s="68"/>
      <c r="D1973" s="69" t="str">
        <f>CONCATENATE(PROPER('DASMA INFO'!$G1973),", ",PROPER('DASMA INFO'!$E1973)," ",PROPER('DASMA INFO'!$F1973),"."," (",UPPER('DASMA INFO'!$H1973),")")</f>
        <v>Enguancho, Jeross  R. ()</v>
      </c>
      <c r="E1973" s="69" t="s">
        <v>3510</v>
      </c>
      <c r="F1973" s="69" t="s">
        <v>260</v>
      </c>
      <c r="G1973" s="69" t="s">
        <v>3511</v>
      </c>
      <c r="H1973" s="69"/>
      <c r="I1973" s="92">
        <v>0.05</v>
      </c>
      <c r="J1973" s="93">
        <v>1000.0</v>
      </c>
      <c r="K1973" s="73" t="s">
        <v>3489</v>
      </c>
      <c r="L1973" s="73" t="s">
        <v>81</v>
      </c>
      <c r="M1973" s="73">
        <v>2018.0</v>
      </c>
      <c r="N1973" s="74" t="s">
        <v>3512</v>
      </c>
    </row>
    <row r="1974" ht="30.0" hidden="1" customHeight="1">
      <c r="A1974" s="68">
        <v>1993.0</v>
      </c>
      <c r="B1974" s="68"/>
      <c r="C1974" s="68"/>
      <c r="D1974" s="69" t="str">
        <f>CONCATENATE(PROPER('DASMA INFO'!$G1974),", ",PROPER('DASMA INFO'!$E1974)," ",PROPER('DASMA INFO'!$F1974),"."," (",UPPER('DASMA INFO'!$H1974),")")</f>
        <v>Masangkay, Mark Alvin R. ()</v>
      </c>
      <c r="E1974" s="69" t="s">
        <v>3513</v>
      </c>
      <c r="F1974" s="69" t="s">
        <v>260</v>
      </c>
      <c r="G1974" s="69" t="s">
        <v>3459</v>
      </c>
      <c r="H1974" s="69"/>
      <c r="I1974" s="105">
        <v>0.12</v>
      </c>
      <c r="J1974" s="106">
        <v>1000.0</v>
      </c>
      <c r="K1974" s="73" t="s">
        <v>1053</v>
      </c>
      <c r="L1974" s="73"/>
      <c r="M1974" s="73"/>
      <c r="N1974" s="74"/>
    </row>
    <row r="1975" ht="30.0" hidden="1" customHeight="1">
      <c r="A1975" s="68">
        <v>1994.0</v>
      </c>
      <c r="B1975" s="68"/>
      <c r="C1975" s="68"/>
      <c r="D1975" s="69" t="str">
        <f>CONCATENATE(PROPER('DASMA INFO'!$G1975),", ",PROPER('DASMA INFO'!$E1975)," ",PROPER('DASMA INFO'!$F1975),"."," (",UPPER('DASMA INFO'!$H1975),")")</f>
        <v>Avila, Lynith P. ()</v>
      </c>
      <c r="E1975" s="69" t="s">
        <v>3514</v>
      </c>
      <c r="F1975" s="69" t="s">
        <v>513</v>
      </c>
      <c r="G1975" s="69" t="s">
        <v>218</v>
      </c>
      <c r="H1975" s="69"/>
      <c r="I1975" s="105">
        <v>0.12</v>
      </c>
      <c r="J1975" s="106">
        <v>1000.0</v>
      </c>
      <c r="K1975" s="73" t="s">
        <v>1144</v>
      </c>
      <c r="L1975" s="73"/>
      <c r="M1975" s="73"/>
      <c r="N1975" s="74"/>
    </row>
    <row r="1976" ht="30.0" hidden="1" customHeight="1">
      <c r="A1976" s="68">
        <v>1995.0</v>
      </c>
      <c r="B1976" s="68"/>
      <c r="C1976" s="68"/>
      <c r="D1976" s="69" t="str">
        <f>CONCATENATE(PROPER('DASMA INFO'!$G1976),", ",PROPER('DASMA INFO'!$E1976)," ",PROPER('DASMA INFO'!$F1976),"."," (",UPPER('DASMA INFO'!$H1976),")")</f>
        <v>Millano, Marivie M. ()</v>
      </c>
      <c r="E1976" s="69" t="s">
        <v>3515</v>
      </c>
      <c r="F1976" s="69" t="s">
        <v>587</v>
      </c>
      <c r="G1976" s="69" t="s">
        <v>3516</v>
      </c>
      <c r="H1976" s="69"/>
      <c r="I1976" s="105">
        <v>0.12</v>
      </c>
      <c r="J1976" s="106">
        <v>1000.0</v>
      </c>
      <c r="K1976" s="107" t="s">
        <v>50</v>
      </c>
      <c r="L1976" s="107" t="s">
        <v>3495</v>
      </c>
      <c r="M1976" s="107">
        <v>2021.0</v>
      </c>
      <c r="N1976" s="108" t="s">
        <v>3512</v>
      </c>
    </row>
    <row r="1977" ht="30.0" hidden="1" customHeight="1">
      <c r="A1977" s="68">
        <v>1996.0</v>
      </c>
      <c r="B1977" s="68"/>
      <c r="C1977" s="68"/>
      <c r="D1977" s="69" t="str">
        <f>CONCATENATE(PROPER('DASMA INFO'!$G1977),", ",PROPER('DASMA INFO'!$E1977)," ",PROPER('DASMA INFO'!$F1977),"."," (",UPPER('DASMA INFO'!$H1977),")")</f>
        <v>Marasigan, Cristina M. ()</v>
      </c>
      <c r="E1977" s="69" t="s">
        <v>294</v>
      </c>
      <c r="F1977" s="69" t="s">
        <v>587</v>
      </c>
      <c r="G1977" s="69" t="s">
        <v>3137</v>
      </c>
      <c r="H1977" s="69"/>
      <c r="I1977" s="105">
        <v>0.12</v>
      </c>
      <c r="J1977" s="106">
        <v>1000.0</v>
      </c>
      <c r="K1977" s="73" t="s">
        <v>3494</v>
      </c>
      <c r="L1977" s="73"/>
      <c r="M1977" s="73"/>
      <c r="N1977" s="74"/>
    </row>
    <row r="1978" ht="30.0" hidden="1" customHeight="1">
      <c r="A1978" s="68">
        <v>1997.0</v>
      </c>
      <c r="B1978" s="68"/>
      <c r="C1978" s="68"/>
      <c r="D1978" s="69" t="str">
        <f>CONCATENATE(PROPER('DASMA INFO'!$G1978),", ",PROPER('DASMA INFO'!$E1978)," ",PROPER('DASMA INFO'!$F1978),"."," (",UPPER('DASMA INFO'!$H1978),")")</f>
        <v>Fuentes, Joey Figueroa. ()</v>
      </c>
      <c r="E1978" s="69" t="s">
        <v>1716</v>
      </c>
      <c r="F1978" s="69" t="s">
        <v>3168</v>
      </c>
      <c r="G1978" s="69" t="s">
        <v>3517</v>
      </c>
      <c r="H1978" s="69"/>
      <c r="I1978" s="105">
        <v>0.12</v>
      </c>
      <c r="J1978" s="106">
        <v>1000.0</v>
      </c>
      <c r="K1978" s="73" t="s">
        <v>2703</v>
      </c>
      <c r="L1978" s="73"/>
      <c r="M1978" s="73"/>
      <c r="N1978" s="74"/>
    </row>
    <row r="1979" ht="30.0" hidden="1" customHeight="1">
      <c r="A1979" s="68">
        <v>1998.0</v>
      </c>
      <c r="B1979" s="68"/>
      <c r="C1979" s="68"/>
      <c r="D1979" s="69" t="str">
        <f>CONCATENATE(PROPER('DASMA INFO'!$G1979),", ",PROPER('DASMA INFO'!$E1979)," ",PROPER('DASMA INFO'!$F1979),"."," (",UPPER('DASMA INFO'!$H1979),")")</f>
        <v>Frago, Catherine C. ()</v>
      </c>
      <c r="E1979" s="69" t="s">
        <v>3385</v>
      </c>
      <c r="F1979" s="69" t="s">
        <v>318</v>
      </c>
      <c r="G1979" s="69" t="s">
        <v>3518</v>
      </c>
      <c r="H1979" s="69"/>
      <c r="I1979" s="105">
        <v>0.12</v>
      </c>
      <c r="J1979" s="106">
        <v>1000.0</v>
      </c>
      <c r="K1979" s="73" t="s">
        <v>3027</v>
      </c>
      <c r="L1979" s="73"/>
      <c r="M1979" s="73"/>
      <c r="N1979" s="74"/>
    </row>
    <row r="1980" ht="30.0" hidden="1" customHeight="1">
      <c r="A1980" s="109">
        <v>1999.0</v>
      </c>
      <c r="B1980" s="109"/>
      <c r="C1980" s="109"/>
      <c r="D1980" s="110" t="str">
        <f>CONCATENATE(PROPER('DASMA INFO'!$G1980),", ",PROPER('DASMA INFO'!$E1980)," ",PROPER('DASMA INFO'!$F1980),"."," (",UPPER('DASMA INFO'!$H1980),")")</f>
        <v>Tamba, Alzate M. ()</v>
      </c>
      <c r="E1980" s="110" t="s">
        <v>3519</v>
      </c>
      <c r="F1980" s="110" t="s">
        <v>587</v>
      </c>
      <c r="G1980" s="110" t="s">
        <v>3520</v>
      </c>
      <c r="H1980" s="110"/>
      <c r="I1980" s="92">
        <v>0.05</v>
      </c>
      <c r="J1980" s="93">
        <v>1000.0</v>
      </c>
      <c r="K1980" s="107" t="s">
        <v>3521</v>
      </c>
      <c r="L1980" s="107" t="s">
        <v>856</v>
      </c>
      <c r="M1980" s="107">
        <v>2019.0</v>
      </c>
      <c r="N1980" s="108"/>
    </row>
    <row r="1981" ht="30.0" hidden="1" customHeight="1">
      <c r="A1981" s="68">
        <v>2000.0</v>
      </c>
      <c r="B1981" s="68"/>
      <c r="C1981" s="68"/>
      <c r="D1981" s="69" t="str">
        <f>CONCATENATE(PROPER('DASMA INFO'!$G1981),", ",PROPER('DASMA INFO'!$E1981)," ",PROPER('DASMA INFO'!$F1981),"."," (",UPPER('DASMA INFO'!$H1981),")")</f>
        <v>Velasco, Rommes M. ()</v>
      </c>
      <c r="E1981" s="69" t="s">
        <v>3522</v>
      </c>
      <c r="F1981" s="69" t="s">
        <v>587</v>
      </c>
      <c r="G1981" s="69" t="s">
        <v>996</v>
      </c>
      <c r="H1981" s="69"/>
      <c r="I1981" s="105">
        <v>0.12</v>
      </c>
      <c r="J1981" s="106">
        <v>1000.0</v>
      </c>
      <c r="K1981" s="73" t="s">
        <v>3326</v>
      </c>
      <c r="L1981" s="73"/>
      <c r="M1981" s="73"/>
      <c r="N1981" s="74"/>
    </row>
    <row r="1982" ht="30.0" hidden="1" customHeight="1">
      <c r="A1982" s="68">
        <v>2001.0</v>
      </c>
      <c r="B1982" s="68"/>
      <c r="C1982" s="68"/>
      <c r="D1982" s="69" t="str">
        <f>CONCATENATE(PROPER('DASMA INFO'!$G1982),", ",PROPER('DASMA INFO'!$E1982)," ",PROPER('DASMA INFO'!$F1982),"."," (",UPPER('DASMA INFO'!$H1982),")")</f>
        <v>Baranges, Verica H. ()</v>
      </c>
      <c r="E1982" s="69" t="s">
        <v>3523</v>
      </c>
      <c r="F1982" s="69" t="s">
        <v>2537</v>
      </c>
      <c r="G1982" s="69" t="s">
        <v>3524</v>
      </c>
      <c r="H1982" s="69"/>
      <c r="I1982" s="105">
        <v>0.12</v>
      </c>
      <c r="J1982" s="106">
        <v>1000.0</v>
      </c>
      <c r="K1982" s="73" t="s">
        <v>3525</v>
      </c>
      <c r="L1982" s="73"/>
      <c r="M1982" s="73"/>
      <c r="N1982" s="74"/>
    </row>
    <row r="1983" ht="30.0" hidden="1" customHeight="1">
      <c r="A1983" s="68">
        <v>2002.0</v>
      </c>
      <c r="B1983" s="68"/>
      <c r="C1983" s="68"/>
      <c r="D1983" s="69" t="str">
        <f>CONCATENATE(PROPER('DASMA INFO'!$G1983),", ",PROPER('DASMA INFO'!$E1983)," ",PROPER('DASMA INFO'!$F1983),"."," (",UPPER('DASMA INFO'!$H1983),")")</f>
        <v>Ignacio, Maricar M. ()</v>
      </c>
      <c r="E1983" s="69" t="s">
        <v>521</v>
      </c>
      <c r="F1983" s="69" t="s">
        <v>587</v>
      </c>
      <c r="G1983" s="69" t="s">
        <v>333</v>
      </c>
      <c r="H1983" s="69"/>
      <c r="I1983" s="92">
        <v>0.05</v>
      </c>
      <c r="J1983" s="93">
        <v>1000.0</v>
      </c>
      <c r="K1983" s="73" t="s">
        <v>3526</v>
      </c>
      <c r="L1983" s="73"/>
      <c r="M1983" s="73"/>
      <c r="N1983" s="74"/>
    </row>
    <row r="1984" ht="30.0" hidden="1" customHeight="1">
      <c r="A1984" s="68">
        <v>2003.0</v>
      </c>
      <c r="B1984" s="68"/>
      <c r="C1984" s="68"/>
      <c r="D1984" s="69" t="str">
        <f>CONCATENATE(PROPER('DASMA INFO'!$G1984),", ",PROPER('DASMA INFO'!$E1984)," ",PROPER('DASMA INFO'!$F1984),"."," (",UPPER('DASMA INFO'!$H1984),")")</f>
        <v>Mendoza, Majorie S. ()</v>
      </c>
      <c r="E1984" s="69" t="s">
        <v>1322</v>
      </c>
      <c r="F1984" s="69" t="s">
        <v>342</v>
      </c>
      <c r="G1984" s="69" t="s">
        <v>775</v>
      </c>
      <c r="H1984" s="69"/>
      <c r="I1984" s="92">
        <v>0.05</v>
      </c>
      <c r="J1984" s="93">
        <v>1000.0</v>
      </c>
      <c r="K1984" s="73" t="s">
        <v>3527</v>
      </c>
      <c r="L1984" s="73"/>
      <c r="M1984" s="73"/>
      <c r="N1984" s="74" t="s">
        <v>3528</v>
      </c>
    </row>
    <row r="1985" ht="30.0" hidden="1" customHeight="1">
      <c r="A1985" s="68">
        <v>2004.0</v>
      </c>
      <c r="B1985" s="68"/>
      <c r="C1985" s="68"/>
      <c r="D1985" s="69" t="str">
        <f>CONCATENATE(PROPER('DASMA INFO'!$G1985),", ",PROPER('DASMA INFO'!$E1985)," ",PROPER('DASMA INFO'!$F1985),"."," (",UPPER('DASMA INFO'!$H1985),")")</f>
        <v>Torres, Bernadith M. ()</v>
      </c>
      <c r="E1985" s="69" t="s">
        <v>3529</v>
      </c>
      <c r="F1985" s="69" t="s">
        <v>587</v>
      </c>
      <c r="G1985" s="69" t="s">
        <v>343</v>
      </c>
      <c r="H1985" s="69"/>
      <c r="I1985" s="105">
        <v>0.12</v>
      </c>
      <c r="J1985" s="106">
        <v>1000.0</v>
      </c>
      <c r="K1985" s="73" t="s">
        <v>2703</v>
      </c>
      <c r="L1985" s="73"/>
      <c r="M1985" s="73"/>
      <c r="N1985" s="74"/>
    </row>
    <row r="1986" ht="30.0" hidden="1" customHeight="1">
      <c r="A1986" s="68">
        <v>2005.0</v>
      </c>
      <c r="B1986" s="68"/>
      <c r="C1986" s="68"/>
      <c r="D1986" s="69" t="str">
        <f>CONCATENATE(PROPER('DASMA INFO'!$G1986),", ",PROPER('DASMA INFO'!$E1986)," ",PROPER('DASMA INFO'!$F1986),"."," (",UPPER('DASMA INFO'!$H1986),")")</f>
        <v>Ginon, Michelle April M. ()</v>
      </c>
      <c r="E1986" s="69" t="s">
        <v>3530</v>
      </c>
      <c r="F1986" s="69" t="s">
        <v>587</v>
      </c>
      <c r="G1986" s="69" t="s">
        <v>3531</v>
      </c>
      <c r="H1986" s="69"/>
      <c r="I1986" s="105">
        <v>0.12</v>
      </c>
      <c r="J1986" s="106">
        <v>1000.0</v>
      </c>
      <c r="K1986" s="73" t="s">
        <v>3494</v>
      </c>
      <c r="L1986" s="73"/>
      <c r="M1986" s="73"/>
      <c r="N1986" s="74"/>
    </row>
    <row r="1987" ht="30.0" hidden="1" customHeight="1">
      <c r="A1987" s="68">
        <v>2006.0</v>
      </c>
      <c r="B1987" s="68"/>
      <c r="C1987" s="68"/>
      <c r="D1987" s="69" t="str">
        <f>CONCATENATE(PROPER('DASMA INFO'!$G1987),", ",PROPER('DASMA INFO'!$E1987)," ",PROPER('DASMA INFO'!$F1987),"."," (",UPPER('DASMA INFO'!$H1987),")")</f>
        <v>Tan, Rebeca R. ()</v>
      </c>
      <c r="E1987" s="69" t="s">
        <v>3532</v>
      </c>
      <c r="F1987" s="69" t="s">
        <v>260</v>
      </c>
      <c r="G1987" s="69" t="s">
        <v>422</v>
      </c>
      <c r="H1987" s="69"/>
      <c r="I1987" s="105">
        <v>0.12</v>
      </c>
      <c r="J1987" s="106">
        <v>1000.0</v>
      </c>
      <c r="K1987" s="73" t="s">
        <v>3533</v>
      </c>
      <c r="L1987" s="73"/>
      <c r="M1987" s="73"/>
      <c r="N1987" s="74"/>
    </row>
    <row r="1988" ht="30.0" hidden="1" customHeight="1">
      <c r="A1988" s="68">
        <v>2007.0</v>
      </c>
      <c r="B1988" s="68"/>
      <c r="C1988" s="68"/>
      <c r="D1988" s="69" t="str">
        <f>CONCATENATE(PROPER('DASMA INFO'!$G1988),", ",PROPER('DASMA INFO'!$E1988)," ",PROPER('DASMA INFO'!$F1988),"."," (",UPPER('DASMA INFO'!$H1988),")")</f>
        <v>Cangque, Sherryl Ann Q. ()</v>
      </c>
      <c r="E1988" s="69" t="s">
        <v>3534</v>
      </c>
      <c r="F1988" s="69" t="s">
        <v>545</v>
      </c>
      <c r="G1988" s="69" t="s">
        <v>3535</v>
      </c>
      <c r="H1988" s="69"/>
      <c r="I1988" s="105">
        <v>0.12</v>
      </c>
      <c r="J1988" s="106">
        <v>1000.0</v>
      </c>
      <c r="K1988" s="73" t="s">
        <v>3027</v>
      </c>
      <c r="L1988" s="73"/>
      <c r="M1988" s="73"/>
      <c r="N1988" s="74"/>
    </row>
    <row r="1989" ht="30.0" hidden="1" customHeight="1">
      <c r="A1989" s="68">
        <v>2008.0</v>
      </c>
      <c r="B1989" s="68"/>
      <c r="C1989" s="68"/>
      <c r="D1989" s="69" t="str">
        <f>CONCATENATE(PROPER('DASMA INFO'!$G1989),", ",PROPER('DASMA INFO'!$E1989)," ",PROPER('DASMA INFO'!$F1989),"."," (",UPPER('DASMA INFO'!$H1989),")")</f>
        <v>Delima, Marieta G. ()</v>
      </c>
      <c r="E1989" s="69" t="s">
        <v>119</v>
      </c>
      <c r="F1989" s="69" t="s">
        <v>1032</v>
      </c>
      <c r="G1989" s="69" t="s">
        <v>3536</v>
      </c>
      <c r="H1989" s="69"/>
      <c r="I1989" s="105">
        <v>0.12</v>
      </c>
      <c r="J1989" s="106">
        <v>1000.0</v>
      </c>
      <c r="K1989" s="73" t="s">
        <v>3494</v>
      </c>
      <c r="L1989" s="73"/>
      <c r="M1989" s="73"/>
      <c r="N1989" s="74"/>
    </row>
    <row r="1990" ht="30.0" hidden="1" customHeight="1">
      <c r="A1990" s="68">
        <v>2009.0</v>
      </c>
      <c r="B1990" s="68"/>
      <c r="C1990" s="68"/>
      <c r="D1990" s="69" t="str">
        <f>CONCATENATE(PROPER('DASMA INFO'!$G1990),", ",PROPER('DASMA INFO'!$E1990)," ",PROPER('DASMA INFO'!$F1990),"."," (",UPPER('DASMA INFO'!$H1990),")")</f>
        <v>Merelos, Edgardo F. ()</v>
      </c>
      <c r="E1990" s="69" t="s">
        <v>869</v>
      </c>
      <c r="F1990" s="69" t="s">
        <v>1738</v>
      </c>
      <c r="G1990" s="69" t="s">
        <v>3537</v>
      </c>
      <c r="H1990" s="69"/>
      <c r="I1990" s="105">
        <v>0.12</v>
      </c>
      <c r="J1990" s="106">
        <v>1000.0</v>
      </c>
      <c r="K1990" s="73" t="s">
        <v>3027</v>
      </c>
      <c r="L1990" s="73"/>
      <c r="M1990" s="73"/>
      <c r="N1990" s="74"/>
    </row>
    <row r="1991" ht="30.0" hidden="1" customHeight="1">
      <c r="A1991" s="68">
        <v>2010.0</v>
      </c>
      <c r="B1991" s="68"/>
      <c r="C1991" s="68"/>
      <c r="D1991" s="69" t="str">
        <f>CONCATENATE(PROPER('DASMA INFO'!$G1991),", ",PROPER('DASMA INFO'!$E1991)," ",PROPER('DASMA INFO'!$F1991),"."," (",UPPER('DASMA INFO'!$H1991),")")</f>
        <v>Dela Cruz, David Jose . ()</v>
      </c>
      <c r="E1991" s="69" t="s">
        <v>3538</v>
      </c>
      <c r="F1991" s="69"/>
      <c r="G1991" s="69" t="s">
        <v>636</v>
      </c>
      <c r="H1991" s="69"/>
      <c r="I1991" s="105">
        <v>0.12</v>
      </c>
      <c r="J1991" s="106">
        <v>1000.0</v>
      </c>
      <c r="K1991" s="73" t="s">
        <v>3539</v>
      </c>
      <c r="L1991" s="73"/>
      <c r="M1991" s="73"/>
      <c r="N1991" s="74"/>
    </row>
    <row r="1992" ht="30.0" hidden="1" customHeight="1">
      <c r="A1992" s="86">
        <v>2011.0</v>
      </c>
      <c r="B1992" s="86"/>
      <c r="C1992" s="86"/>
      <c r="D1992" s="87" t="str">
        <f>CONCATENATE(PROPER('DASMA INFO'!$G1992),", ",PROPER('DASMA INFO'!$E1992)," ",PROPER('DASMA INFO'!$F1992),"."," (",UPPER('DASMA INFO'!$H1992),")")</f>
        <v>Casauran, Adelfa A. ()</v>
      </c>
      <c r="E1992" s="87" t="s">
        <v>3540</v>
      </c>
      <c r="F1992" s="87" t="s">
        <v>427</v>
      </c>
      <c r="G1992" s="87" t="s">
        <v>3541</v>
      </c>
      <c r="H1992" s="87"/>
      <c r="I1992" s="105">
        <v>0.12</v>
      </c>
      <c r="J1992" s="106">
        <v>1000.0</v>
      </c>
      <c r="K1992" s="89" t="s">
        <v>3542</v>
      </c>
      <c r="L1992" s="89"/>
      <c r="M1992" s="89"/>
      <c r="N1992" s="90"/>
    </row>
    <row r="1993" ht="30.0" hidden="1" customHeight="1">
      <c r="A1993" s="86">
        <v>2012.0</v>
      </c>
      <c r="B1993" s="86"/>
      <c r="C1993" s="86"/>
      <c r="D1993" s="87" t="str">
        <f>CONCATENATE(PROPER('DASMA INFO'!$G1993),", ",PROPER('DASMA INFO'!$E1993)," ",PROPER('DASMA INFO'!$F1993),"."," (",UPPER('DASMA INFO'!$H1993),")")</f>
        <v>Tolentino, Jasmine J. ()</v>
      </c>
      <c r="E1993" s="87" t="s">
        <v>3543</v>
      </c>
      <c r="F1993" s="87" t="s">
        <v>613</v>
      </c>
      <c r="G1993" s="87" t="s">
        <v>206</v>
      </c>
      <c r="H1993" s="87"/>
      <c r="I1993" s="105">
        <v>0.05</v>
      </c>
      <c r="J1993" s="106">
        <v>1000.0</v>
      </c>
      <c r="K1993" s="89" t="s">
        <v>2941</v>
      </c>
      <c r="L1993" s="89" t="s">
        <v>465</v>
      </c>
      <c r="M1993" s="89">
        <v>2022.0</v>
      </c>
      <c r="N1993" s="90" t="s">
        <v>3544</v>
      </c>
    </row>
    <row r="1994" ht="30.0" hidden="1" customHeight="1">
      <c r="A1994" s="86">
        <v>2013.0</v>
      </c>
      <c r="B1994" s="86"/>
      <c r="C1994" s="86"/>
      <c r="D1994" s="87" t="str">
        <f>CONCATENATE(PROPER('DASMA INFO'!$G1994),", ",PROPER('DASMA INFO'!$E1994)," ",PROPER('DASMA INFO'!$F1994),"."," (",UPPER('DASMA INFO'!$H1994),")")</f>
        <v>Barbon, Delia N. ()</v>
      </c>
      <c r="E1994" s="87" t="s">
        <v>3545</v>
      </c>
      <c r="F1994" s="87" t="s">
        <v>1154</v>
      </c>
      <c r="G1994" s="87" t="s">
        <v>2554</v>
      </c>
      <c r="H1994" s="87"/>
      <c r="I1994" s="105">
        <v>0.12</v>
      </c>
      <c r="J1994" s="106">
        <v>1000.0</v>
      </c>
      <c r="K1994" s="89" t="s">
        <v>3546</v>
      </c>
      <c r="L1994" s="89"/>
      <c r="M1994" s="89"/>
      <c r="N1994" s="90"/>
    </row>
    <row r="1995" ht="30.0" hidden="1" customHeight="1">
      <c r="A1995" s="86">
        <v>2014.0</v>
      </c>
      <c r="B1995" s="86"/>
      <c r="C1995" s="86"/>
      <c r="D1995" s="87" t="str">
        <f>CONCATENATE(PROPER('DASMA INFO'!$G1995),", ",PROPER('DASMA INFO'!$E1995)," ",PROPER('DASMA INFO'!$F1995),"."," (",UPPER('DASMA INFO'!$H1995),")")</f>
        <v>Marceliano, Maria Teresa Serra. ()</v>
      </c>
      <c r="E1995" s="87" t="s">
        <v>2518</v>
      </c>
      <c r="F1995" s="87" t="s">
        <v>3547</v>
      </c>
      <c r="G1995" s="87" t="s">
        <v>822</v>
      </c>
      <c r="H1995" s="87"/>
      <c r="I1995" s="92">
        <v>0.05</v>
      </c>
      <c r="J1995" s="93">
        <v>1000.0</v>
      </c>
      <c r="K1995" s="89" t="s">
        <v>50</v>
      </c>
      <c r="L1995" s="89" t="s">
        <v>81</v>
      </c>
      <c r="M1995" s="89">
        <v>2022.0</v>
      </c>
      <c r="N1995" s="90"/>
    </row>
    <row r="1996" ht="30.0" hidden="1" customHeight="1">
      <c r="A1996" s="86">
        <v>2015.0</v>
      </c>
      <c r="B1996" s="86"/>
      <c r="C1996" s="86"/>
      <c r="D1996" s="87" t="str">
        <f>CONCATENATE(PROPER('DASMA INFO'!$G1996),", ",PROPER('DASMA INFO'!$E1996)," ",PROPER('DASMA INFO'!$F1996),"."," (",UPPER('DASMA INFO'!$H1996),")")</f>
        <v>Alfante, Joey Gasal. ()</v>
      </c>
      <c r="E1996" s="87" t="s">
        <v>1716</v>
      </c>
      <c r="F1996" s="87" t="s">
        <v>3548</v>
      </c>
      <c r="G1996" s="87" t="s">
        <v>3549</v>
      </c>
      <c r="H1996" s="87"/>
      <c r="I1996" s="92">
        <v>0.05</v>
      </c>
      <c r="J1996" s="93">
        <v>1000.0</v>
      </c>
      <c r="K1996" s="89" t="s">
        <v>50</v>
      </c>
      <c r="L1996" s="89" t="s">
        <v>94</v>
      </c>
      <c r="M1996" s="89">
        <v>2021.0</v>
      </c>
      <c r="N1996" s="90"/>
    </row>
    <row r="1997" ht="30.0" hidden="1" customHeight="1">
      <c r="A1997" s="86">
        <v>2016.0</v>
      </c>
      <c r="B1997" s="86"/>
      <c r="C1997" s="86"/>
      <c r="D1997" s="87" t="str">
        <f>CONCATENATE(PROPER('DASMA INFO'!$G1997),", ",PROPER('DASMA INFO'!$E1997)," ",PROPER('DASMA INFO'!$F1997),"."," (",UPPER('DASMA INFO'!$H1997),")")</f>
        <v>Vidad, Marvin Dave Cera. ()</v>
      </c>
      <c r="E1997" s="87" t="s">
        <v>3550</v>
      </c>
      <c r="F1997" s="87" t="s">
        <v>3551</v>
      </c>
      <c r="G1997" s="87" t="s">
        <v>863</v>
      </c>
      <c r="H1997" s="87"/>
      <c r="I1997" s="105">
        <v>0.12</v>
      </c>
      <c r="J1997" s="106">
        <v>1000.0</v>
      </c>
      <c r="K1997" s="89"/>
      <c r="L1997" s="89"/>
      <c r="M1997" s="89"/>
      <c r="N1997" s="90"/>
    </row>
    <row r="1998" ht="30.0" hidden="1" customHeight="1">
      <c r="A1998" s="86">
        <v>2017.0</v>
      </c>
      <c r="B1998" s="86"/>
      <c r="C1998" s="86"/>
      <c r="D1998" s="87" t="str">
        <f>CONCATENATE(PROPER('DASMA INFO'!$G1998),", ",PROPER('DASMA INFO'!$E1998)," ",PROPER('DASMA INFO'!$F1998),"."," (",UPPER('DASMA INFO'!$H1998),")")</f>
        <v>Reyes, Jocelyn P. ()</v>
      </c>
      <c r="E1998" s="87" t="s">
        <v>290</v>
      </c>
      <c r="F1998" s="87" t="s">
        <v>513</v>
      </c>
      <c r="G1998" s="87" t="s">
        <v>122</v>
      </c>
      <c r="H1998" s="87"/>
      <c r="I1998" s="105">
        <v>0.12</v>
      </c>
      <c r="J1998" s="106">
        <v>1000.0</v>
      </c>
      <c r="K1998" s="89"/>
      <c r="L1998" s="89"/>
      <c r="M1998" s="89"/>
      <c r="N1998" s="90"/>
    </row>
    <row r="1999" ht="30.0" hidden="1" customHeight="1">
      <c r="A1999" s="86">
        <v>2018.0</v>
      </c>
      <c r="B1999" s="86"/>
      <c r="C1999" s="86"/>
      <c r="D1999" s="87" t="str">
        <f>CONCATENATE(PROPER('DASMA INFO'!$G1999),", ",PROPER('DASMA INFO'!$E1999)," ",PROPER('DASMA INFO'!$F1999),"."," (",UPPER('DASMA INFO'!$H1999),")")</f>
        <v>Tumlos, Nenita Buendia. ()</v>
      </c>
      <c r="E1999" s="87" t="s">
        <v>994</v>
      </c>
      <c r="F1999" s="87" t="s">
        <v>3552</v>
      </c>
      <c r="G1999" s="87" t="s">
        <v>3553</v>
      </c>
      <c r="H1999" s="87"/>
      <c r="I1999" s="92">
        <v>0.05</v>
      </c>
      <c r="J1999" s="93">
        <v>1000.0</v>
      </c>
      <c r="K1999" s="89" t="s">
        <v>50</v>
      </c>
      <c r="L1999" s="89" t="s">
        <v>94</v>
      </c>
      <c r="M1999" s="89">
        <v>2021.0</v>
      </c>
      <c r="N1999" s="90"/>
    </row>
    <row r="2000" ht="30.0" hidden="1" customHeight="1">
      <c r="A2000" s="86">
        <v>2019.0</v>
      </c>
      <c r="B2000" s="86"/>
      <c r="C2000" s="86"/>
      <c r="D2000" s="87" t="str">
        <f>CONCATENATE(PROPER('DASMA INFO'!$G2000),", ",PROPER('DASMA INFO'!$E2000)," ",PROPER('DASMA INFO'!$F2000),"."," (",UPPER('DASMA INFO'!$H2000),")")</f>
        <v>Gundran, Grace Ramos. ()</v>
      </c>
      <c r="E2000" s="87" t="s">
        <v>1724</v>
      </c>
      <c r="F2000" s="87" t="s">
        <v>74</v>
      </c>
      <c r="G2000" s="87" t="s">
        <v>3554</v>
      </c>
      <c r="H2000" s="87"/>
      <c r="I2000" s="105">
        <v>0.12</v>
      </c>
      <c r="J2000" s="106">
        <v>1000.0</v>
      </c>
      <c r="K2000" s="89"/>
      <c r="L2000" s="89"/>
      <c r="M2000" s="89"/>
      <c r="N2000" s="90"/>
    </row>
    <row r="2001" ht="30.0" hidden="1" customHeight="1">
      <c r="A2001" s="86">
        <v>2020.0</v>
      </c>
      <c r="B2001" s="86"/>
      <c r="C2001" s="86"/>
      <c r="D2001" s="87" t="str">
        <f>CONCATENATE(PROPER('DASMA INFO'!$G2001),", ",PROPER('DASMA INFO'!$E2001)," ",PROPER('DASMA INFO'!$F2001),"."," (",UPPER('DASMA INFO'!$H2001),")")</f>
        <v>Lee, Rose Shella Tan. ()</v>
      </c>
      <c r="E2001" s="87" t="s">
        <v>3555</v>
      </c>
      <c r="F2001" s="87" t="s">
        <v>422</v>
      </c>
      <c r="G2001" s="87" t="s">
        <v>853</v>
      </c>
      <c r="H2001" s="87"/>
      <c r="I2001" s="105">
        <v>0.12</v>
      </c>
      <c r="J2001" s="106">
        <v>1000.0</v>
      </c>
      <c r="K2001" s="89" t="s">
        <v>1131</v>
      </c>
      <c r="L2001" s="89"/>
      <c r="M2001" s="89"/>
      <c r="N2001" s="90"/>
    </row>
    <row r="2002" ht="30.0" hidden="1" customHeight="1">
      <c r="A2002" s="86">
        <v>2021.0</v>
      </c>
      <c r="B2002" s="86"/>
      <c r="C2002" s="86"/>
      <c r="D2002" s="87" t="str">
        <f>CONCATENATE(PROPER('DASMA INFO'!$G2002),", ",PROPER('DASMA INFO'!$E2002)," ",PROPER('DASMA INFO'!$F2002),"."," (",UPPER('DASMA INFO'!$H2002),")")</f>
        <v>Wise, Julita Bual. ()</v>
      </c>
      <c r="E2002" s="87" t="s">
        <v>3556</v>
      </c>
      <c r="F2002" s="87" t="s">
        <v>3557</v>
      </c>
      <c r="G2002" s="87" t="s">
        <v>3558</v>
      </c>
      <c r="H2002" s="87"/>
      <c r="I2002" s="105">
        <v>0.12</v>
      </c>
      <c r="J2002" s="106">
        <v>1000.0</v>
      </c>
      <c r="K2002" s="89" t="s">
        <v>3494</v>
      </c>
      <c r="L2002" s="89"/>
      <c r="M2002" s="89"/>
      <c r="N2002" s="90"/>
    </row>
    <row r="2003" ht="30.0" hidden="1" customHeight="1">
      <c r="A2003" s="86">
        <v>2022.0</v>
      </c>
      <c r="B2003" s="86"/>
      <c r="C2003" s="86"/>
      <c r="D2003" s="87" t="str">
        <f>CONCATENATE(PROPER('DASMA INFO'!$G2003),", ",PROPER('DASMA INFO'!$E2003)," ",PROPER('DASMA INFO'!$F2003),"."," (",UPPER('DASMA INFO'!$H2003),")")</f>
        <v>Nebres, Nora Alacon. ()</v>
      </c>
      <c r="E2003" s="87" t="s">
        <v>1802</v>
      </c>
      <c r="F2003" s="87" t="s">
        <v>3559</v>
      </c>
      <c r="G2003" s="87" t="s">
        <v>3560</v>
      </c>
      <c r="H2003" s="87"/>
      <c r="I2003" s="92">
        <v>0.05</v>
      </c>
      <c r="J2003" s="93">
        <v>1000.0</v>
      </c>
      <c r="K2003" s="89" t="s">
        <v>3561</v>
      </c>
      <c r="L2003" s="89" t="s">
        <v>816</v>
      </c>
      <c r="M2003" s="89">
        <v>2021.0</v>
      </c>
      <c r="N2003" s="90"/>
    </row>
    <row r="2004" ht="30.0" hidden="1" customHeight="1">
      <c r="A2004" s="86">
        <v>2023.0</v>
      </c>
      <c r="B2004" s="86"/>
      <c r="C2004" s="86"/>
      <c r="D2004" s="87" t="str">
        <f>CONCATENATE(PROPER('DASMA INFO'!$G2004),", ",PROPER('DASMA INFO'!$E2004)," ",PROPER('DASMA INFO'!$F2004),"."," (",UPPER('DASMA INFO'!$H2004),")")</f>
        <v>Lobino, Maria Cris G. ()</v>
      </c>
      <c r="E2004" s="87" t="s">
        <v>3562</v>
      </c>
      <c r="F2004" s="87" t="s">
        <v>1032</v>
      </c>
      <c r="G2004" s="87" t="s">
        <v>3563</v>
      </c>
      <c r="H2004" s="87"/>
      <c r="I2004" s="105">
        <v>0.12</v>
      </c>
      <c r="J2004" s="106">
        <v>1000.0</v>
      </c>
      <c r="K2004" s="89" t="s">
        <v>2928</v>
      </c>
      <c r="L2004" s="89"/>
      <c r="M2004" s="89"/>
      <c r="N2004" s="90"/>
    </row>
    <row r="2005" ht="30.0" hidden="1" customHeight="1">
      <c r="A2005" s="86">
        <v>2024.0</v>
      </c>
      <c r="B2005" s="86"/>
      <c r="C2005" s="86"/>
      <c r="D2005" s="87" t="str">
        <f>CONCATENATE(PROPER('DASMA INFO'!$G2005),", ",PROPER('DASMA INFO'!$E2005)," ",PROPER('DASMA INFO'!$F2005),"."," (",UPPER('DASMA INFO'!$H2005),")")</f>
        <v>Brito, Emerita Tolibas. ()</v>
      </c>
      <c r="E2005" s="87" t="s">
        <v>3564</v>
      </c>
      <c r="F2005" s="87" t="s">
        <v>3565</v>
      </c>
      <c r="G2005" s="87" t="s">
        <v>3566</v>
      </c>
      <c r="H2005" s="87"/>
      <c r="I2005" s="105">
        <v>0.12</v>
      </c>
      <c r="J2005" s="106">
        <v>1000.0</v>
      </c>
      <c r="K2005" s="89" t="s">
        <v>2027</v>
      </c>
      <c r="L2005" s="89"/>
      <c r="M2005" s="89"/>
      <c r="N2005" s="90"/>
    </row>
    <row r="2006" ht="30.0" hidden="1" customHeight="1">
      <c r="A2006" s="86">
        <v>2025.0</v>
      </c>
      <c r="B2006" s="86"/>
      <c r="C2006" s="86"/>
      <c r="D2006" s="87" t="str">
        <f>CONCATENATE(PROPER('DASMA INFO'!$G2006),", ",PROPER('DASMA INFO'!$E2006)," ",PROPER('DASMA INFO'!$F2006),"."," (",UPPER('DASMA INFO'!$H2006),")")</f>
        <v>Delgado, Sardis Irao. ()</v>
      </c>
      <c r="E2006" s="87" t="s">
        <v>3567</v>
      </c>
      <c r="F2006" s="87" t="s">
        <v>3568</v>
      </c>
      <c r="G2006" s="87" t="s">
        <v>3569</v>
      </c>
      <c r="H2006" s="87"/>
      <c r="I2006" s="105">
        <v>0.12</v>
      </c>
      <c r="J2006" s="106">
        <v>1000.0</v>
      </c>
      <c r="K2006" s="89" t="s">
        <v>3027</v>
      </c>
      <c r="L2006" s="89"/>
      <c r="M2006" s="89"/>
      <c r="N2006" s="90"/>
    </row>
    <row r="2007" ht="30.0" hidden="1" customHeight="1">
      <c r="A2007" s="86">
        <v>2026.0</v>
      </c>
      <c r="B2007" s="86"/>
      <c r="C2007" s="86"/>
      <c r="D2007" s="87" t="str">
        <f>CONCATENATE(PROPER('DASMA INFO'!$G2007),", ",PROPER('DASMA INFO'!$E2007)," ",PROPER('DASMA INFO'!$F2007),"."," (",UPPER('DASMA INFO'!$H2007),")")</f>
        <v>Sindol, Bonificia Agustin. ()</v>
      </c>
      <c r="E2007" s="87" t="s">
        <v>3570</v>
      </c>
      <c r="F2007" s="87" t="s">
        <v>3571</v>
      </c>
      <c r="G2007" s="87" t="s">
        <v>3572</v>
      </c>
      <c r="H2007" s="87"/>
      <c r="I2007" s="105">
        <v>0.05</v>
      </c>
      <c r="J2007" s="106">
        <v>3000.0</v>
      </c>
      <c r="K2007" s="89" t="s">
        <v>50</v>
      </c>
      <c r="L2007" s="89" t="s">
        <v>480</v>
      </c>
      <c r="M2007" s="89">
        <v>2018.0</v>
      </c>
      <c r="N2007" s="90"/>
    </row>
    <row r="2008" ht="30.0" hidden="1" customHeight="1">
      <c r="A2008" s="86">
        <v>2027.0</v>
      </c>
      <c r="B2008" s="86"/>
      <c r="C2008" s="86"/>
      <c r="D2008" s="87" t="str">
        <f>CONCATENATE(PROPER('DASMA INFO'!$G2008),", ",PROPER('DASMA INFO'!$E2008)," ",PROPER('DASMA INFO'!$F2008),"."," (",UPPER('DASMA INFO'!$H2008),")")</f>
        <v>Rupido, Christie Nechaldas. ()</v>
      </c>
      <c r="E2008" s="87" t="s">
        <v>3573</v>
      </c>
      <c r="F2008" s="87" t="s">
        <v>3574</v>
      </c>
      <c r="G2008" s="87" t="s">
        <v>3575</v>
      </c>
      <c r="H2008" s="87"/>
      <c r="I2008" s="105">
        <v>0.05</v>
      </c>
      <c r="J2008" s="106">
        <v>1000.0</v>
      </c>
      <c r="K2008" s="89" t="s">
        <v>50</v>
      </c>
      <c r="L2008" s="89" t="s">
        <v>808</v>
      </c>
      <c r="M2008" s="89">
        <v>2018.0</v>
      </c>
      <c r="N2008" s="90"/>
    </row>
    <row r="2009" ht="30.0" hidden="1" customHeight="1">
      <c r="A2009" s="86">
        <v>2028.0</v>
      </c>
      <c r="B2009" s="86"/>
      <c r="C2009" s="86"/>
      <c r="D2009" s="87" t="str">
        <f>CONCATENATE(PROPER('DASMA INFO'!$G2009),", ",PROPER('DASMA INFO'!$E2009)," ",PROPER('DASMA INFO'!$F2009),"."," (",UPPER('DASMA INFO'!$H2009),")")</f>
        <v>Francisco, Napoleon Baptista. ()</v>
      </c>
      <c r="E2009" s="87" t="s">
        <v>3486</v>
      </c>
      <c r="F2009" s="87" t="s">
        <v>3576</v>
      </c>
      <c r="G2009" s="87" t="s">
        <v>509</v>
      </c>
      <c r="H2009" s="87"/>
      <c r="I2009" s="105">
        <v>0.12</v>
      </c>
      <c r="J2009" s="106">
        <v>1000.0</v>
      </c>
      <c r="K2009" s="89" t="s">
        <v>3577</v>
      </c>
      <c r="L2009" s="89"/>
      <c r="M2009" s="89"/>
      <c r="N2009" s="90"/>
    </row>
    <row r="2010" ht="30.0" hidden="1" customHeight="1">
      <c r="A2010" s="86">
        <v>2029.0</v>
      </c>
      <c r="B2010" s="86"/>
      <c r="C2010" s="86"/>
      <c r="D2010" s="87" t="str">
        <f>CONCATENATE(PROPER('DASMA INFO'!$G2010),", ",PROPER('DASMA INFO'!$E2010)," ",PROPER('DASMA INFO'!$F2010),"."," (",UPPER('DASMA INFO'!$H2010),")")</f>
        <v>Arbutante, Freddie Fulgarinas. ()</v>
      </c>
      <c r="E2010" s="87" t="s">
        <v>3578</v>
      </c>
      <c r="F2010" s="87" t="s">
        <v>3579</v>
      </c>
      <c r="G2010" s="87" t="s">
        <v>3580</v>
      </c>
      <c r="H2010" s="87"/>
      <c r="I2010" s="105">
        <v>0.12</v>
      </c>
      <c r="J2010" s="106">
        <v>1000.0</v>
      </c>
      <c r="K2010" s="89" t="s">
        <v>1053</v>
      </c>
      <c r="L2010" s="89"/>
      <c r="M2010" s="89"/>
      <c r="N2010" s="90"/>
    </row>
    <row r="2011" ht="30.0" hidden="1" customHeight="1">
      <c r="A2011" s="86">
        <v>2030.0</v>
      </c>
      <c r="B2011" s="86"/>
      <c r="C2011" s="86"/>
      <c r="D2011" s="87" t="str">
        <f>CONCATENATE(PROPER('DASMA INFO'!$G2011),", ",PROPER('DASMA INFO'!$E2011)," ",PROPER('DASMA INFO'!$F2011),"."," (",UPPER('DASMA INFO'!$H2011),")")</f>
        <v>Bautista, Florinda Cortez. ()</v>
      </c>
      <c r="E2011" s="87" t="s">
        <v>408</v>
      </c>
      <c r="F2011" s="87" t="s">
        <v>1034</v>
      </c>
      <c r="G2011" s="87" t="s">
        <v>275</v>
      </c>
      <c r="H2011" s="87"/>
      <c r="I2011" s="105">
        <v>0.12</v>
      </c>
      <c r="J2011" s="106">
        <v>1000.0</v>
      </c>
      <c r="K2011" s="89" t="s">
        <v>1053</v>
      </c>
      <c r="L2011" s="89"/>
      <c r="M2011" s="89"/>
      <c r="N2011" s="90"/>
    </row>
    <row r="2012" ht="30.0" hidden="1" customHeight="1">
      <c r="A2012" s="86">
        <v>2031.0</v>
      </c>
      <c r="B2012" s="86"/>
      <c r="C2012" s="86"/>
      <c r="D2012" s="87" t="str">
        <f>CONCATENATE(PROPER('DASMA INFO'!$G2012),", ",PROPER('DASMA INFO'!$E2012)," ",PROPER('DASMA INFO'!$F2012),"."," (",UPPER('DASMA INFO'!$H2012),")")</f>
        <v>Hinojales, Candelaria Vidad. ()</v>
      </c>
      <c r="E2012" s="87" t="s">
        <v>862</v>
      </c>
      <c r="F2012" s="87" t="s">
        <v>863</v>
      </c>
      <c r="G2012" s="87" t="s">
        <v>864</v>
      </c>
      <c r="H2012" s="87"/>
      <c r="I2012" s="105">
        <v>0.05</v>
      </c>
      <c r="J2012" s="106">
        <v>1000.0</v>
      </c>
      <c r="K2012" s="89" t="s">
        <v>50</v>
      </c>
      <c r="L2012" s="89" t="s">
        <v>3153</v>
      </c>
      <c r="M2012" s="89">
        <v>2022.0</v>
      </c>
      <c r="N2012" s="90"/>
    </row>
    <row r="2013" ht="30.0" hidden="1" customHeight="1">
      <c r="A2013" s="86">
        <v>2032.0</v>
      </c>
      <c r="B2013" s="86"/>
      <c r="C2013" s="86"/>
      <c r="D2013" s="87" t="str">
        <f>CONCATENATE(PROPER('DASMA INFO'!$G2013),", ",PROPER('DASMA INFO'!$E2013)," ",PROPER('DASMA INFO'!$F2013),"."," (",UPPER('DASMA INFO'!$H2013),")")</f>
        <v>Poblador, Virginia L. ()</v>
      </c>
      <c r="E2013" s="87" t="s">
        <v>655</v>
      </c>
      <c r="F2013" s="87" t="s">
        <v>648</v>
      </c>
      <c r="G2013" s="87" t="s">
        <v>3581</v>
      </c>
      <c r="H2013" s="87"/>
      <c r="I2013" s="105">
        <v>0.12</v>
      </c>
      <c r="J2013" s="106">
        <v>1000.0</v>
      </c>
      <c r="K2013" s="89" t="s">
        <v>1156</v>
      </c>
      <c r="L2013" s="89"/>
      <c r="M2013" s="89"/>
      <c r="N2013" s="90"/>
    </row>
    <row r="2014" ht="30.0" hidden="1" customHeight="1">
      <c r="A2014" s="86">
        <v>2033.0</v>
      </c>
      <c r="B2014" s="86"/>
      <c r="C2014" s="86"/>
      <c r="D2014" s="87" t="str">
        <f>CONCATENATE(PROPER('DASMA INFO'!$G2014),", ",PROPER('DASMA INFO'!$E2014)," ",PROPER('DASMA INFO'!$F2014),"."," (",UPPER('DASMA INFO'!$H2014),")")</f>
        <v>Burns, Neonita Arenga. ()</v>
      </c>
      <c r="E2014" s="87" t="s">
        <v>3582</v>
      </c>
      <c r="F2014" s="87" t="s">
        <v>3583</v>
      </c>
      <c r="G2014" s="87" t="s">
        <v>3584</v>
      </c>
      <c r="H2014" s="87"/>
      <c r="I2014" s="105">
        <v>0.12</v>
      </c>
      <c r="J2014" s="106">
        <v>1000.0</v>
      </c>
      <c r="K2014" s="89" t="s">
        <v>3494</v>
      </c>
      <c r="L2014" s="89"/>
      <c r="M2014" s="89"/>
      <c r="N2014" s="90"/>
    </row>
    <row r="2015" ht="30.0" hidden="1" customHeight="1">
      <c r="A2015" s="86">
        <v>2034.0</v>
      </c>
      <c r="B2015" s="86"/>
      <c r="C2015" s="86"/>
      <c r="D2015" s="87" t="str">
        <f>CONCATENATE(PROPER('DASMA INFO'!$G2015),", ",PROPER('DASMA INFO'!$E2015)," ",PROPER('DASMA INFO'!$F2015),"."," (",UPPER('DASMA INFO'!$H2015),")")</f>
        <v>Daen, Remedios Abellano. ()</v>
      </c>
      <c r="E2015" s="87" t="s">
        <v>1771</v>
      </c>
      <c r="F2015" s="87" t="s">
        <v>3585</v>
      </c>
      <c r="G2015" s="87" t="s">
        <v>3586</v>
      </c>
      <c r="H2015" s="87"/>
      <c r="I2015" s="105">
        <v>0.12</v>
      </c>
      <c r="J2015" s="106">
        <v>1000.0</v>
      </c>
      <c r="K2015" s="89" t="s">
        <v>1053</v>
      </c>
      <c r="L2015" s="89"/>
      <c r="M2015" s="89"/>
      <c r="N2015" s="90"/>
    </row>
    <row r="2016" ht="30.0" hidden="1" customHeight="1">
      <c r="A2016" s="86">
        <v>2035.0</v>
      </c>
      <c r="B2016" s="86"/>
      <c r="C2016" s="86"/>
      <c r="D2016" s="87" t="str">
        <f>CONCATENATE(PROPER('DASMA INFO'!$G2016),", ",PROPER('DASMA INFO'!$E2016)," ",PROPER('DASMA INFO'!$F2016),"."," (",UPPER('DASMA INFO'!$H2016),")")</f>
        <v>Sebuado, Mary Rose Yabut. ()</v>
      </c>
      <c r="E2016" s="87" t="s">
        <v>379</v>
      </c>
      <c r="F2016" s="87" t="s">
        <v>810</v>
      </c>
      <c r="G2016" s="87" t="s">
        <v>806</v>
      </c>
      <c r="H2016" s="87"/>
      <c r="I2016" s="105">
        <v>0.12</v>
      </c>
      <c r="J2016" s="106">
        <v>1000.0</v>
      </c>
      <c r="K2016" s="89" t="s">
        <v>2703</v>
      </c>
      <c r="L2016" s="89"/>
      <c r="M2016" s="89"/>
      <c r="N2016" s="90"/>
    </row>
    <row r="2017" ht="30.0" hidden="1" customHeight="1">
      <c r="A2017" s="86">
        <v>2036.0</v>
      </c>
      <c r="B2017" s="86"/>
      <c r="C2017" s="86"/>
      <c r="D2017" s="87" t="str">
        <f>CONCATENATE(PROPER('DASMA INFO'!$G2017),", ",PROPER('DASMA INFO'!$E2017)," ",PROPER('DASMA INFO'!$F2017),"."," (",UPPER('DASMA INFO'!$H2017),")")</f>
        <v>Pineda, Michelle Brillante. ()</v>
      </c>
      <c r="E2017" s="87" t="s">
        <v>1469</v>
      </c>
      <c r="F2017" s="87" t="s">
        <v>3587</v>
      </c>
      <c r="G2017" s="87" t="s">
        <v>2266</v>
      </c>
      <c r="H2017" s="87"/>
      <c r="I2017" s="105">
        <v>0.12</v>
      </c>
      <c r="J2017" s="106">
        <v>1000.0</v>
      </c>
      <c r="K2017" s="89" t="s">
        <v>3494</v>
      </c>
      <c r="L2017" s="89"/>
      <c r="M2017" s="89"/>
      <c r="N2017" s="90"/>
    </row>
    <row r="2018" ht="30.0" hidden="1" customHeight="1">
      <c r="A2018" s="86">
        <v>2037.0</v>
      </c>
      <c r="B2018" s="86"/>
      <c r="C2018" s="86"/>
      <c r="D2018" s="87" t="str">
        <f>CONCATENATE(PROPER('DASMA INFO'!$G2018),", ",PROPER('DASMA INFO'!$E2018)," ",PROPER('DASMA INFO'!$F2018),"."," (",UPPER('DASMA INFO'!$H2018),")")</f>
        <v>Delfin, Cristina Anosa. ()</v>
      </c>
      <c r="E2018" s="87" t="s">
        <v>294</v>
      </c>
      <c r="F2018" s="87" t="s">
        <v>3588</v>
      </c>
      <c r="G2018" s="87" t="s">
        <v>1355</v>
      </c>
      <c r="H2018" s="87"/>
      <c r="I2018" s="105">
        <v>0.05</v>
      </c>
      <c r="J2018" s="106">
        <v>1000.0</v>
      </c>
      <c r="K2018" s="89" t="s">
        <v>3120</v>
      </c>
      <c r="L2018" s="89" t="s">
        <v>3589</v>
      </c>
      <c r="M2018" s="89">
        <v>2018.0</v>
      </c>
      <c r="N2018" s="90"/>
    </row>
    <row r="2019" ht="30.0" hidden="1" customHeight="1">
      <c r="A2019" s="86">
        <v>2038.0</v>
      </c>
      <c r="B2019" s="86"/>
      <c r="C2019" s="86"/>
      <c r="D2019" s="87" t="str">
        <f>CONCATENATE(PROPER('DASMA INFO'!$G2019),", ",PROPER('DASMA INFO'!$E2019)," ",PROPER('DASMA INFO'!$F2019),"."," (",UPPER('DASMA INFO'!$H2019),")")</f>
        <v>Mendros, Rhodora Montemayor. ()</v>
      </c>
      <c r="E2019" s="87" t="s">
        <v>579</v>
      </c>
      <c r="F2019" s="87" t="s">
        <v>3590</v>
      </c>
      <c r="G2019" s="87" t="s">
        <v>3591</v>
      </c>
      <c r="H2019" s="87"/>
      <c r="I2019" s="105">
        <v>0.12</v>
      </c>
      <c r="J2019" s="106">
        <v>1000.0</v>
      </c>
      <c r="K2019" s="89" t="s">
        <v>1053</v>
      </c>
      <c r="L2019" s="89"/>
      <c r="M2019" s="89"/>
      <c r="N2019" s="90"/>
    </row>
    <row r="2020" ht="30.0" hidden="1" customHeight="1">
      <c r="A2020" s="86">
        <v>2039.0</v>
      </c>
      <c r="B2020" s="86"/>
      <c r="C2020" s="86"/>
      <c r="D2020" s="87" t="str">
        <f>CONCATENATE(PROPER('DASMA INFO'!$G2020),", ",PROPER('DASMA INFO'!$E2020)," ",PROPER('DASMA INFO'!$F2020),"."," (",UPPER('DASMA INFO'!$H2020),")")</f>
        <v>Noveno, Rogelio Bides. ()</v>
      </c>
      <c r="E2020" s="87" t="s">
        <v>747</v>
      </c>
      <c r="F2020" s="87" t="s">
        <v>3592</v>
      </c>
      <c r="G2020" s="87" t="s">
        <v>3593</v>
      </c>
      <c r="H2020" s="87"/>
      <c r="I2020" s="105">
        <v>0.12</v>
      </c>
      <c r="J2020" s="106">
        <v>1000.0</v>
      </c>
      <c r="K2020" s="89" t="s">
        <v>3494</v>
      </c>
      <c r="L2020" s="89"/>
      <c r="M2020" s="89"/>
      <c r="N2020" s="90"/>
    </row>
    <row r="2021" ht="30.0" hidden="1" customHeight="1">
      <c r="A2021" s="86">
        <v>2040.0</v>
      </c>
      <c r="B2021" s="86"/>
      <c r="C2021" s="86"/>
      <c r="D2021" s="87" t="str">
        <f>CONCATENATE(PROPER('DASMA INFO'!$G2021),", ",PROPER('DASMA INFO'!$E2021)," ",PROPER('DASMA INFO'!$F2021),"."," (",UPPER('DASMA INFO'!$H2021),")")</f>
        <v>Soriano, Mikee Aguilar. ()</v>
      </c>
      <c r="E2021" s="87" t="s">
        <v>3594</v>
      </c>
      <c r="F2021" s="87" t="s">
        <v>287</v>
      </c>
      <c r="G2021" s="87" t="s">
        <v>3595</v>
      </c>
      <c r="H2021" s="87"/>
      <c r="I2021" s="105">
        <v>0.12</v>
      </c>
      <c r="J2021" s="106">
        <v>1000.0</v>
      </c>
      <c r="K2021" s="89" t="s">
        <v>2979</v>
      </c>
      <c r="L2021" s="89"/>
      <c r="M2021" s="89"/>
      <c r="N2021" s="90"/>
    </row>
    <row r="2022" ht="30.0" hidden="1" customHeight="1">
      <c r="A2022" s="86">
        <v>2041.0</v>
      </c>
      <c r="B2022" s="86"/>
      <c r="C2022" s="86"/>
      <c r="D2022" s="87" t="str">
        <f>CONCATENATE(PROPER('DASMA INFO'!$G2022),", ",PROPER('DASMA INFO'!$E2022)," ",PROPER('DASMA INFO'!$F2022),"."," (",UPPER('DASMA INFO'!$H2022),")")</f>
        <v>Camungay, Ludinia Domingo. ()</v>
      </c>
      <c r="E2022" s="87" t="s">
        <v>3596</v>
      </c>
      <c r="F2022" s="87" t="s">
        <v>1331</v>
      </c>
      <c r="G2022" s="87" t="s">
        <v>3597</v>
      </c>
      <c r="H2022" s="87"/>
      <c r="I2022" s="105">
        <v>0.05</v>
      </c>
      <c r="J2022" s="106">
        <v>1000.0</v>
      </c>
      <c r="K2022" s="89" t="s">
        <v>50</v>
      </c>
      <c r="L2022" s="89" t="s">
        <v>3598</v>
      </c>
      <c r="M2022" s="89">
        <v>2022.0</v>
      </c>
      <c r="N2022" s="90"/>
    </row>
    <row r="2023" ht="30.0" hidden="1" customHeight="1">
      <c r="A2023" s="86">
        <v>2042.0</v>
      </c>
      <c r="B2023" s="86"/>
      <c r="C2023" s="86"/>
      <c r="D2023" s="87" t="str">
        <f>CONCATENATE(PROPER('DASMA INFO'!$G2023),", ",PROPER('DASMA INFO'!$E2023)," ",PROPER('DASMA INFO'!$F2023),"."," (",UPPER('DASMA INFO'!$H2023),")")</f>
        <v>Sarabjit, Kaur . ()</v>
      </c>
      <c r="E2023" s="87" t="s">
        <v>3599</v>
      </c>
      <c r="F2023" s="87"/>
      <c r="G2023" s="87" t="s">
        <v>3600</v>
      </c>
      <c r="H2023" s="87"/>
      <c r="I2023" s="105">
        <v>0.12</v>
      </c>
      <c r="J2023" s="106">
        <v>1000.0</v>
      </c>
      <c r="K2023" s="89" t="s">
        <v>3601</v>
      </c>
      <c r="L2023" s="89"/>
      <c r="M2023" s="89"/>
      <c r="N2023" s="90"/>
    </row>
    <row r="2024" ht="30.0" hidden="1" customHeight="1">
      <c r="A2024" s="86">
        <v>2043.0</v>
      </c>
      <c r="B2024" s="86"/>
      <c r="C2024" s="86"/>
      <c r="D2024" s="87" t="str">
        <f>CONCATENATE(PROPER('DASMA INFO'!$G2024),", ",PROPER('DASMA INFO'!$E2024)," ",PROPER('DASMA INFO'!$F2024),"."," (",UPPER('DASMA INFO'!$H2024),")")</f>
        <v>,  . ()</v>
      </c>
      <c r="E2024" s="87"/>
      <c r="F2024" s="87"/>
      <c r="G2024" s="87"/>
      <c r="H2024" s="87"/>
      <c r="I2024" s="105">
        <v>0.12</v>
      </c>
      <c r="J2024" s="106">
        <v>1000.0</v>
      </c>
      <c r="K2024" s="89"/>
      <c r="L2024" s="89"/>
      <c r="M2024" s="89"/>
      <c r="N2024" s="90"/>
    </row>
    <row r="2025" ht="30.0" hidden="1" customHeight="1">
      <c r="A2025" s="86">
        <v>2044.0</v>
      </c>
      <c r="B2025" s="86"/>
      <c r="C2025" s="86"/>
      <c r="D2025" s="87" t="str">
        <f>CONCATENATE(PROPER('DASMA INFO'!$G2025),", ",PROPER('DASMA INFO'!$E2025)," ",PROPER('DASMA INFO'!$F2025),"."," (",UPPER('DASMA INFO'!$H2025),")")</f>
        <v>Thomas -Leathley, Rhea-Catherine Alpay. ()</v>
      </c>
      <c r="E2025" s="87" t="s">
        <v>3602</v>
      </c>
      <c r="F2025" s="87" t="s">
        <v>3603</v>
      </c>
      <c r="G2025" s="87" t="s">
        <v>3604</v>
      </c>
      <c r="H2025" s="87"/>
      <c r="I2025" s="105">
        <v>0.12</v>
      </c>
      <c r="J2025" s="106">
        <v>1000.0</v>
      </c>
      <c r="K2025" s="89" t="s">
        <v>3027</v>
      </c>
      <c r="L2025" s="89"/>
      <c r="M2025" s="89"/>
      <c r="N2025" s="90"/>
    </row>
    <row r="2026" ht="30.0" hidden="1" customHeight="1">
      <c r="A2026" s="86">
        <v>2045.0</v>
      </c>
      <c r="B2026" s="86"/>
      <c r="C2026" s="86"/>
      <c r="D2026" s="87" t="str">
        <f>CONCATENATE(PROPER('DASMA INFO'!$G2026),", ",PROPER('DASMA INFO'!$E2026)," ",PROPER('DASMA INFO'!$F2026),"."," (",UPPER('DASMA INFO'!$H2026),")")</f>
        <v>Cruz, Israel Sacro. ()</v>
      </c>
      <c r="E2026" s="87" t="s">
        <v>2142</v>
      </c>
      <c r="F2026" s="87" t="s">
        <v>3605</v>
      </c>
      <c r="G2026" s="87" t="s">
        <v>676</v>
      </c>
      <c r="H2026" s="87"/>
      <c r="I2026" s="105">
        <v>0.12</v>
      </c>
      <c r="J2026" s="106">
        <v>1000.0</v>
      </c>
      <c r="K2026" s="89" t="s">
        <v>2703</v>
      </c>
      <c r="L2026" s="89"/>
      <c r="M2026" s="89"/>
      <c r="N2026" s="90"/>
    </row>
    <row r="2027" ht="30.0" hidden="1" customHeight="1">
      <c r="A2027" s="86">
        <v>2046.0</v>
      </c>
      <c r="B2027" s="86"/>
      <c r="C2027" s="86"/>
      <c r="D2027" s="87" t="str">
        <f>CONCATENATE(PROPER('DASMA INFO'!$G2027),", ",PROPER('DASMA INFO'!$E2027)," ",PROPER('DASMA INFO'!$F2027),"."," (",UPPER('DASMA INFO'!$H2027),")")</f>
        <v>Gaspay, Aniceta Escaño. ()</v>
      </c>
      <c r="E2027" s="87" t="s">
        <v>3606</v>
      </c>
      <c r="F2027" s="87" t="s">
        <v>3607</v>
      </c>
      <c r="G2027" s="87" t="s">
        <v>3608</v>
      </c>
      <c r="H2027" s="87"/>
      <c r="I2027" s="105">
        <v>0.12</v>
      </c>
      <c r="J2027" s="106">
        <v>1000.0</v>
      </c>
      <c r="K2027" s="89" t="s">
        <v>2979</v>
      </c>
      <c r="L2027" s="89"/>
      <c r="M2027" s="89"/>
      <c r="N2027" s="90"/>
    </row>
    <row r="2028" ht="30.0" hidden="1" customHeight="1">
      <c r="A2028" s="86">
        <v>2047.0</v>
      </c>
      <c r="B2028" s="86"/>
      <c r="C2028" s="86"/>
      <c r="D2028" s="87" t="str">
        <f>CONCATENATE(PROPER('DASMA INFO'!$G2028),", ",PROPER('DASMA INFO'!$E2028)," ",PROPER('DASMA INFO'!$F2028),"."," (",UPPER('DASMA INFO'!$H2028),")")</f>
        <v>Recalde, Josephine . ()</v>
      </c>
      <c r="E2028" s="87" t="s">
        <v>137</v>
      </c>
      <c r="F2028" s="87"/>
      <c r="G2028" s="87" t="s">
        <v>3609</v>
      </c>
      <c r="H2028" s="87"/>
      <c r="I2028" s="105">
        <v>0.12</v>
      </c>
      <c r="J2028" s="106">
        <v>1000.0</v>
      </c>
      <c r="K2028" s="89"/>
      <c r="L2028" s="89"/>
      <c r="M2028" s="89"/>
      <c r="N2028" s="90"/>
    </row>
    <row r="2029" ht="30.0" hidden="1" customHeight="1">
      <c r="A2029" s="86">
        <v>2048.0</v>
      </c>
      <c r="B2029" s="86"/>
      <c r="C2029" s="86"/>
      <c r="D2029" s="87" t="str">
        <f>CONCATENATE(PROPER('DASMA INFO'!$G2029),", ",PROPER('DASMA INFO'!$E2029)," ",PROPER('DASMA INFO'!$F2029),"."," (",UPPER('DASMA INFO'!$H2029),")")</f>
        <v>Recalde, Josephine Gonzaga. ()</v>
      </c>
      <c r="E2029" s="87" t="s">
        <v>137</v>
      </c>
      <c r="F2029" s="87" t="s">
        <v>1332</v>
      </c>
      <c r="G2029" s="87" t="s">
        <v>3609</v>
      </c>
      <c r="H2029" s="87"/>
      <c r="I2029" s="105">
        <v>0.12</v>
      </c>
      <c r="J2029" s="106">
        <v>1000.0</v>
      </c>
      <c r="K2029" s="89" t="s">
        <v>1144</v>
      </c>
      <c r="L2029" s="89"/>
      <c r="M2029" s="89"/>
      <c r="N2029" s="90"/>
    </row>
    <row r="2030" ht="30.0" hidden="1" customHeight="1">
      <c r="A2030" s="86">
        <v>2049.0</v>
      </c>
      <c r="B2030" s="86"/>
      <c r="C2030" s="86"/>
      <c r="D2030" s="87" t="str">
        <f>CONCATENATE(PROPER('DASMA INFO'!$G2030),", ",PROPER('DASMA INFO'!$E2030)," ",PROPER('DASMA INFO'!$F2030),"."," (",UPPER('DASMA INFO'!$H2030),")")</f>
        <v>Manguera, Celso Yambao. ()</v>
      </c>
      <c r="E2030" s="87" t="s">
        <v>1055</v>
      </c>
      <c r="F2030" s="87" t="s">
        <v>3610</v>
      </c>
      <c r="G2030" s="87" t="s">
        <v>3611</v>
      </c>
      <c r="H2030" s="87"/>
      <c r="I2030" s="105">
        <v>0.05</v>
      </c>
      <c r="J2030" s="106">
        <v>1000.0</v>
      </c>
      <c r="K2030" s="89" t="s">
        <v>50</v>
      </c>
      <c r="L2030" s="89" t="s">
        <v>81</v>
      </c>
      <c r="M2030" s="89">
        <v>2018.0</v>
      </c>
      <c r="N2030" s="90"/>
    </row>
    <row r="2031" ht="30.0" hidden="1" customHeight="1">
      <c r="A2031" s="86">
        <v>2050.0</v>
      </c>
      <c r="B2031" s="86"/>
      <c r="C2031" s="86"/>
      <c r="D2031" s="87" t="str">
        <f>CONCATENATE(PROPER('DASMA INFO'!$G2031),", ",PROPER('DASMA INFO'!$E2031)," ",PROPER('DASMA INFO'!$F2031),"."," (",UPPER('DASMA INFO'!$H2031),")")</f>
        <v>Manguera, Carmelita Beronque. ()</v>
      </c>
      <c r="E2031" s="87" t="s">
        <v>1714</v>
      </c>
      <c r="F2031" s="87" t="s">
        <v>3612</v>
      </c>
      <c r="G2031" s="87" t="s">
        <v>3611</v>
      </c>
      <c r="H2031" s="87"/>
      <c r="I2031" s="105">
        <v>0.05</v>
      </c>
      <c r="J2031" s="106">
        <v>1000.0</v>
      </c>
      <c r="K2031" s="89" t="s">
        <v>50</v>
      </c>
      <c r="L2031" s="89" t="s">
        <v>81</v>
      </c>
      <c r="M2031" s="89">
        <v>2018.0</v>
      </c>
      <c r="N2031" s="90"/>
    </row>
    <row r="2032" ht="30.0" hidden="1" customHeight="1">
      <c r="A2032" s="86">
        <v>2051.0</v>
      </c>
      <c r="B2032" s="86"/>
      <c r="C2032" s="86"/>
      <c r="D2032" s="87" t="str">
        <f>CONCATENATE(PROPER('DASMA INFO'!$G2032),", ",PROPER('DASMA INFO'!$E2032)," ",PROPER('DASMA INFO'!$F2032),"."," (",UPPER('DASMA INFO'!$H2032),")")</f>
        <v>Diaz, Manuel Mosquera. ()</v>
      </c>
      <c r="E2032" s="87" t="s">
        <v>507</v>
      </c>
      <c r="F2032" s="87" t="s">
        <v>3613</v>
      </c>
      <c r="G2032" s="87" t="s">
        <v>653</v>
      </c>
      <c r="H2032" s="87"/>
      <c r="I2032" s="105">
        <v>0.05</v>
      </c>
      <c r="J2032" s="106">
        <v>1000.0</v>
      </c>
      <c r="K2032" s="89" t="s">
        <v>50</v>
      </c>
      <c r="L2032" s="89" t="s">
        <v>816</v>
      </c>
      <c r="M2032" s="89">
        <v>2018.0</v>
      </c>
      <c r="N2032" s="90"/>
    </row>
    <row r="2033" ht="30.0" hidden="1" customHeight="1">
      <c r="A2033" s="86">
        <v>2052.0</v>
      </c>
      <c r="B2033" s="86"/>
      <c r="C2033" s="86"/>
      <c r="D2033" s="87" t="str">
        <f>CONCATENATE(PROPER('DASMA INFO'!$G2033),", ",PROPER('DASMA INFO'!$E2033)," ",PROPER('DASMA INFO'!$F2033),"."," (",UPPER('DASMA INFO'!$H2033),")")</f>
        <v>Falcutila, Marissa Ramos. ()</v>
      </c>
      <c r="E2033" s="87" t="s">
        <v>227</v>
      </c>
      <c r="F2033" s="87" t="s">
        <v>74</v>
      </c>
      <c r="G2033" s="87" t="s">
        <v>3614</v>
      </c>
      <c r="H2033" s="87"/>
      <c r="I2033" s="105">
        <v>0.05</v>
      </c>
      <c r="J2033" s="106">
        <v>1000.0</v>
      </c>
      <c r="K2033" s="89" t="s">
        <v>50</v>
      </c>
      <c r="L2033" s="89" t="s">
        <v>465</v>
      </c>
      <c r="M2033" s="89">
        <v>2022.0</v>
      </c>
      <c r="N2033" s="90" t="s">
        <v>786</v>
      </c>
    </row>
    <row r="2034" ht="30.0" hidden="1" customHeight="1">
      <c r="A2034" s="86">
        <v>2053.0</v>
      </c>
      <c r="B2034" s="86"/>
      <c r="C2034" s="86"/>
      <c r="D2034" s="87" t="str">
        <f>CONCATENATE(PROPER('DASMA INFO'!$G2034),", ",PROPER('DASMA INFO'!$E2034)," ",PROPER('DASMA INFO'!$F2034),"."," (",UPPER('DASMA INFO'!$H2034),")")</f>
        <v>Lechico, Jorge Rodriguez. ()</v>
      </c>
      <c r="E2034" s="87" t="s">
        <v>286</v>
      </c>
      <c r="F2034" s="87" t="s">
        <v>2699</v>
      </c>
      <c r="G2034" s="87" t="s">
        <v>787</v>
      </c>
      <c r="H2034" s="87"/>
      <c r="I2034" s="105">
        <v>0.12</v>
      </c>
      <c r="J2034" s="106">
        <v>1000.0</v>
      </c>
      <c r="K2034" s="89" t="s">
        <v>3494</v>
      </c>
      <c r="L2034" s="89"/>
      <c r="M2034" s="89"/>
      <c r="N2034" s="90"/>
    </row>
    <row r="2035" ht="30.0" hidden="1" customHeight="1">
      <c r="A2035" s="86">
        <v>2054.0</v>
      </c>
      <c r="B2035" s="86"/>
      <c r="C2035" s="86"/>
      <c r="D2035" s="87" t="str">
        <f>CONCATENATE(PROPER('DASMA INFO'!$G2035),", ",PROPER('DASMA INFO'!$E2035)," ",PROPER('DASMA INFO'!$F2035),"."," (",UPPER('DASMA INFO'!$H2035),")")</f>
        <v>Salvador, Johnver Santos. ()</v>
      </c>
      <c r="E2035" s="87" t="s">
        <v>899</v>
      </c>
      <c r="F2035" s="87" t="s">
        <v>204</v>
      </c>
      <c r="G2035" s="87" t="s">
        <v>900</v>
      </c>
      <c r="H2035" s="87"/>
      <c r="I2035" s="105">
        <v>0.12</v>
      </c>
      <c r="J2035" s="106">
        <v>1000.0</v>
      </c>
      <c r="K2035" s="89" t="s">
        <v>3494</v>
      </c>
      <c r="L2035" s="89"/>
      <c r="M2035" s="89"/>
      <c r="N2035" s="90"/>
    </row>
    <row r="2036" ht="30.0" hidden="1" customHeight="1">
      <c r="A2036" s="86">
        <v>2055.0</v>
      </c>
      <c r="B2036" s="86"/>
      <c r="C2036" s="86"/>
      <c r="D2036" s="87" t="str">
        <f>CONCATENATE(PROPER('DASMA INFO'!$G2036),", ",PROPER('DASMA INFO'!$E2036)," ",PROPER('DASMA INFO'!$F2036),"."," (",UPPER('DASMA INFO'!$H2036),")")</f>
        <v>Camungay, Anthony Domingo. ()</v>
      </c>
      <c r="E2036" s="87" t="s">
        <v>360</v>
      </c>
      <c r="F2036" s="87" t="s">
        <v>1331</v>
      </c>
      <c r="G2036" s="87" t="s">
        <v>3597</v>
      </c>
      <c r="H2036" s="87"/>
      <c r="I2036" s="105">
        <v>0.05</v>
      </c>
      <c r="J2036" s="106">
        <v>1000.0</v>
      </c>
      <c r="K2036" s="89" t="s">
        <v>3615</v>
      </c>
      <c r="L2036" s="89" t="s">
        <v>94</v>
      </c>
      <c r="M2036" s="89">
        <v>2017.0</v>
      </c>
      <c r="N2036" s="90"/>
    </row>
    <row r="2037" ht="30.0" hidden="1" customHeight="1">
      <c r="A2037" s="86">
        <v>2056.0</v>
      </c>
      <c r="B2037" s="86"/>
      <c r="C2037" s="86"/>
      <c r="D2037" s="87" t="str">
        <f>CONCATENATE(PROPER('DASMA INFO'!$G2037),", ",PROPER('DASMA INFO'!$E2037)," ",PROPER('DASMA INFO'!$F2037),"."," (",UPPER('DASMA INFO'!$H2037),")")</f>
        <v>Tolosa, Violeta Enriquez. ()</v>
      </c>
      <c r="E2037" s="87" t="s">
        <v>1827</v>
      </c>
      <c r="F2037" s="87" t="s">
        <v>1617</v>
      </c>
      <c r="G2037" s="87" t="s">
        <v>3616</v>
      </c>
      <c r="H2037" s="87"/>
      <c r="I2037" s="105">
        <v>0.12</v>
      </c>
      <c r="J2037" s="106">
        <v>1000.0</v>
      </c>
      <c r="K2037" s="89" t="s">
        <v>3494</v>
      </c>
      <c r="L2037" s="89"/>
      <c r="M2037" s="89"/>
      <c r="N2037" s="90"/>
    </row>
    <row r="2038" ht="30.0" hidden="1" customHeight="1">
      <c r="A2038" s="86">
        <v>2057.0</v>
      </c>
      <c r="B2038" s="86"/>
      <c r="C2038" s="86"/>
      <c r="D2038" s="87" t="str">
        <f>CONCATENATE(PROPER('DASMA INFO'!$G2038),", ",PROPER('DASMA INFO'!$E2038)," ",PROPER('DASMA INFO'!$F2038),"."," (",UPPER('DASMA INFO'!$H2038),")")</f>
        <v>Imperial, Marian Silverio. ()</v>
      </c>
      <c r="E2038" s="87" t="s">
        <v>811</v>
      </c>
      <c r="F2038" s="87" t="s">
        <v>813</v>
      </c>
      <c r="G2038" s="87" t="s">
        <v>812</v>
      </c>
      <c r="H2038" s="87"/>
      <c r="I2038" s="105">
        <v>0.12</v>
      </c>
      <c r="J2038" s="106">
        <v>1000.0</v>
      </c>
      <c r="K2038" s="89" t="s">
        <v>1053</v>
      </c>
      <c r="L2038" s="89"/>
      <c r="M2038" s="89"/>
      <c r="N2038" s="90"/>
    </row>
    <row r="2039" ht="30.0" hidden="1" customHeight="1">
      <c r="A2039" s="86">
        <v>2058.0</v>
      </c>
      <c r="B2039" s="86"/>
      <c r="C2039" s="86"/>
      <c r="D2039" s="87" t="str">
        <f>CONCATENATE(PROPER('DASMA INFO'!$G2039),", ",PROPER('DASMA INFO'!$E2039)," ",PROPER('DASMA INFO'!$F2039),"."," (",UPPER('DASMA INFO'!$H2039),")")</f>
        <v>Caspe, Betty Abucay. ()</v>
      </c>
      <c r="E2039" s="87" t="s">
        <v>838</v>
      </c>
      <c r="F2039" s="87" t="s">
        <v>3617</v>
      </c>
      <c r="G2039" s="87" t="s">
        <v>839</v>
      </c>
      <c r="H2039" s="87"/>
      <c r="I2039" s="105">
        <v>0.12</v>
      </c>
      <c r="J2039" s="106">
        <v>1000.0</v>
      </c>
      <c r="K2039" s="89" t="s">
        <v>1053</v>
      </c>
      <c r="L2039" s="89"/>
      <c r="M2039" s="89"/>
      <c r="N2039" s="90"/>
    </row>
    <row r="2040" ht="30.0" hidden="1" customHeight="1">
      <c r="A2040" s="86">
        <v>2059.0</v>
      </c>
      <c r="B2040" s="86"/>
      <c r="C2040" s="86"/>
      <c r="D2040" s="87" t="str">
        <f>CONCATENATE(PROPER('DASMA INFO'!$G2040),", ",PROPER('DASMA INFO'!$E2040)," ",PROPER('DASMA INFO'!$F2040),"."," (",UPPER('DASMA INFO'!$H2040),")")</f>
        <v>Mina, Joneal Salazar. ()</v>
      </c>
      <c r="E2040" s="87" t="s">
        <v>3618</v>
      </c>
      <c r="F2040" s="87" t="s">
        <v>1783</v>
      </c>
      <c r="G2040" s="87" t="s">
        <v>2191</v>
      </c>
      <c r="H2040" s="87"/>
      <c r="I2040" s="105">
        <v>0.12</v>
      </c>
      <c r="J2040" s="106">
        <v>1000.0</v>
      </c>
      <c r="K2040" s="89" t="s">
        <v>3619</v>
      </c>
      <c r="L2040" s="89"/>
      <c r="M2040" s="89"/>
      <c r="N2040" s="90"/>
    </row>
    <row r="2041" ht="30.0" hidden="1" customHeight="1">
      <c r="A2041" s="86">
        <v>2060.0</v>
      </c>
      <c r="B2041" s="86"/>
      <c r="C2041" s="86"/>
      <c r="D2041" s="87" t="str">
        <f>CONCATENATE(PROPER('DASMA INFO'!$G2041),", ",PROPER('DASMA INFO'!$E2041)," ",PROPER('DASMA INFO'!$F2041),"."," (",UPPER('DASMA INFO'!$H2041),")")</f>
        <v>Tadeo, Elmer Martinez. ()</v>
      </c>
      <c r="E2041" s="87" t="s">
        <v>3620</v>
      </c>
      <c r="F2041" s="87" t="s">
        <v>831</v>
      </c>
      <c r="G2041" s="87" t="s">
        <v>3621</v>
      </c>
      <c r="H2041" s="87"/>
      <c r="I2041" s="105">
        <v>0.12</v>
      </c>
      <c r="J2041" s="106">
        <v>1000.0</v>
      </c>
      <c r="K2041" s="89" t="s">
        <v>3494</v>
      </c>
      <c r="L2041" s="89"/>
      <c r="M2041" s="89"/>
      <c r="N2041" s="90"/>
    </row>
    <row r="2042" ht="30.0" hidden="1" customHeight="1">
      <c r="A2042" s="86">
        <v>2061.0</v>
      </c>
      <c r="B2042" s="86"/>
      <c r="C2042" s="86"/>
      <c r="D2042" s="87" t="str">
        <f>CONCATENATE(PROPER('DASMA INFO'!$G2042),", ",PROPER('DASMA INFO'!$E2042)," ",PROPER('DASMA INFO'!$F2042),"."," (",UPPER('DASMA INFO'!$H2042),")")</f>
        <v>Canones, Gemma Demayo. ()</v>
      </c>
      <c r="E2042" s="87" t="s">
        <v>1222</v>
      </c>
      <c r="F2042" s="87" t="s">
        <v>3622</v>
      </c>
      <c r="G2042" s="87" t="s">
        <v>3623</v>
      </c>
      <c r="H2042" s="87"/>
      <c r="I2042" s="105">
        <v>0.12</v>
      </c>
      <c r="J2042" s="106">
        <v>1000.0</v>
      </c>
      <c r="K2042" s="89" t="s">
        <v>1144</v>
      </c>
      <c r="L2042" s="89"/>
      <c r="M2042" s="89"/>
      <c r="N2042" s="90"/>
    </row>
    <row r="2043" ht="30.0" hidden="1" customHeight="1">
      <c r="A2043" s="86">
        <v>2062.0</v>
      </c>
      <c r="B2043" s="86"/>
      <c r="C2043" s="86"/>
      <c r="D2043" s="87" t="str">
        <f>CONCATENATE(PROPER('DASMA INFO'!$G2043),", ",PROPER('DASMA INFO'!$E2043)," ",PROPER('DASMA INFO'!$F2043),"."," (",UPPER('DASMA INFO'!$H2043),")")</f>
        <v>Diamante, Marife Zafe. ()</v>
      </c>
      <c r="E2043" s="87" t="s">
        <v>3624</v>
      </c>
      <c r="F2043" s="87" t="s">
        <v>3625</v>
      </c>
      <c r="G2043" s="87" t="s">
        <v>3173</v>
      </c>
      <c r="H2043" s="87"/>
      <c r="I2043" s="105">
        <v>0.12</v>
      </c>
      <c r="J2043" s="106">
        <v>1000.0</v>
      </c>
      <c r="K2043" s="89" t="s">
        <v>2979</v>
      </c>
      <c r="L2043" s="89"/>
      <c r="M2043" s="89"/>
      <c r="N2043" s="90"/>
    </row>
    <row r="2044" ht="30.0" hidden="1" customHeight="1">
      <c r="A2044" s="86">
        <v>2063.0</v>
      </c>
      <c r="B2044" s="86"/>
      <c r="C2044" s="86"/>
      <c r="D2044" s="87" t="str">
        <f>CONCATENATE(PROPER('DASMA INFO'!$G2044),", ",PROPER('DASMA INFO'!$E2044)," ",PROPER('DASMA INFO'!$F2044),"."," (",UPPER('DASMA INFO'!$H2044),")")</f>
        <v>Gonzales, Margareth Beunacosa. ()</v>
      </c>
      <c r="E2044" s="87" t="s">
        <v>3626</v>
      </c>
      <c r="F2044" s="87" t="s">
        <v>3627</v>
      </c>
      <c r="G2044" s="87" t="s">
        <v>394</v>
      </c>
      <c r="H2044" s="87"/>
      <c r="I2044" s="105">
        <v>0.12</v>
      </c>
      <c r="J2044" s="106">
        <v>1000.0</v>
      </c>
      <c r="K2044" s="89" t="s">
        <v>1144</v>
      </c>
      <c r="L2044" s="89"/>
      <c r="M2044" s="89"/>
      <c r="N2044" s="90"/>
    </row>
    <row r="2045" ht="30.0" hidden="1" customHeight="1">
      <c r="A2045" s="86">
        <v>2064.0</v>
      </c>
      <c r="B2045" s="86"/>
      <c r="C2045" s="86"/>
      <c r="D2045" s="87" t="str">
        <f>CONCATENATE(PROPER('DASMA INFO'!$G2045),", ",PROPER('DASMA INFO'!$E2045)," ",PROPER('DASMA INFO'!$F2045),"."," (",UPPER('DASMA INFO'!$H2045),")")</f>
        <v>Yabut, Marvin A. ()</v>
      </c>
      <c r="E2045" s="87" t="s">
        <v>809</v>
      </c>
      <c r="F2045" s="87" t="s">
        <v>427</v>
      </c>
      <c r="G2045" s="87" t="s">
        <v>810</v>
      </c>
      <c r="H2045" s="87"/>
      <c r="I2045" s="105">
        <v>0.12</v>
      </c>
      <c r="J2045" s="106">
        <v>1000.0</v>
      </c>
      <c r="K2045" s="89" t="s">
        <v>2979</v>
      </c>
      <c r="L2045" s="89"/>
      <c r="M2045" s="89"/>
      <c r="N2045" s="90"/>
    </row>
    <row r="2046" ht="30.0" hidden="1" customHeight="1">
      <c r="A2046" s="111">
        <v>2065.0</v>
      </c>
      <c r="B2046" s="111"/>
      <c r="C2046" s="111"/>
      <c r="D2046" s="112" t="str">
        <f>CONCATENATE(PROPER('DASMA INFO'!$G2046),", ",PROPER('DASMA INFO'!$E2046)," ",PROPER('DASMA INFO'!$F2046),"."," (",UPPER('DASMA INFO'!$H2046),")")</f>
        <v>Reyes, Teresa Cabrera. ()</v>
      </c>
      <c r="E2046" s="112" t="s">
        <v>1428</v>
      </c>
      <c r="F2046" s="112" t="s">
        <v>678</v>
      </c>
      <c r="G2046" s="112" t="s">
        <v>122</v>
      </c>
      <c r="H2046" s="112"/>
      <c r="I2046" s="113">
        <v>0.12</v>
      </c>
      <c r="J2046" s="114">
        <v>1000.0</v>
      </c>
      <c r="K2046" s="115"/>
      <c r="L2046" s="115"/>
      <c r="M2046" s="115"/>
      <c r="N2046" s="116" t="s">
        <v>3628</v>
      </c>
    </row>
    <row r="2047" ht="30.0" hidden="1" customHeight="1">
      <c r="A2047" s="86">
        <v>2066.0</v>
      </c>
      <c r="B2047" s="86"/>
      <c r="C2047" s="86"/>
      <c r="D2047" s="87" t="str">
        <f>CONCATENATE(PROPER('DASMA INFO'!$G2047),", ",PROPER('DASMA INFO'!$E2047)," ",PROPER('DASMA INFO'!$F2047),"."," (",UPPER('DASMA INFO'!$H2047),")")</f>
        <v>Marquez, Marlorenevin Maglanoc. ()</v>
      </c>
      <c r="E2047" s="87" t="s">
        <v>886</v>
      </c>
      <c r="F2047" s="87" t="s">
        <v>3629</v>
      </c>
      <c r="G2047" s="87" t="s">
        <v>751</v>
      </c>
      <c r="H2047" s="87"/>
      <c r="I2047" s="105">
        <v>0.05</v>
      </c>
      <c r="J2047" s="106">
        <v>1000.0</v>
      </c>
      <c r="K2047" s="89" t="s">
        <v>50</v>
      </c>
      <c r="L2047" s="89" t="s">
        <v>465</v>
      </c>
      <c r="M2047" s="89">
        <v>2022.0</v>
      </c>
      <c r="N2047" s="90"/>
    </row>
    <row r="2048" ht="30.0" hidden="1" customHeight="1">
      <c r="A2048" s="86">
        <v>2067.0</v>
      </c>
      <c r="B2048" s="86"/>
      <c r="C2048" s="86"/>
      <c r="D2048" s="87" t="str">
        <f>CONCATENATE(PROPER('DASMA INFO'!$G2048),", ",PROPER('DASMA INFO'!$E2048)," ",PROPER('DASMA INFO'!$F2048),"."," (",UPPER('DASMA INFO'!$H2048),")")</f>
        <v>Escudero, Negilyn Malabanan. ()</v>
      </c>
      <c r="E2048" s="87" t="s">
        <v>3630</v>
      </c>
      <c r="F2048" s="87" t="s">
        <v>2046</v>
      </c>
      <c r="G2048" s="87" t="s">
        <v>3631</v>
      </c>
      <c r="H2048" s="87"/>
      <c r="I2048" s="105">
        <v>0.05</v>
      </c>
      <c r="J2048" s="106">
        <v>1000.0</v>
      </c>
      <c r="K2048" s="89" t="s">
        <v>50</v>
      </c>
      <c r="L2048" s="89" t="s">
        <v>816</v>
      </c>
      <c r="M2048" s="89">
        <v>2021.0</v>
      </c>
      <c r="N2048" s="90"/>
    </row>
    <row r="2049" ht="30.0" hidden="1" customHeight="1">
      <c r="A2049" s="86">
        <v>2068.0</v>
      </c>
      <c r="B2049" s="86"/>
      <c r="C2049" s="86"/>
      <c r="D2049" s="87" t="str">
        <f>CONCATENATE(PROPER('DASMA INFO'!$G2049),", ",PROPER('DASMA INFO'!$E2049)," ",PROPER('DASMA INFO'!$F2049),"."," (",UPPER('DASMA INFO'!$H2049),")")</f>
        <v>Salle, Hara Dyne Rance. ()</v>
      </c>
      <c r="E2049" s="87" t="s">
        <v>3632</v>
      </c>
      <c r="F2049" s="87" t="s">
        <v>3152</v>
      </c>
      <c r="G2049" s="87" t="s">
        <v>3151</v>
      </c>
      <c r="H2049" s="87"/>
      <c r="I2049" s="105">
        <v>0.05</v>
      </c>
      <c r="J2049" s="106">
        <v>1000.0</v>
      </c>
      <c r="K2049" s="89" t="s">
        <v>50</v>
      </c>
      <c r="L2049" s="89" t="s">
        <v>81</v>
      </c>
      <c r="M2049" s="89">
        <v>2022.0</v>
      </c>
      <c r="N2049" s="90"/>
    </row>
    <row r="2050" ht="30.0" hidden="1" customHeight="1">
      <c r="A2050" s="86">
        <v>2069.0</v>
      </c>
      <c r="B2050" s="86"/>
      <c r="C2050" s="86"/>
      <c r="D2050" s="87" t="str">
        <f>CONCATENATE(PROPER('DASMA INFO'!$G2050),", ",PROPER('DASMA INFO'!$E2050)," ",PROPER('DASMA INFO'!$F2050),"."," (",UPPER('DASMA INFO'!$H2050),")")</f>
        <v>Rellosa, Sherry Wenzel Roxas. ()</v>
      </c>
      <c r="E2050" s="87" t="s">
        <v>3633</v>
      </c>
      <c r="F2050" s="87" t="s">
        <v>110</v>
      </c>
      <c r="G2050" s="87" t="s">
        <v>3634</v>
      </c>
      <c r="H2050" s="87"/>
      <c r="I2050" s="105">
        <v>0.12</v>
      </c>
      <c r="J2050" s="106">
        <v>1000.0</v>
      </c>
      <c r="K2050" s="89" t="s">
        <v>3494</v>
      </c>
      <c r="L2050" s="89"/>
      <c r="M2050" s="89"/>
      <c r="N2050" s="90"/>
    </row>
    <row r="2051" ht="30.0" hidden="1" customHeight="1">
      <c r="A2051" s="86">
        <v>2070.0</v>
      </c>
      <c r="B2051" s="86"/>
      <c r="C2051" s="86"/>
      <c r="D2051" s="87" t="str">
        <f>CONCATENATE(PROPER('DASMA INFO'!$G2051),", ",PROPER('DASMA INFO'!$E2051)," ",PROPER('DASMA INFO'!$F2051),"."," (",UPPER('DASMA INFO'!$H2051),")")</f>
        <v>Llanes, Loida Montes. ()</v>
      </c>
      <c r="E2051" s="87" t="s">
        <v>1630</v>
      </c>
      <c r="F2051" s="87" t="s">
        <v>3635</v>
      </c>
      <c r="G2051" s="87" t="s">
        <v>3636</v>
      </c>
      <c r="H2051" s="87"/>
      <c r="I2051" s="105">
        <v>0.12</v>
      </c>
      <c r="J2051" s="106">
        <v>1000.0</v>
      </c>
      <c r="K2051" s="89" t="s">
        <v>1144</v>
      </c>
      <c r="L2051" s="89"/>
      <c r="M2051" s="89"/>
      <c r="N2051" s="90"/>
    </row>
    <row r="2052" ht="30.0" hidden="1" customHeight="1">
      <c r="A2052" s="86">
        <v>2071.0</v>
      </c>
      <c r="B2052" s="86"/>
      <c r="C2052" s="86"/>
      <c r="D2052" s="87" t="str">
        <f>CONCATENATE(PROPER('DASMA INFO'!$G2052),", ",PROPER('DASMA INFO'!$E2052)," ",PROPER('DASMA INFO'!$F2052),"."," (",UPPER('DASMA INFO'!$H2052),")")</f>
        <v>Abris, Jinky Mijares. ()</v>
      </c>
      <c r="E2052" s="87" t="s">
        <v>3637</v>
      </c>
      <c r="F2052" s="87" t="s">
        <v>3638</v>
      </c>
      <c r="G2052" s="87" t="s">
        <v>3639</v>
      </c>
      <c r="H2052" s="87"/>
      <c r="I2052" s="105">
        <v>0.12</v>
      </c>
      <c r="J2052" s="106">
        <v>1000.0</v>
      </c>
      <c r="K2052" s="89" t="s">
        <v>1144</v>
      </c>
      <c r="L2052" s="89"/>
      <c r="M2052" s="89"/>
      <c r="N2052" s="90"/>
    </row>
    <row r="2053" ht="30.0" hidden="1" customHeight="1">
      <c r="A2053" s="86">
        <v>2072.0</v>
      </c>
      <c r="B2053" s="86"/>
      <c r="C2053" s="86"/>
      <c r="D2053" s="87" t="str">
        <f>CONCATENATE(PROPER('DASMA INFO'!$G2053),", ",PROPER('DASMA INFO'!$E2053)," ",PROPER('DASMA INFO'!$F2053),"."," (",UPPER('DASMA INFO'!$H2053),")")</f>
        <v>Kho, Robert Liao. ()</v>
      </c>
      <c r="E2053" s="87" t="s">
        <v>320</v>
      </c>
      <c r="F2053" s="87" t="s">
        <v>3640</v>
      </c>
      <c r="G2053" s="87" t="s">
        <v>2014</v>
      </c>
      <c r="H2053" s="87"/>
      <c r="I2053" s="105">
        <v>0.05</v>
      </c>
      <c r="J2053" s="106">
        <v>1000.0</v>
      </c>
      <c r="K2053" s="89" t="s">
        <v>50</v>
      </c>
      <c r="L2053" s="89" t="s">
        <v>3641</v>
      </c>
      <c r="M2053" s="89">
        <v>2021.0</v>
      </c>
      <c r="N2053" s="90"/>
    </row>
    <row r="2054" ht="30.0" hidden="1" customHeight="1">
      <c r="A2054" s="86">
        <v>2073.0</v>
      </c>
      <c r="B2054" s="86"/>
      <c r="C2054" s="86"/>
      <c r="D2054" s="87" t="str">
        <f>CONCATENATE(PROPER('DASMA INFO'!$G2054),", ",PROPER('DASMA INFO'!$E2054)," ",PROPER('DASMA INFO'!$F2054),"."," (",UPPER('DASMA INFO'!$H2054),")")</f>
        <v>Rupido, Noel Callevas. ()</v>
      </c>
      <c r="E2054" s="87" t="s">
        <v>784</v>
      </c>
      <c r="F2054" s="87" t="s">
        <v>3642</v>
      </c>
      <c r="G2054" s="87" t="s">
        <v>3575</v>
      </c>
      <c r="H2054" s="87"/>
      <c r="I2054" s="105">
        <v>0.05</v>
      </c>
      <c r="J2054" s="106">
        <v>1000.0</v>
      </c>
      <c r="K2054" s="89" t="s">
        <v>50</v>
      </c>
      <c r="L2054" s="89" t="s">
        <v>480</v>
      </c>
      <c r="M2054" s="89">
        <v>2022.0</v>
      </c>
      <c r="N2054" s="90" t="s">
        <v>3643</v>
      </c>
    </row>
    <row r="2055" ht="30.0" hidden="1" customHeight="1">
      <c r="A2055" s="86">
        <v>2074.0</v>
      </c>
      <c r="B2055" s="86"/>
      <c r="C2055" s="86"/>
      <c r="D2055" s="87" t="str">
        <f>CONCATENATE(PROPER('DASMA INFO'!$G2055),", ",PROPER('DASMA INFO'!$E2055)," ",PROPER('DASMA INFO'!$F2055),"."," (",UPPER('DASMA INFO'!$H2055),")")</f>
        <v>Villanueva, Lowell Constantino. ()</v>
      </c>
      <c r="E2055" s="87" t="s">
        <v>3644</v>
      </c>
      <c r="F2055" s="87" t="s">
        <v>3645</v>
      </c>
      <c r="G2055" s="87" t="s">
        <v>454</v>
      </c>
      <c r="H2055" s="87"/>
      <c r="I2055" s="105">
        <v>0.12</v>
      </c>
      <c r="J2055" s="106">
        <v>5000.0</v>
      </c>
      <c r="K2055" s="89" t="s">
        <v>3646</v>
      </c>
      <c r="L2055" s="89"/>
      <c r="M2055" s="89"/>
      <c r="N2055" s="90"/>
    </row>
    <row r="2056" ht="30.0" hidden="1" customHeight="1">
      <c r="A2056" s="86">
        <v>2075.0</v>
      </c>
      <c r="B2056" s="86"/>
      <c r="C2056" s="86"/>
      <c r="D2056" s="87" t="str">
        <f>CONCATENATE(PROPER('DASMA INFO'!$G2056),", ",PROPER('DASMA INFO'!$E2056)," ",PROPER('DASMA INFO'!$F2056),"."," (",UPPER('DASMA INFO'!$H2056),")")</f>
        <v>Caluscusao, Lauro S. ()</v>
      </c>
      <c r="E2056" s="87" t="s">
        <v>3647</v>
      </c>
      <c r="F2056" s="87" t="s">
        <v>342</v>
      </c>
      <c r="G2056" s="87" t="s">
        <v>3648</v>
      </c>
      <c r="H2056" s="87"/>
      <c r="I2056" s="105">
        <v>0.12</v>
      </c>
      <c r="J2056" s="106">
        <v>1000.0</v>
      </c>
      <c r="K2056" s="89" t="s">
        <v>3649</v>
      </c>
      <c r="L2056" s="89"/>
      <c r="M2056" s="89"/>
      <c r="N2056" s="90"/>
    </row>
    <row r="2057" ht="30.0" hidden="1" customHeight="1">
      <c r="A2057" s="86">
        <v>2076.0</v>
      </c>
      <c r="B2057" s="86"/>
      <c r="C2057" s="86"/>
      <c r="D2057" s="87" t="str">
        <f>CONCATENATE(PROPER('DASMA INFO'!$G2057),", ",PROPER('DASMA INFO'!$E2057)," ",PROPER('DASMA INFO'!$F2057),"."," (",UPPER('DASMA INFO'!$H2057),")")</f>
        <v>Zabala, Judith Say. ()</v>
      </c>
      <c r="E2057" s="87" t="s">
        <v>3650</v>
      </c>
      <c r="F2057" s="87" t="s">
        <v>3651</v>
      </c>
      <c r="G2057" s="87" t="s">
        <v>3652</v>
      </c>
      <c r="H2057" s="87"/>
      <c r="I2057" s="105">
        <v>0.12</v>
      </c>
      <c r="J2057" s="106">
        <v>1000.0</v>
      </c>
      <c r="K2057" s="89" t="s">
        <v>1276</v>
      </c>
      <c r="L2057" s="89"/>
      <c r="M2057" s="89"/>
      <c r="N2057" s="90"/>
    </row>
    <row r="2058" ht="30.0" hidden="1" customHeight="1">
      <c r="A2058" s="86">
        <v>2077.0</v>
      </c>
      <c r="B2058" s="86"/>
      <c r="C2058" s="86"/>
      <c r="D2058" s="87" t="str">
        <f>CONCATENATE(PROPER('DASMA INFO'!$G2058),", ",PROPER('DASMA INFO'!$E2058)," ",PROPER('DASMA INFO'!$F2058),"."," (",UPPER('DASMA INFO'!$H2058),")")</f>
        <v>Quezada, Kenneth Evangelista. ()</v>
      </c>
      <c r="E2058" s="87" t="s">
        <v>419</v>
      </c>
      <c r="F2058" s="87" t="s">
        <v>1248</v>
      </c>
      <c r="G2058" s="87" t="s">
        <v>826</v>
      </c>
      <c r="H2058" s="87"/>
      <c r="I2058" s="105">
        <v>0.12</v>
      </c>
      <c r="J2058" s="106">
        <v>1000.0</v>
      </c>
      <c r="K2058" s="89" t="s">
        <v>1596</v>
      </c>
      <c r="L2058" s="89"/>
      <c r="M2058" s="89"/>
      <c r="N2058" s="90"/>
    </row>
    <row r="2059" ht="30.0" hidden="1" customHeight="1">
      <c r="A2059" s="86">
        <v>2078.0</v>
      </c>
      <c r="B2059" s="86"/>
      <c r="C2059" s="86"/>
      <c r="D2059" s="87" t="str">
        <f>CONCATENATE(PROPER('DASMA INFO'!$G2059),", ",PROPER('DASMA INFO'!$E2059)," ",PROPER('DASMA INFO'!$F2059),"."," (",UPPER('DASMA INFO'!$H2059),")")</f>
        <v>Urgel, Glenne Beleno. ()</v>
      </c>
      <c r="E2059" s="87" t="s">
        <v>3653</v>
      </c>
      <c r="F2059" s="87" t="s">
        <v>3654</v>
      </c>
      <c r="G2059" s="87" t="s">
        <v>3655</v>
      </c>
      <c r="H2059" s="87"/>
      <c r="I2059" s="105">
        <v>0.05</v>
      </c>
      <c r="J2059" s="106">
        <v>1000.0</v>
      </c>
      <c r="K2059" s="89"/>
      <c r="L2059" s="89"/>
      <c r="M2059" s="89"/>
      <c r="N2059" s="90" t="s">
        <v>3656</v>
      </c>
    </row>
    <row r="2060" ht="30.0" hidden="1" customHeight="1">
      <c r="A2060" s="86">
        <v>2079.0</v>
      </c>
      <c r="B2060" s="86"/>
      <c r="C2060" s="86"/>
      <c r="D2060" s="87" t="str">
        <f>CONCATENATE(PROPER('DASMA INFO'!$G2060),", ",PROPER('DASMA INFO'!$E2060)," ",PROPER('DASMA INFO'!$F2060),"."," (",UPPER('DASMA INFO'!$H2060),")")</f>
        <v>Sunga, Jeffrey Ferrer. ()</v>
      </c>
      <c r="E2060" s="87" t="s">
        <v>1577</v>
      </c>
      <c r="F2060" s="87" t="s">
        <v>570</v>
      </c>
      <c r="G2060" s="87" t="s">
        <v>3657</v>
      </c>
      <c r="H2060" s="87"/>
      <c r="I2060" s="105">
        <v>0.12</v>
      </c>
      <c r="J2060" s="106">
        <v>1000.0</v>
      </c>
      <c r="K2060" s="89"/>
      <c r="L2060" s="89"/>
      <c r="M2060" s="89"/>
      <c r="N2060" s="90"/>
    </row>
    <row r="2061" ht="30.0" hidden="1" customHeight="1">
      <c r="A2061" s="86">
        <v>2080.0</v>
      </c>
      <c r="B2061" s="86"/>
      <c r="C2061" s="86"/>
      <c r="D2061" s="87" t="str">
        <f>CONCATENATE(PROPER('DASMA INFO'!$G2061),", ",PROPER('DASMA INFO'!$E2061)," ",PROPER('DASMA INFO'!$F2061),"."," (",UPPER('DASMA INFO'!$H2061),")")</f>
        <v>Mantes, Roselyn Ontog. ()</v>
      </c>
      <c r="E2061" s="87" t="s">
        <v>195</v>
      </c>
      <c r="F2061" s="87" t="s">
        <v>3658</v>
      </c>
      <c r="G2061" s="87" t="s">
        <v>3659</v>
      </c>
      <c r="H2061" s="87"/>
      <c r="I2061" s="105">
        <v>0.12</v>
      </c>
      <c r="J2061" s="106">
        <v>1000.0</v>
      </c>
      <c r="K2061" s="89"/>
      <c r="L2061" s="89"/>
      <c r="M2061" s="89"/>
      <c r="N2061" s="90"/>
    </row>
    <row r="2062" ht="30.0" hidden="1" customHeight="1">
      <c r="A2062" s="86">
        <v>2081.0</v>
      </c>
      <c r="B2062" s="86"/>
      <c r="C2062" s="86"/>
      <c r="D2062" s="87" t="str">
        <f>CONCATENATE(PROPER('DASMA INFO'!$G2062),", ",PROPER('DASMA INFO'!$E2062)," ",PROPER('DASMA INFO'!$F2062),"."," (",UPPER('DASMA INFO'!$H2062),")")</f>
        <v>Casane, Mercedita Raga. ()</v>
      </c>
      <c r="E2062" s="87" t="s">
        <v>2129</v>
      </c>
      <c r="F2062" s="87" t="s">
        <v>2436</v>
      </c>
      <c r="G2062" s="87" t="s">
        <v>3660</v>
      </c>
      <c r="H2062" s="87"/>
      <c r="I2062" s="105">
        <v>0.12</v>
      </c>
      <c r="J2062" s="106">
        <v>1000.0</v>
      </c>
      <c r="K2062" s="89"/>
      <c r="L2062" s="89"/>
      <c r="M2062" s="89"/>
      <c r="N2062" s="90"/>
    </row>
    <row r="2063" ht="30.0" hidden="1" customHeight="1">
      <c r="A2063" s="86">
        <v>2082.0</v>
      </c>
      <c r="B2063" s="86"/>
      <c r="C2063" s="86"/>
      <c r="D2063" s="87" t="str">
        <f>CONCATENATE(PROPER('DASMA INFO'!$G2063),", ",PROPER('DASMA INFO'!$E2063)," ",PROPER('DASMA INFO'!$F2063),"."," (",UPPER('DASMA INFO'!$H2063),")")</f>
        <v>Fundal, Jocelyn Pedernal. ()</v>
      </c>
      <c r="E2063" s="87" t="s">
        <v>290</v>
      </c>
      <c r="F2063" s="87" t="s">
        <v>3661</v>
      </c>
      <c r="G2063" s="87" t="s">
        <v>3662</v>
      </c>
      <c r="H2063" s="87"/>
      <c r="I2063" s="105">
        <v>0.05</v>
      </c>
      <c r="J2063" s="106">
        <v>1000.0</v>
      </c>
      <c r="K2063" s="89" t="s">
        <v>50</v>
      </c>
      <c r="L2063" s="89" t="s">
        <v>81</v>
      </c>
      <c r="M2063" s="89">
        <v>2022.0</v>
      </c>
      <c r="N2063" s="90"/>
    </row>
    <row r="2064" ht="30.0" hidden="1" customHeight="1">
      <c r="A2064" s="86">
        <v>2083.0</v>
      </c>
      <c r="B2064" s="86"/>
      <c r="C2064" s="86"/>
      <c r="D2064" s="87" t="str">
        <f>CONCATENATE(PROPER('DASMA INFO'!$G2064),", ",PROPER('DASMA INFO'!$E2064)," ",PROPER('DASMA INFO'!$F2064),"."," (",UPPER('DASMA INFO'!$H2064),")")</f>
        <v>Rollo, Mauricio C. ()</v>
      </c>
      <c r="E2064" s="87" t="s">
        <v>3663</v>
      </c>
      <c r="F2064" s="87" t="s">
        <v>318</v>
      </c>
      <c r="G2064" s="87" t="s">
        <v>3664</v>
      </c>
      <c r="H2064" s="87"/>
      <c r="I2064" s="105">
        <v>0.05</v>
      </c>
      <c r="J2064" s="106">
        <v>1000.0</v>
      </c>
      <c r="K2064" s="89"/>
      <c r="L2064" s="89"/>
      <c r="M2064" s="89"/>
      <c r="N2064" s="90"/>
    </row>
    <row r="2065" ht="30.0" hidden="1" customHeight="1">
      <c r="A2065" s="86">
        <v>2084.0</v>
      </c>
      <c r="B2065" s="86"/>
      <c r="C2065" s="86"/>
      <c r="D2065" s="87" t="str">
        <f>CONCATENATE(PROPER('DASMA INFO'!$G2065),", ",PROPER('DASMA INFO'!$E2065)," ",PROPER('DASMA INFO'!$F2065),"."," (",UPPER('DASMA INFO'!$H2065),")")</f>
        <v>Punzalan, Reynaldo Medina. ()</v>
      </c>
      <c r="E2065" s="87" t="s">
        <v>1028</v>
      </c>
      <c r="F2065" s="87" t="s">
        <v>515</v>
      </c>
      <c r="G2065" s="87" t="s">
        <v>3665</v>
      </c>
      <c r="H2065" s="87"/>
      <c r="I2065" s="105">
        <v>0.05</v>
      </c>
      <c r="J2065" s="106">
        <v>1000.0</v>
      </c>
      <c r="K2065" s="89" t="s">
        <v>3494</v>
      </c>
      <c r="L2065" s="89"/>
      <c r="M2065" s="89"/>
      <c r="N2065" s="90" t="s">
        <v>3666</v>
      </c>
    </row>
    <row r="2066" ht="30.0" hidden="1" customHeight="1">
      <c r="A2066" s="86">
        <v>2085.0</v>
      </c>
      <c r="B2066" s="86"/>
      <c r="C2066" s="86"/>
      <c r="D2066" s="87" t="str">
        <f>CONCATENATE(PROPER('DASMA INFO'!$G2066),", ",PROPER('DASMA INFO'!$E2066)," ",PROPER('DASMA INFO'!$F2066),"."," (",UPPER('DASMA INFO'!$H2066),")")</f>
        <v>Ramirez, Giovanni Delos Santos. ()</v>
      </c>
      <c r="E2066" s="87" t="s">
        <v>3667</v>
      </c>
      <c r="F2066" s="87" t="s">
        <v>346</v>
      </c>
      <c r="G2066" s="87" t="s">
        <v>716</v>
      </c>
      <c r="H2066" s="87"/>
      <c r="I2066" s="105">
        <v>0.12</v>
      </c>
      <c r="J2066" s="106">
        <v>1000.0</v>
      </c>
      <c r="K2066" s="89" t="s">
        <v>3494</v>
      </c>
      <c r="L2066" s="89"/>
      <c r="M2066" s="89"/>
      <c r="N2066" s="90"/>
    </row>
    <row r="2067" ht="30.0" hidden="1" customHeight="1">
      <c r="A2067" s="86">
        <v>2086.0</v>
      </c>
      <c r="B2067" s="86"/>
      <c r="C2067" s="86"/>
      <c r="D2067" s="87" t="str">
        <f>CONCATENATE(PROPER('DASMA INFO'!$G2067),", ",PROPER('DASMA INFO'!$E2067)," ",PROPER('DASMA INFO'!$F2067),"."," (",UPPER('DASMA INFO'!$H2067),")")</f>
        <v>Madamba, Oliveros Dalen. ()</v>
      </c>
      <c r="E2067" s="87" t="s">
        <v>541</v>
      </c>
      <c r="F2067" s="87" t="s">
        <v>3668</v>
      </c>
      <c r="G2067" s="87" t="s">
        <v>3669</v>
      </c>
      <c r="H2067" s="87"/>
      <c r="I2067" s="105">
        <v>0.12</v>
      </c>
      <c r="J2067" s="106">
        <v>1000.0</v>
      </c>
      <c r="K2067" s="89" t="s">
        <v>3027</v>
      </c>
      <c r="L2067" s="89"/>
      <c r="M2067" s="89"/>
      <c r="N2067" s="90"/>
    </row>
    <row r="2068" ht="30.0" hidden="1" customHeight="1">
      <c r="A2068" s="86">
        <v>2087.0</v>
      </c>
      <c r="B2068" s="86"/>
      <c r="C2068" s="86"/>
      <c r="D2068" s="87" t="str">
        <f>CONCATENATE(PROPER('DASMA INFO'!$G2068),", ",PROPER('DASMA INFO'!$E2068)," ",PROPER('DASMA INFO'!$F2068),"."," (",UPPER('DASMA INFO'!$H2068),")")</f>
        <v>Machon, Erick Vargas. ()</v>
      </c>
      <c r="E2068" s="87" t="s">
        <v>1557</v>
      </c>
      <c r="F2068" s="87" t="s">
        <v>2836</v>
      </c>
      <c r="G2068" s="87" t="s">
        <v>3670</v>
      </c>
      <c r="H2068" s="87"/>
      <c r="I2068" s="105">
        <v>0.12</v>
      </c>
      <c r="J2068" s="106">
        <v>1000.0</v>
      </c>
      <c r="K2068" s="89" t="s">
        <v>2979</v>
      </c>
      <c r="L2068" s="89"/>
      <c r="M2068" s="89"/>
      <c r="N2068" s="90"/>
    </row>
    <row r="2069" ht="30.0" hidden="1" customHeight="1">
      <c r="A2069" s="86">
        <v>2088.0</v>
      </c>
      <c r="B2069" s="86"/>
      <c r="C2069" s="86"/>
      <c r="D2069" s="87" t="str">
        <f>CONCATENATE(PROPER('DASMA INFO'!$G2069),", ",PROPER('DASMA INFO'!$E2069)," ",PROPER('DASMA INFO'!$F2069),"."," (",UPPER('DASMA INFO'!$H2069),")")</f>
        <v>Pineda, Larry Cloyd Nambio. ()</v>
      </c>
      <c r="E2069" s="87" t="s">
        <v>3671</v>
      </c>
      <c r="F2069" s="87" t="s">
        <v>3672</v>
      </c>
      <c r="G2069" s="87" t="s">
        <v>2266</v>
      </c>
      <c r="H2069" s="87"/>
      <c r="I2069" s="105">
        <v>0.05</v>
      </c>
      <c r="J2069" s="106">
        <v>1000.0</v>
      </c>
      <c r="K2069" s="89" t="s">
        <v>50</v>
      </c>
      <c r="L2069" s="89" t="s">
        <v>852</v>
      </c>
      <c r="M2069" s="89">
        <v>2022.0</v>
      </c>
      <c r="N2069" s="90"/>
    </row>
    <row r="2070" ht="30.0" hidden="1" customHeight="1">
      <c r="A2070" s="86">
        <v>2089.0</v>
      </c>
      <c r="B2070" s="86"/>
      <c r="C2070" s="86"/>
      <c r="D2070" s="87" t="str">
        <f>CONCATENATE(PROPER('DASMA INFO'!$G2070),", ",PROPER('DASMA INFO'!$E2070)," ",PROPER('DASMA INFO'!$F2070),"."," (",UPPER('DASMA INFO'!$H2070),")")</f>
        <v>Marquez, Ivy Navarro. ()</v>
      </c>
      <c r="E2070" s="87" t="s">
        <v>3121</v>
      </c>
      <c r="F2070" s="87" t="s">
        <v>3110</v>
      </c>
      <c r="G2070" s="87" t="s">
        <v>751</v>
      </c>
      <c r="H2070" s="87"/>
      <c r="I2070" s="105">
        <v>0.05</v>
      </c>
      <c r="J2070" s="106">
        <v>1000.0</v>
      </c>
      <c r="K2070" s="89" t="s">
        <v>50</v>
      </c>
      <c r="L2070" s="89" t="s">
        <v>480</v>
      </c>
      <c r="M2070" s="89">
        <v>2021.0</v>
      </c>
      <c r="N2070" s="90"/>
    </row>
    <row r="2071" ht="30.0" hidden="1" customHeight="1">
      <c r="A2071" s="86">
        <v>2090.0</v>
      </c>
      <c r="B2071" s="86"/>
      <c r="C2071" s="86"/>
      <c r="D2071" s="87" t="str">
        <f>CONCATENATE(PROPER('DASMA INFO'!$G2071),", ",PROPER('DASMA INFO'!$E2071)," ",PROPER('DASMA INFO'!$F2071),"."," (",UPPER('DASMA INFO'!$H2071),")")</f>
        <v>Fernandez, Homen P. ()</v>
      </c>
      <c r="E2071" s="87" t="s">
        <v>3673</v>
      </c>
      <c r="F2071" s="87" t="s">
        <v>513</v>
      </c>
      <c r="G2071" s="87" t="s">
        <v>762</v>
      </c>
      <c r="H2071" s="87"/>
      <c r="I2071" s="105">
        <v>0.12</v>
      </c>
      <c r="J2071" s="106">
        <v>1000.0</v>
      </c>
      <c r="K2071" s="89" t="s">
        <v>1053</v>
      </c>
      <c r="L2071" s="89"/>
      <c r="M2071" s="89"/>
      <c r="N2071" s="90"/>
    </row>
    <row r="2072" ht="30.0" hidden="1" customHeight="1">
      <c r="A2072" s="86">
        <v>2091.0</v>
      </c>
      <c r="B2072" s="86"/>
      <c r="C2072" s="86"/>
      <c r="D2072" s="87" t="str">
        <f>CONCATENATE(PROPER('DASMA INFO'!$G2072),", ",PROPER('DASMA INFO'!$E2072)," ",PROPER('DASMA INFO'!$F2072),"."," (",UPPER('DASMA INFO'!$H2072),")")</f>
        <v>Dela Cuesta, Nicanor Macasaet. ()</v>
      </c>
      <c r="E2072" s="87" t="s">
        <v>2864</v>
      </c>
      <c r="F2072" s="87" t="s">
        <v>3674</v>
      </c>
      <c r="G2072" s="87" t="s">
        <v>1155</v>
      </c>
      <c r="H2072" s="87"/>
      <c r="I2072" s="105">
        <v>0.05</v>
      </c>
      <c r="J2072" s="106">
        <v>1000.0</v>
      </c>
      <c r="K2072" s="89" t="s">
        <v>50</v>
      </c>
      <c r="L2072" s="89" t="s">
        <v>3641</v>
      </c>
      <c r="M2072" s="89">
        <v>2020.0</v>
      </c>
      <c r="N2072" s="90"/>
    </row>
    <row r="2073" ht="30.0" hidden="1" customHeight="1">
      <c r="A2073" s="86">
        <v>2092.0</v>
      </c>
      <c r="B2073" s="86"/>
      <c r="C2073" s="86"/>
      <c r="D2073" s="87" t="str">
        <f>CONCATENATE(PROPER('DASMA INFO'!$G2073),", ",PROPER('DASMA INFO'!$E2073)," ",PROPER('DASMA INFO'!$F2073),"."," (",UPPER('DASMA INFO'!$H2073),")")</f>
        <v>Lim, Joyce Regaton. ()</v>
      </c>
      <c r="E2073" s="87" t="s">
        <v>1176</v>
      </c>
      <c r="F2073" s="87" t="s">
        <v>3675</v>
      </c>
      <c r="G2073" s="87" t="s">
        <v>611</v>
      </c>
      <c r="H2073" s="87"/>
      <c r="I2073" s="105">
        <v>0.12</v>
      </c>
      <c r="J2073" s="106">
        <v>1000.0</v>
      </c>
      <c r="K2073" s="89" t="s">
        <v>3676</v>
      </c>
      <c r="L2073" s="89"/>
      <c r="M2073" s="89"/>
      <c r="N2073" s="90"/>
    </row>
    <row r="2074" ht="30.0" hidden="1" customHeight="1">
      <c r="A2074" s="86">
        <v>2093.0</v>
      </c>
      <c r="B2074" s="86"/>
      <c r="C2074" s="86"/>
      <c r="D2074" s="87" t="str">
        <f>CONCATENATE(PROPER('DASMA INFO'!$G2074),", ",PROPER('DASMA INFO'!$E2074)," ",PROPER('DASMA INFO'!$F2074),"."," (",UPPER('DASMA INFO'!$H2074),")")</f>
        <v>Fernando, Rosanno Manzano. ()</v>
      </c>
      <c r="E2074" s="87" t="s">
        <v>3677</v>
      </c>
      <c r="F2074" s="87" t="s">
        <v>1835</v>
      </c>
      <c r="G2074" s="87" t="s">
        <v>414</v>
      </c>
      <c r="H2074" s="87"/>
      <c r="I2074" s="105">
        <v>0.12</v>
      </c>
      <c r="J2074" s="106">
        <v>1000.0</v>
      </c>
      <c r="K2074" s="89" t="s">
        <v>2979</v>
      </c>
      <c r="L2074" s="89"/>
      <c r="M2074" s="89"/>
      <c r="N2074" s="90"/>
    </row>
    <row r="2075" ht="30.0" hidden="1" customHeight="1">
      <c r="A2075" s="86">
        <v>2094.0</v>
      </c>
      <c r="B2075" s="86"/>
      <c r="C2075" s="86"/>
      <c r="D2075" s="87" t="str">
        <f>CONCATENATE(PROPER('DASMA INFO'!$G2075),", ",PROPER('DASMA INFO'!$E2075)," ",PROPER('DASMA INFO'!$F2075),"."," (",UPPER('DASMA INFO'!$H2075),")")</f>
        <v>Villena, Leah Vi Albus. ()</v>
      </c>
      <c r="E2075" s="87" t="s">
        <v>3678</v>
      </c>
      <c r="F2075" s="87" t="s">
        <v>1113</v>
      </c>
      <c r="G2075" s="87" t="s">
        <v>3679</v>
      </c>
      <c r="H2075" s="87"/>
      <c r="I2075" s="105">
        <v>0.12</v>
      </c>
      <c r="J2075" s="106">
        <v>1000.0</v>
      </c>
      <c r="K2075" s="89" t="s">
        <v>2950</v>
      </c>
      <c r="L2075" s="89"/>
      <c r="M2075" s="89"/>
      <c r="N2075" s="90"/>
    </row>
    <row r="2076" ht="30.0" hidden="1" customHeight="1">
      <c r="A2076" s="86">
        <v>2095.0</v>
      </c>
      <c r="B2076" s="86"/>
      <c r="C2076" s="86"/>
      <c r="D2076" s="87" t="str">
        <f>CONCATENATE(PROPER('DASMA INFO'!$G2076),", ",PROPER('DASMA INFO'!$E2076)," ",PROPER('DASMA INFO'!$F2076),"."," (",UPPER('DASMA INFO'!$H2076),")")</f>
        <v>Robledo, Lea Parohinog. ()</v>
      </c>
      <c r="E2076" s="87" t="s">
        <v>666</v>
      </c>
      <c r="F2076" s="87" t="s">
        <v>3680</v>
      </c>
      <c r="G2076" s="87" t="s">
        <v>3681</v>
      </c>
      <c r="H2076" s="87"/>
      <c r="I2076" s="105">
        <v>0.05</v>
      </c>
      <c r="J2076" s="106">
        <v>1000.0</v>
      </c>
      <c r="K2076" s="89" t="s">
        <v>50</v>
      </c>
      <c r="L2076" s="89" t="s">
        <v>3495</v>
      </c>
      <c r="M2076" s="89">
        <v>2021.0</v>
      </c>
      <c r="N2076" s="90"/>
    </row>
    <row r="2077" ht="30.0" hidden="1" customHeight="1">
      <c r="A2077" s="86">
        <v>2096.0</v>
      </c>
      <c r="B2077" s="86"/>
      <c r="C2077" s="86"/>
      <c r="D2077" s="87" t="str">
        <f>CONCATENATE(PROPER('DASMA INFO'!$G2077),", ",PROPER('DASMA INFO'!$E2077)," ",PROPER('DASMA INFO'!$F2077),"."," (",UPPER('DASMA INFO'!$H2077),")")</f>
        <v>Sabalbaro, Ricardo Jr. Palomares. ()</v>
      </c>
      <c r="E2077" s="87" t="s">
        <v>3682</v>
      </c>
      <c r="F2077" s="87" t="s">
        <v>98</v>
      </c>
      <c r="G2077" s="87" t="s">
        <v>3683</v>
      </c>
      <c r="H2077" s="87"/>
      <c r="I2077" s="105">
        <v>0.12</v>
      </c>
      <c r="J2077" s="106">
        <v>1000.0</v>
      </c>
      <c r="K2077" s="89" t="s">
        <v>1144</v>
      </c>
      <c r="L2077" s="89"/>
      <c r="M2077" s="89"/>
      <c r="N2077" s="90"/>
    </row>
    <row r="2078" ht="30.0" hidden="1" customHeight="1">
      <c r="A2078" s="86">
        <v>2097.0</v>
      </c>
      <c r="B2078" s="86"/>
      <c r="C2078" s="86"/>
      <c r="D2078" s="87" t="str">
        <f>CONCATENATE(PROPER('DASMA INFO'!$G2078),", ",PROPER('DASMA INFO'!$E2078)," ",PROPER('DASMA INFO'!$F2078),"."," (",UPPER('DASMA INFO'!$H2078),")")</f>
        <v>Dotollo, Maricel Ribaya. ()</v>
      </c>
      <c r="E2078" s="87" t="s">
        <v>1458</v>
      </c>
      <c r="F2078" s="87" t="s">
        <v>3684</v>
      </c>
      <c r="G2078" s="87" t="s">
        <v>3685</v>
      </c>
      <c r="H2078" s="87"/>
      <c r="I2078" s="105">
        <v>0.05</v>
      </c>
      <c r="J2078" s="106">
        <v>1000.0</v>
      </c>
      <c r="K2078" s="89" t="s">
        <v>50</v>
      </c>
      <c r="L2078" s="89" t="s">
        <v>852</v>
      </c>
      <c r="M2078" s="89">
        <v>2020.0</v>
      </c>
      <c r="N2078" s="90" t="s">
        <v>3686</v>
      </c>
    </row>
    <row r="2079" ht="30.0" hidden="1" customHeight="1">
      <c r="A2079" s="86">
        <v>2098.0</v>
      </c>
      <c r="B2079" s="86"/>
      <c r="C2079" s="86"/>
      <c r="D2079" s="87" t="str">
        <f>CONCATENATE(PROPER('DASMA INFO'!$G2079),", ",PROPER('DASMA INFO'!$E2079)," ",PROPER('DASMA INFO'!$F2079),"."," (",UPPER('DASMA INFO'!$H2079),")")</f>
        <v>Alfonso, Danilo Guico. ()</v>
      </c>
      <c r="E2079" s="87" t="s">
        <v>251</v>
      </c>
      <c r="F2079" s="87" t="s">
        <v>3687</v>
      </c>
      <c r="G2079" s="87" t="s">
        <v>572</v>
      </c>
      <c r="H2079" s="87"/>
      <c r="I2079" s="105">
        <v>0.12</v>
      </c>
      <c r="J2079" s="106">
        <v>1000.0</v>
      </c>
      <c r="K2079" s="89" t="s">
        <v>1276</v>
      </c>
      <c r="L2079" s="89"/>
      <c r="M2079" s="89"/>
      <c r="N2079" s="90"/>
    </row>
    <row r="2080" ht="30.0" hidden="1" customHeight="1">
      <c r="A2080" s="86">
        <v>2099.0</v>
      </c>
      <c r="B2080" s="86"/>
      <c r="C2080" s="86"/>
      <c r="D2080" s="87" t="str">
        <f>CONCATENATE(PROPER('DASMA INFO'!$G2080),", ",PROPER('DASMA INFO'!$E2080)," ",PROPER('DASMA INFO'!$F2080),"."," (",UPPER('DASMA INFO'!$H2080),")")</f>
        <v>Fabillar, Emelita Tarusan. ()</v>
      </c>
      <c r="E2080" s="87" t="s">
        <v>2595</v>
      </c>
      <c r="F2080" s="87" t="s">
        <v>3688</v>
      </c>
      <c r="G2080" s="87" t="s">
        <v>3689</v>
      </c>
      <c r="H2080" s="87"/>
      <c r="I2080" s="105">
        <v>0.12</v>
      </c>
      <c r="J2080" s="106">
        <v>1000.0</v>
      </c>
      <c r="K2080" s="89" t="s">
        <v>1816</v>
      </c>
      <c r="L2080" s="89"/>
      <c r="M2080" s="89"/>
      <c r="N2080" s="90"/>
    </row>
    <row r="2081" ht="30.0" hidden="1" customHeight="1">
      <c r="A2081" s="86">
        <v>2100.0</v>
      </c>
      <c r="B2081" s="86"/>
      <c r="C2081" s="86"/>
      <c r="D2081" s="87" t="str">
        <f>CONCATENATE(PROPER('DASMA INFO'!$G2081),", ",PROPER('DASMA INFO'!$E2081)," ",PROPER('DASMA INFO'!$F2081),"."," (",UPPER('DASMA INFO'!$H2081),")")</f>
        <v>Pajenar, Leticia Dadap. ()</v>
      </c>
      <c r="E2081" s="87" t="s">
        <v>140</v>
      </c>
      <c r="F2081" s="87" t="s">
        <v>3690</v>
      </c>
      <c r="G2081" s="87" t="s">
        <v>3691</v>
      </c>
      <c r="H2081" s="87"/>
      <c r="I2081" s="105">
        <v>0.12</v>
      </c>
      <c r="J2081" s="106">
        <v>1000.0</v>
      </c>
      <c r="K2081" s="89" t="s">
        <v>2928</v>
      </c>
      <c r="L2081" s="89"/>
      <c r="M2081" s="89"/>
      <c r="N2081" s="90"/>
    </row>
    <row r="2082" ht="30.0" hidden="1" customHeight="1">
      <c r="A2082" s="86">
        <v>2101.0</v>
      </c>
      <c r="B2082" s="86"/>
      <c r="C2082" s="86"/>
      <c r="D2082" s="87" t="str">
        <f>CONCATENATE(PROPER('DASMA INFO'!$G2082),", ",PROPER('DASMA INFO'!$E2082)," ",PROPER('DASMA INFO'!$F2082),"."," (",UPPER('DASMA INFO'!$H2082),")")</f>
        <v>Untalan, Alexander Mercado. ()</v>
      </c>
      <c r="E2082" s="87" t="s">
        <v>1493</v>
      </c>
      <c r="F2082" s="87" t="s">
        <v>840</v>
      </c>
      <c r="G2082" s="87" t="s">
        <v>3692</v>
      </c>
      <c r="H2082" s="87"/>
      <c r="I2082" s="105">
        <v>0.12</v>
      </c>
      <c r="J2082" s="106">
        <v>1000.0</v>
      </c>
      <c r="K2082" s="89" t="s">
        <v>2979</v>
      </c>
      <c r="L2082" s="89"/>
      <c r="M2082" s="89"/>
      <c r="N2082" s="90"/>
    </row>
    <row r="2083" ht="30.0" hidden="1" customHeight="1">
      <c r="A2083" s="86">
        <v>2102.0</v>
      </c>
      <c r="B2083" s="86"/>
      <c r="C2083" s="86"/>
      <c r="D2083" s="87" t="str">
        <f>CONCATENATE(PROPER('DASMA INFO'!$G2083),", ",PROPER('DASMA INFO'!$E2083)," ",PROPER('DASMA INFO'!$F2083),"."," (",UPPER('DASMA INFO'!$H2083),")")</f>
        <v>Magracia, Veronica Ricalde. ()</v>
      </c>
      <c r="E2083" s="87" t="s">
        <v>1181</v>
      </c>
      <c r="F2083" s="87" t="s">
        <v>3693</v>
      </c>
      <c r="G2083" s="87" t="s">
        <v>3694</v>
      </c>
      <c r="H2083" s="87"/>
      <c r="I2083" s="105">
        <v>0.12</v>
      </c>
      <c r="J2083" s="106">
        <v>1000.0</v>
      </c>
      <c r="K2083" s="89" t="s">
        <v>1276</v>
      </c>
      <c r="L2083" s="89"/>
      <c r="M2083" s="89"/>
      <c r="N2083" s="90"/>
    </row>
    <row r="2084" ht="30.0" hidden="1" customHeight="1">
      <c r="A2084" s="86">
        <v>2103.0</v>
      </c>
      <c r="B2084" s="86"/>
      <c r="C2084" s="86"/>
      <c r="D2084" s="87" t="str">
        <f>CONCATENATE(PROPER('DASMA INFO'!$G2084),", ",PROPER('DASMA INFO'!$E2084)," ",PROPER('DASMA INFO'!$F2084),"."," (",UPPER('DASMA INFO'!$H2084),")")</f>
        <v>Dela Rosa, Amalia Bautista. ()</v>
      </c>
      <c r="E2084" s="87" t="s">
        <v>2498</v>
      </c>
      <c r="F2084" s="87" t="s">
        <v>275</v>
      </c>
      <c r="G2084" s="87" t="s">
        <v>526</v>
      </c>
      <c r="H2084" s="87"/>
      <c r="I2084" s="105">
        <v>0.12</v>
      </c>
      <c r="J2084" s="106">
        <v>1000.0</v>
      </c>
      <c r="K2084" s="89" t="s">
        <v>1053</v>
      </c>
      <c r="L2084" s="89"/>
      <c r="M2084" s="89"/>
      <c r="N2084" s="90"/>
    </row>
    <row r="2085" ht="30.0" hidden="1" customHeight="1">
      <c r="A2085" s="86">
        <v>2104.0</v>
      </c>
      <c r="B2085" s="86"/>
      <c r="C2085" s="86"/>
      <c r="D2085" s="87" t="str">
        <f>CONCATENATE(PROPER('DASMA INFO'!$G2085),", ",PROPER('DASMA INFO'!$E2085)," ",PROPER('DASMA INFO'!$F2085),"."," (",UPPER('DASMA INFO'!$H2085),")")</f>
        <v>Nechaldas, Estrella Martinez. ()</v>
      </c>
      <c r="E2085" s="87" t="s">
        <v>2289</v>
      </c>
      <c r="F2085" s="87" t="s">
        <v>831</v>
      </c>
      <c r="G2085" s="87" t="s">
        <v>3574</v>
      </c>
      <c r="H2085" s="87"/>
      <c r="I2085" s="105">
        <v>0.05</v>
      </c>
      <c r="J2085" s="106">
        <v>1000.0</v>
      </c>
      <c r="K2085" s="89" t="s">
        <v>3695</v>
      </c>
      <c r="L2085" s="89" t="s">
        <v>856</v>
      </c>
      <c r="M2085" s="89">
        <v>2022.0</v>
      </c>
      <c r="N2085" s="90" t="s">
        <v>3696</v>
      </c>
    </row>
    <row r="2086" ht="30.0" hidden="1" customHeight="1">
      <c r="A2086" s="86">
        <v>2105.0</v>
      </c>
      <c r="B2086" s="86"/>
      <c r="C2086" s="86"/>
      <c r="D2086" s="87" t="str">
        <f>CONCATENATE(PROPER('DASMA INFO'!$G2086),", ",PROPER('DASMA INFO'!$E2086)," ",PROPER('DASMA INFO'!$F2086),"."," (",UPPER('DASMA INFO'!$H2086),")")</f>
        <v>Borja, Jean Otivilladar. ()</v>
      </c>
      <c r="E2086" s="87" t="s">
        <v>1608</v>
      </c>
      <c r="F2086" s="87" t="s">
        <v>3697</v>
      </c>
      <c r="G2086" s="87" t="s">
        <v>1079</v>
      </c>
      <c r="H2086" s="87"/>
      <c r="I2086" s="105">
        <v>0.12</v>
      </c>
      <c r="J2086" s="106">
        <v>1000.0</v>
      </c>
      <c r="K2086" s="89" t="s">
        <v>3027</v>
      </c>
      <c r="L2086" s="89"/>
      <c r="M2086" s="89"/>
      <c r="N2086" s="90"/>
    </row>
    <row r="2087" ht="30.0" hidden="1" customHeight="1">
      <c r="A2087" s="86">
        <v>2106.0</v>
      </c>
      <c r="B2087" s="86"/>
      <c r="C2087" s="86"/>
      <c r="D2087" s="87" t="str">
        <f>CONCATENATE(PROPER('DASMA INFO'!$G2087),", ",PROPER('DASMA INFO'!$E2087)," ",PROPER('DASMA INFO'!$F2087),"."," (",UPPER('DASMA INFO'!$H2087),")")</f>
        <v>Companero, Myrna Buenaventura. ()</v>
      </c>
      <c r="E2087" s="87" t="s">
        <v>586</v>
      </c>
      <c r="F2087" s="87" t="s">
        <v>3276</v>
      </c>
      <c r="G2087" s="87" t="s">
        <v>3698</v>
      </c>
      <c r="H2087" s="87"/>
      <c r="I2087" s="105">
        <v>0.12</v>
      </c>
      <c r="J2087" s="106">
        <v>1000.0</v>
      </c>
      <c r="K2087" s="89" t="s">
        <v>3699</v>
      </c>
      <c r="L2087" s="89"/>
      <c r="M2087" s="89"/>
      <c r="N2087" s="90"/>
    </row>
    <row r="2088" ht="30.0" hidden="1" customHeight="1">
      <c r="A2088" s="86">
        <v>2107.0</v>
      </c>
      <c r="B2088" s="86"/>
      <c r="C2088" s="86"/>
      <c r="D2088" s="87" t="str">
        <f>CONCATENATE(PROPER('DASMA INFO'!$G2088),", ",PROPER('DASMA INFO'!$E2088)," ",PROPER('DASMA INFO'!$F2088),"."," (",UPPER('DASMA INFO'!$H2088),")")</f>
        <v>Ventanilla, Delmart Vinluan. ()</v>
      </c>
      <c r="E2088" s="87" t="s">
        <v>3700</v>
      </c>
      <c r="F2088" s="87" t="s">
        <v>3126</v>
      </c>
      <c r="G2088" s="87" t="s">
        <v>3701</v>
      </c>
      <c r="H2088" s="87"/>
      <c r="I2088" s="105">
        <v>0.12</v>
      </c>
      <c r="J2088" s="106">
        <v>1000.0</v>
      </c>
      <c r="K2088" s="89" t="s">
        <v>3494</v>
      </c>
      <c r="L2088" s="89"/>
      <c r="M2088" s="89"/>
      <c r="N2088" s="90"/>
    </row>
    <row r="2089" ht="30.0" hidden="1" customHeight="1">
      <c r="A2089" s="86">
        <v>2108.0</v>
      </c>
      <c r="B2089" s="86"/>
      <c r="C2089" s="86"/>
      <c r="D2089" s="87" t="str">
        <f>CONCATENATE(PROPER('DASMA INFO'!$G2089),", ",PROPER('DASMA INFO'!$E2089)," ",PROPER('DASMA INFO'!$F2089),"."," (",UPPER('DASMA INFO'!$H2089),")")</f>
        <v>Mora, Christopher Bryan Dejito. ()</v>
      </c>
      <c r="E2089" s="87" t="s">
        <v>3702</v>
      </c>
      <c r="F2089" s="87" t="s">
        <v>3703</v>
      </c>
      <c r="G2089" s="87" t="s">
        <v>1429</v>
      </c>
      <c r="H2089" s="87"/>
      <c r="I2089" s="105">
        <v>0.12</v>
      </c>
      <c r="J2089" s="106">
        <v>1000.0</v>
      </c>
      <c r="K2089" s="89" t="s">
        <v>3494</v>
      </c>
      <c r="L2089" s="89"/>
      <c r="M2089" s="89"/>
      <c r="N2089" s="90"/>
    </row>
    <row r="2090" ht="30.0" hidden="1" customHeight="1">
      <c r="A2090" s="86">
        <v>2109.0</v>
      </c>
      <c r="B2090" s="86"/>
      <c r="C2090" s="86"/>
      <c r="D2090" s="87" t="str">
        <f>CONCATENATE(PROPER('DASMA INFO'!$G2090),", ",PROPER('DASMA INFO'!$E2090)," ",PROPER('DASMA INFO'!$F2090),"."," (",UPPER('DASMA INFO'!$H2090),")")</f>
        <v>Salazar, Doris De Vera. ()</v>
      </c>
      <c r="E2090" s="87" t="s">
        <v>3704</v>
      </c>
      <c r="F2090" s="87" t="s">
        <v>601</v>
      </c>
      <c r="G2090" s="87" t="s">
        <v>1783</v>
      </c>
      <c r="H2090" s="87"/>
      <c r="I2090" s="105">
        <v>0.12</v>
      </c>
      <c r="J2090" s="106">
        <v>1000.0</v>
      </c>
      <c r="K2090" s="89" t="s">
        <v>2027</v>
      </c>
      <c r="L2090" s="89"/>
      <c r="M2090" s="89"/>
      <c r="N2090" s="90"/>
    </row>
    <row r="2091" ht="30.0" hidden="1" customHeight="1">
      <c r="A2091" s="86">
        <v>2110.0</v>
      </c>
      <c r="B2091" s="86"/>
      <c r="C2091" s="86"/>
      <c r="D2091" s="87" t="str">
        <f>CONCATENATE(PROPER('DASMA INFO'!$G2091),", ",PROPER('DASMA INFO'!$E2091)," ",PROPER('DASMA INFO'!$F2091),"."," (",UPPER('DASMA INFO'!$H2091),")")</f>
        <v>Bulaong, Rolando Macarang. ()</v>
      </c>
      <c r="E2091" s="87" t="s">
        <v>337</v>
      </c>
      <c r="F2091" s="87" t="s">
        <v>3705</v>
      </c>
      <c r="G2091" s="87" t="s">
        <v>420</v>
      </c>
      <c r="H2091" s="87"/>
      <c r="I2091" s="105">
        <v>0.12</v>
      </c>
      <c r="J2091" s="106">
        <v>1000.0</v>
      </c>
      <c r="K2091" s="89" t="s">
        <v>3494</v>
      </c>
      <c r="L2091" s="89"/>
      <c r="M2091" s="89"/>
      <c r="N2091" s="90"/>
    </row>
    <row r="2092" ht="30.0" hidden="1" customHeight="1">
      <c r="A2092" s="86">
        <v>2111.0</v>
      </c>
      <c r="B2092" s="86"/>
      <c r="C2092" s="86"/>
      <c r="D2092" s="87" t="str">
        <f>CONCATENATE(PROPER('DASMA INFO'!$G2092),", ",PROPER('DASMA INFO'!$E2092)," ",PROPER('DASMA INFO'!$F2092),"."," (",UPPER('DASMA INFO'!$H2092),")")</f>
        <v>Calibjo, Jay-R Del Rosario. ()</v>
      </c>
      <c r="E2092" s="87" t="s">
        <v>3706</v>
      </c>
      <c r="F2092" s="87" t="s">
        <v>1711</v>
      </c>
      <c r="G2092" s="87" t="s">
        <v>3707</v>
      </c>
      <c r="H2092" s="87"/>
      <c r="I2092" s="105">
        <v>0.05</v>
      </c>
      <c r="J2092" s="106">
        <v>1000.0</v>
      </c>
      <c r="K2092" s="89" t="s">
        <v>3561</v>
      </c>
      <c r="L2092" s="89" t="s">
        <v>465</v>
      </c>
      <c r="M2092" s="89">
        <v>2022.0</v>
      </c>
      <c r="N2092" s="90"/>
    </row>
    <row r="2093" ht="30.0" hidden="1" customHeight="1">
      <c r="A2093" s="86">
        <v>2112.0</v>
      </c>
      <c r="B2093" s="86"/>
      <c r="C2093" s="86"/>
      <c r="D2093" s="87" t="str">
        <f>CONCATENATE(PROPER('DASMA INFO'!$G2093),", ",PROPER('DASMA INFO'!$E2093)," ",PROPER('DASMA INFO'!$F2093),"."," (",UPPER('DASMA INFO'!$H2093),")")</f>
        <v>Crisostomo, Rose Rutaquio. ()</v>
      </c>
      <c r="E2093" s="87" t="s">
        <v>2466</v>
      </c>
      <c r="F2093" s="87" t="s">
        <v>3708</v>
      </c>
      <c r="G2093" s="87" t="s">
        <v>2420</v>
      </c>
      <c r="H2093" s="87"/>
      <c r="I2093" s="105">
        <v>0.12</v>
      </c>
      <c r="J2093" s="106">
        <v>1000.0</v>
      </c>
      <c r="K2093" s="89" t="s">
        <v>1156</v>
      </c>
      <c r="L2093" s="89"/>
      <c r="M2093" s="89"/>
      <c r="N2093" s="90"/>
    </row>
    <row r="2094" ht="30.0" hidden="1" customHeight="1">
      <c r="A2094" s="86">
        <v>2113.0</v>
      </c>
      <c r="B2094" s="86"/>
      <c r="C2094" s="86"/>
      <c r="D2094" s="87" t="str">
        <f>CONCATENATE(PROPER('DASMA INFO'!$G2094),", ",PROPER('DASMA INFO'!$E2094)," ",PROPER('DASMA INFO'!$F2094),"."," (",UPPER('DASMA INFO'!$H2094),")")</f>
        <v>Macapagal, Mary Ann Villanueva. ()</v>
      </c>
      <c r="E2094" s="87" t="s">
        <v>834</v>
      </c>
      <c r="F2094" s="87" t="s">
        <v>454</v>
      </c>
      <c r="G2094" s="87" t="s">
        <v>2091</v>
      </c>
      <c r="H2094" s="87"/>
      <c r="I2094" s="105">
        <v>0.05</v>
      </c>
      <c r="J2094" s="106">
        <v>1000.0</v>
      </c>
      <c r="K2094" s="89" t="s">
        <v>3494</v>
      </c>
      <c r="L2094" s="89"/>
      <c r="M2094" s="89"/>
      <c r="N2094" s="90" t="s">
        <v>2957</v>
      </c>
    </row>
    <row r="2095" ht="30.0" hidden="1" customHeight="1">
      <c r="A2095" s="86">
        <v>2114.0</v>
      </c>
      <c r="B2095" s="86"/>
      <c r="C2095" s="86"/>
      <c r="D2095" s="87" t="str">
        <f>CONCATENATE(PROPER('DASMA INFO'!$G2095),", ",PROPER('DASMA INFO'!$E2095)," ",PROPER('DASMA INFO'!$F2095),"."," (",UPPER('DASMA INFO'!$H2095),")")</f>
        <v>Catapang, Jayzelle Jane Palencia. ()</v>
      </c>
      <c r="E2095" s="87" t="s">
        <v>3709</v>
      </c>
      <c r="F2095" s="87" t="s">
        <v>3710</v>
      </c>
      <c r="G2095" s="87" t="s">
        <v>3711</v>
      </c>
      <c r="H2095" s="87"/>
      <c r="I2095" s="105">
        <v>0.12</v>
      </c>
      <c r="J2095" s="106">
        <v>1000.0</v>
      </c>
      <c r="K2095" s="89" t="s">
        <v>3494</v>
      </c>
      <c r="L2095" s="89"/>
      <c r="M2095" s="89"/>
      <c r="N2095" s="90"/>
    </row>
    <row r="2096" ht="30.0" hidden="1" customHeight="1">
      <c r="A2096" s="86">
        <v>2115.0</v>
      </c>
      <c r="B2096" s="86"/>
      <c r="C2096" s="86"/>
      <c r="D2096" s="87" t="str">
        <f>CONCATENATE(PROPER('DASMA INFO'!$G2096),", ",PROPER('DASMA INFO'!$E2096)," ",PROPER('DASMA INFO'!$F2096),"."," (",UPPER('DASMA INFO'!$H2096),")")</f>
        <v>Almenanza, Maria Nymfa P. ()</v>
      </c>
      <c r="E2096" s="87" t="s">
        <v>3712</v>
      </c>
      <c r="F2096" s="87" t="s">
        <v>513</v>
      </c>
      <c r="G2096" s="87" t="s">
        <v>54</v>
      </c>
      <c r="H2096" s="87"/>
      <c r="I2096" s="105">
        <v>0.12</v>
      </c>
      <c r="J2096" s="106">
        <v>1000.0</v>
      </c>
      <c r="K2096" s="89" t="s">
        <v>3713</v>
      </c>
      <c r="L2096" s="89"/>
      <c r="M2096" s="89"/>
      <c r="N2096" s="90"/>
    </row>
    <row r="2097" ht="30.0" hidden="1" customHeight="1">
      <c r="A2097" s="86">
        <v>2116.0</v>
      </c>
      <c r="B2097" s="86"/>
      <c r="C2097" s="86"/>
      <c r="D2097" s="87" t="str">
        <f>CONCATENATE(PROPER('DASMA INFO'!$G2097),", ",PROPER('DASMA INFO'!$E2097)," ",PROPER('DASMA INFO'!$F2097),"."," (",UPPER('DASMA INFO'!$H2097),")")</f>
        <v>Sango, Minibeth Montealegre. ()</v>
      </c>
      <c r="E2097" s="87" t="s">
        <v>3714</v>
      </c>
      <c r="F2097" s="87" t="s">
        <v>3715</v>
      </c>
      <c r="G2097" s="87" t="s">
        <v>3716</v>
      </c>
      <c r="H2097" s="87"/>
      <c r="I2097" s="105">
        <v>0.12</v>
      </c>
      <c r="J2097" s="106">
        <v>1000.0</v>
      </c>
      <c r="K2097" s="89" t="s">
        <v>3494</v>
      </c>
      <c r="L2097" s="89"/>
      <c r="M2097" s="89"/>
      <c r="N2097" s="90"/>
    </row>
    <row r="2098" ht="30.0" hidden="1" customHeight="1">
      <c r="A2098" s="86">
        <v>2117.0</v>
      </c>
      <c r="B2098" s="86"/>
      <c r="C2098" s="86"/>
      <c r="D2098" s="87" t="str">
        <f>CONCATENATE(PROPER('DASMA INFO'!$G2098),", ",PROPER('DASMA INFO'!$E2098)," ",PROPER('DASMA INFO'!$F2098),"."," (",UPPER('DASMA INFO'!$H2098),")")</f>
        <v>Perez, Mark Espeleta. ()</v>
      </c>
      <c r="E2098" s="87" t="s">
        <v>99</v>
      </c>
      <c r="F2098" s="87" t="s">
        <v>3717</v>
      </c>
      <c r="G2098" s="87" t="s">
        <v>236</v>
      </c>
      <c r="H2098" s="87"/>
      <c r="I2098" s="105">
        <v>0.12</v>
      </c>
      <c r="J2098" s="106">
        <v>1000.0</v>
      </c>
      <c r="K2098" s="89" t="s">
        <v>3494</v>
      </c>
      <c r="L2098" s="89"/>
      <c r="M2098" s="89"/>
      <c r="N2098" s="90"/>
    </row>
    <row r="2099" ht="30.0" hidden="1" customHeight="1">
      <c r="A2099" s="86">
        <v>2118.0</v>
      </c>
      <c r="B2099" s="86"/>
      <c r="C2099" s="86"/>
      <c r="D2099" s="87" t="str">
        <f>CONCATENATE(PROPER('DASMA INFO'!$G2099),", ",PROPER('DASMA INFO'!$E2099)," ",PROPER('DASMA INFO'!$F2099),"."," (",UPPER('DASMA INFO'!$H2099),")")</f>
        <v>Pabilona, Ella Faye Calijan. ()</v>
      </c>
      <c r="E2099" s="87" t="s">
        <v>3718</v>
      </c>
      <c r="F2099" s="87" t="s">
        <v>3719</v>
      </c>
      <c r="G2099" s="87" t="s">
        <v>3720</v>
      </c>
      <c r="H2099" s="87"/>
      <c r="I2099" s="105">
        <v>0.12</v>
      </c>
      <c r="J2099" s="106">
        <v>1000.0</v>
      </c>
      <c r="K2099" s="89" t="s">
        <v>3721</v>
      </c>
      <c r="L2099" s="89"/>
      <c r="M2099" s="89"/>
      <c r="N2099" s="90"/>
    </row>
    <row r="2100" ht="30.0" hidden="1" customHeight="1">
      <c r="A2100" s="86">
        <v>2119.0</v>
      </c>
      <c r="B2100" s="86"/>
      <c r="C2100" s="86"/>
      <c r="D2100" s="87" t="str">
        <f>CONCATENATE(PROPER('DASMA INFO'!$G2100),", ",PROPER('DASMA INFO'!$E2100)," ",PROPER('DASMA INFO'!$F2100),"."," (",UPPER('DASMA INFO'!$H2100),")")</f>
        <v>Justiniani, Kelly Bracamonte. ()</v>
      </c>
      <c r="E2100" s="87" t="s">
        <v>929</v>
      </c>
      <c r="F2100" s="87" t="s">
        <v>3722</v>
      </c>
      <c r="G2100" s="87" t="s">
        <v>930</v>
      </c>
      <c r="H2100" s="87"/>
      <c r="I2100" s="105">
        <v>0.12</v>
      </c>
      <c r="J2100" s="106">
        <v>1000.0</v>
      </c>
      <c r="K2100" s="89" t="s">
        <v>3494</v>
      </c>
      <c r="L2100" s="89"/>
      <c r="M2100" s="89"/>
      <c r="N2100" s="90"/>
    </row>
    <row r="2101" ht="30.0" hidden="1" customHeight="1">
      <c r="A2101" s="86">
        <v>2120.0</v>
      </c>
      <c r="B2101" s="86"/>
      <c r="C2101" s="86"/>
      <c r="D2101" s="87" t="str">
        <f>CONCATENATE(PROPER('DASMA INFO'!$G2101),", ",PROPER('DASMA INFO'!$E2101)," ",PROPER('DASMA INFO'!$F2101),"."," (",UPPER('DASMA INFO'!$H2101),")")</f>
        <v>Pascual, Ma Rosalinda Mesa. ()</v>
      </c>
      <c r="E2101" s="87" t="s">
        <v>3723</v>
      </c>
      <c r="F2101" s="87" t="s">
        <v>3724</v>
      </c>
      <c r="G2101" s="87" t="s">
        <v>3725</v>
      </c>
      <c r="H2101" s="87"/>
      <c r="I2101" s="105">
        <v>0.12</v>
      </c>
      <c r="J2101" s="106">
        <v>1000.0</v>
      </c>
      <c r="K2101" s="89" t="s">
        <v>3027</v>
      </c>
      <c r="L2101" s="89"/>
      <c r="M2101" s="89"/>
      <c r="N2101" s="90"/>
    </row>
    <row r="2102" ht="30.0" hidden="1" customHeight="1">
      <c r="A2102" s="86">
        <v>2121.0</v>
      </c>
      <c r="B2102" s="86"/>
      <c r="C2102" s="86"/>
      <c r="D2102" s="87" t="str">
        <f>CONCATENATE(PROPER('DASMA INFO'!$G2102),", ",PROPER('DASMA INFO'!$E2102)," ",PROPER('DASMA INFO'!$F2102),"."," (",UPPER('DASMA INFO'!$H2102),")")</f>
        <v>Romero, Alberto Mirando. ()</v>
      </c>
      <c r="E2102" s="87" t="s">
        <v>879</v>
      </c>
      <c r="F2102" s="87" t="s">
        <v>3726</v>
      </c>
      <c r="G2102" s="87" t="s">
        <v>3727</v>
      </c>
      <c r="H2102" s="87"/>
      <c r="I2102" s="105">
        <v>0.05</v>
      </c>
      <c r="J2102" s="106">
        <v>1000.0</v>
      </c>
      <c r="K2102" s="89" t="s">
        <v>3561</v>
      </c>
      <c r="L2102" s="89" t="s">
        <v>3598</v>
      </c>
      <c r="M2102" s="89">
        <v>2021.0</v>
      </c>
      <c r="N2102" s="90"/>
    </row>
    <row r="2103" ht="30.0" hidden="1" customHeight="1">
      <c r="A2103" s="86">
        <v>2122.0</v>
      </c>
      <c r="B2103" s="86"/>
      <c r="C2103" s="86"/>
      <c r="D2103" s="87" t="str">
        <f>CONCATENATE(PROPER('DASMA INFO'!$G2103),", ",PROPER('DASMA INFO'!$E2103)," ",PROPER('DASMA INFO'!$F2103),"."," (",UPPER('DASMA INFO'!$H2103),")")</f>
        <v>Larioque, Gerardo Candido. ()</v>
      </c>
      <c r="E2103" s="87" t="s">
        <v>672</v>
      </c>
      <c r="F2103" s="87" t="s">
        <v>3728</v>
      </c>
      <c r="G2103" s="87" t="s">
        <v>3729</v>
      </c>
      <c r="H2103" s="87"/>
      <c r="I2103" s="105">
        <v>0.12</v>
      </c>
      <c r="J2103" s="106">
        <v>1000.0</v>
      </c>
      <c r="K2103" s="89" t="s">
        <v>3494</v>
      </c>
      <c r="L2103" s="89"/>
      <c r="M2103" s="89"/>
      <c r="N2103" s="90"/>
    </row>
    <row r="2104" ht="30.0" hidden="1" customHeight="1">
      <c r="A2104" s="86">
        <v>2123.0</v>
      </c>
      <c r="B2104" s="86"/>
      <c r="C2104" s="86"/>
      <c r="D2104" s="87" t="str">
        <f>CONCATENATE(PROPER('DASMA INFO'!$G2104),", ",PROPER('DASMA INFO'!$E2104)," ",PROPER('DASMA INFO'!$F2104),"."," (",UPPER('DASMA INFO'!$H2104),")")</f>
        <v>Embalzado, Generoso Estrella. ()</v>
      </c>
      <c r="E2104" s="87" t="s">
        <v>3730</v>
      </c>
      <c r="F2104" s="87" t="s">
        <v>2289</v>
      </c>
      <c r="G2104" s="87" t="s">
        <v>3731</v>
      </c>
      <c r="H2104" s="87"/>
      <c r="I2104" s="105">
        <v>0.12</v>
      </c>
      <c r="J2104" s="106">
        <v>1000.0</v>
      </c>
      <c r="K2104" s="89" t="s">
        <v>3732</v>
      </c>
      <c r="L2104" s="89"/>
      <c r="M2104" s="89"/>
      <c r="N2104" s="90"/>
    </row>
    <row r="2105" ht="30.0" hidden="1" customHeight="1">
      <c r="A2105" s="86">
        <v>2124.0</v>
      </c>
      <c r="B2105" s="86"/>
      <c r="C2105" s="86"/>
      <c r="D2105" s="87" t="str">
        <f>CONCATENATE(PROPER('DASMA INFO'!$G2105),", ",PROPER('DASMA INFO'!$E2105)," ",PROPER('DASMA INFO'!$F2105),"."," (",UPPER('DASMA INFO'!$H2105),")")</f>
        <v>Bayhon, Marivic Lagayada. ()</v>
      </c>
      <c r="E2105" s="87" t="s">
        <v>84</v>
      </c>
      <c r="F2105" s="87" t="s">
        <v>3733</v>
      </c>
      <c r="G2105" s="87" t="s">
        <v>3734</v>
      </c>
      <c r="H2105" s="87"/>
      <c r="I2105" s="105">
        <v>0.12</v>
      </c>
      <c r="J2105" s="106">
        <v>1000.0</v>
      </c>
      <c r="K2105" s="89" t="s">
        <v>3027</v>
      </c>
      <c r="L2105" s="89"/>
      <c r="M2105" s="89"/>
      <c r="N2105" s="90"/>
    </row>
    <row r="2106" ht="30.0" hidden="1" customHeight="1">
      <c r="A2106" s="86">
        <v>2125.0</v>
      </c>
      <c r="B2106" s="86"/>
      <c r="C2106" s="86"/>
      <c r="D2106" s="87" t="str">
        <f>CONCATENATE(PROPER('DASMA INFO'!$G2106),", ",PROPER('DASMA INFO'!$E2106)," ",PROPER('DASMA INFO'!$F2106),"."," (",UPPER('DASMA INFO'!$H2106),")")</f>
        <v>Malihan, Nelson Yagdulas. ()</v>
      </c>
      <c r="E2106" s="87" t="s">
        <v>3456</v>
      </c>
      <c r="F2106" s="87" t="s">
        <v>3735</v>
      </c>
      <c r="G2106" s="87" t="s">
        <v>3736</v>
      </c>
      <c r="H2106" s="87"/>
      <c r="I2106" s="105">
        <v>0.12</v>
      </c>
      <c r="J2106" s="106">
        <v>1000.0</v>
      </c>
      <c r="K2106" s="89" t="s">
        <v>3494</v>
      </c>
      <c r="L2106" s="89"/>
      <c r="M2106" s="89"/>
      <c r="N2106" s="90"/>
    </row>
    <row r="2107" ht="30.0" hidden="1" customHeight="1">
      <c r="A2107" s="86">
        <v>2126.0</v>
      </c>
      <c r="B2107" s="86"/>
      <c r="C2107" s="86"/>
      <c r="D2107" s="87" t="str">
        <f>CONCATENATE(PROPER('DASMA INFO'!$G2107),", ",PROPER('DASMA INFO'!$E2107)," ",PROPER('DASMA INFO'!$F2107),"."," (",UPPER('DASMA INFO'!$H2107),")")</f>
        <v>Bermudez, Danilo Alejo. ()</v>
      </c>
      <c r="E2107" s="87" t="s">
        <v>251</v>
      </c>
      <c r="F2107" s="87" t="s">
        <v>78</v>
      </c>
      <c r="G2107" s="87" t="s">
        <v>3737</v>
      </c>
      <c r="H2107" s="87"/>
      <c r="I2107" s="105">
        <v>0.12</v>
      </c>
      <c r="J2107" s="106">
        <v>1000.0</v>
      </c>
      <c r="K2107" s="89" t="s">
        <v>3494</v>
      </c>
      <c r="L2107" s="89"/>
      <c r="M2107" s="89"/>
      <c r="N2107" s="90"/>
    </row>
    <row r="2108" ht="30.0" hidden="1" customHeight="1">
      <c r="A2108" s="86">
        <v>2127.0</v>
      </c>
      <c r="B2108" s="86"/>
      <c r="C2108" s="86"/>
      <c r="D2108" s="87" t="str">
        <f>CONCATENATE(PROPER('DASMA INFO'!$G2108),", ",PROPER('DASMA INFO'!$E2108)," ",PROPER('DASMA INFO'!$F2108),"."," (",UPPER('DASMA INFO'!$H2108),")")</f>
        <v>Virtudez, Juanita R. ()</v>
      </c>
      <c r="E2108" s="87" t="s">
        <v>3738</v>
      </c>
      <c r="F2108" s="87" t="s">
        <v>260</v>
      </c>
      <c r="G2108" s="87" t="s">
        <v>3739</v>
      </c>
      <c r="H2108" s="87"/>
      <c r="I2108" s="105">
        <v>0.05</v>
      </c>
      <c r="J2108" s="106">
        <v>1000.0</v>
      </c>
      <c r="K2108" s="89" t="s">
        <v>3740</v>
      </c>
      <c r="L2108" s="89" t="s">
        <v>94</v>
      </c>
      <c r="M2108" s="89">
        <v>2017.0</v>
      </c>
      <c r="N2108" s="90"/>
    </row>
    <row r="2109" ht="30.0" hidden="1" customHeight="1">
      <c r="A2109" s="86">
        <v>2128.0</v>
      </c>
      <c r="B2109" s="86"/>
      <c r="C2109" s="86"/>
      <c r="D2109" s="87" t="str">
        <f>CONCATENATE(PROPER('DASMA INFO'!$G2109),", ",PROPER('DASMA INFO'!$E2109)," ",PROPER('DASMA INFO'!$F2109),"."," (",UPPER('DASMA INFO'!$H2109),")")</f>
        <v>Acosta, Fernando Enriquez. ()</v>
      </c>
      <c r="E2109" s="87" t="s">
        <v>414</v>
      </c>
      <c r="F2109" s="87" t="s">
        <v>1617</v>
      </c>
      <c r="G2109" s="87" t="s">
        <v>2680</v>
      </c>
      <c r="H2109" s="87"/>
      <c r="I2109" s="105">
        <v>0.12</v>
      </c>
      <c r="J2109" s="106">
        <v>1000.0</v>
      </c>
      <c r="K2109" s="89" t="s">
        <v>3027</v>
      </c>
      <c r="L2109" s="89"/>
      <c r="M2109" s="89"/>
      <c r="N2109" s="90"/>
    </row>
    <row r="2110" ht="30.0" hidden="1" customHeight="1">
      <c r="A2110" s="86">
        <v>2129.0</v>
      </c>
      <c r="B2110" s="86"/>
      <c r="C2110" s="86"/>
      <c r="D2110" s="87" t="str">
        <f>CONCATENATE(PROPER('DASMA INFO'!$G2110),", ",PROPER('DASMA INFO'!$E2110)," ",PROPER('DASMA INFO'!$F2110),"."," (",UPPER('DASMA INFO'!$H2110),")")</f>
        <v>Hwang, Boksuk -. ()</v>
      </c>
      <c r="E2110" s="87" t="s">
        <v>3741</v>
      </c>
      <c r="F2110" s="87" t="s">
        <v>3742</v>
      </c>
      <c r="G2110" s="87" t="s">
        <v>1310</v>
      </c>
      <c r="H2110" s="87"/>
      <c r="I2110" s="105">
        <v>0.12</v>
      </c>
      <c r="J2110" s="106">
        <v>3000.0</v>
      </c>
      <c r="K2110" s="89" t="s">
        <v>3494</v>
      </c>
      <c r="L2110" s="89"/>
      <c r="M2110" s="89"/>
      <c r="N2110" s="90"/>
    </row>
    <row r="2111" ht="30.0" hidden="1" customHeight="1">
      <c r="A2111" s="86">
        <v>2130.0</v>
      </c>
      <c r="B2111" s="86"/>
      <c r="C2111" s="86"/>
      <c r="D2111" s="87" t="str">
        <f>CONCATENATE(PROPER('DASMA INFO'!$G2111),", ",PROPER('DASMA INFO'!$E2111)," ",PROPER('DASMA INFO'!$F2111),"."," (",UPPER('DASMA INFO'!$H2111),")")</f>
        <v>Pereña, Antonio P. ()</v>
      </c>
      <c r="E2111" s="87" t="s">
        <v>76</v>
      </c>
      <c r="F2111" s="87" t="s">
        <v>513</v>
      </c>
      <c r="G2111" s="87" t="s">
        <v>3743</v>
      </c>
      <c r="H2111" s="87"/>
      <c r="I2111" s="105">
        <v>0.12</v>
      </c>
      <c r="J2111" s="106">
        <v>1000.0</v>
      </c>
      <c r="K2111" s="89" t="s">
        <v>3225</v>
      </c>
      <c r="L2111" s="89"/>
      <c r="M2111" s="89"/>
      <c r="N2111" s="90"/>
    </row>
    <row r="2112" ht="30.0" hidden="1" customHeight="1">
      <c r="A2112" s="86">
        <v>2131.0</v>
      </c>
      <c r="B2112" s="86"/>
      <c r="C2112" s="86"/>
      <c r="D2112" s="87" t="str">
        <f>CONCATENATE(PROPER('DASMA INFO'!$G2112),", ",PROPER('DASMA INFO'!$E2112)," ",PROPER('DASMA INFO'!$F2112),"."," (",UPPER('DASMA INFO'!$H2112),")")</f>
        <v>Encabo, Arlene Arcilla. ()</v>
      </c>
      <c r="E2112" s="87" t="s">
        <v>1568</v>
      </c>
      <c r="F2112" s="87" t="s">
        <v>1538</v>
      </c>
      <c r="G2112" s="87" t="s">
        <v>3744</v>
      </c>
      <c r="H2112" s="87"/>
      <c r="I2112" s="105">
        <v>0.05</v>
      </c>
      <c r="J2112" s="106">
        <v>1000.0</v>
      </c>
      <c r="K2112" s="89" t="s">
        <v>3745</v>
      </c>
      <c r="L2112" s="89" t="s">
        <v>856</v>
      </c>
      <c r="M2112" s="89">
        <v>2022.0</v>
      </c>
      <c r="N2112" s="90"/>
    </row>
    <row r="2113" ht="30.0" hidden="1" customHeight="1">
      <c r="A2113" s="86">
        <v>2132.0</v>
      </c>
      <c r="B2113" s="86"/>
      <c r="C2113" s="86"/>
      <c r="D2113" s="87" t="str">
        <f>CONCATENATE(PROPER('DASMA INFO'!$G2113),", ",PROPER('DASMA INFO'!$E2113)," ",PROPER('DASMA INFO'!$F2113),"."," (",UPPER('DASMA INFO'!$H2113),")")</f>
        <v>Garcia, Cristopher Dardo. ()</v>
      </c>
      <c r="E2113" s="87" t="s">
        <v>3746</v>
      </c>
      <c r="F2113" s="87" t="s">
        <v>3747</v>
      </c>
      <c r="G2113" s="87" t="s">
        <v>496</v>
      </c>
      <c r="H2113" s="87"/>
      <c r="I2113" s="105">
        <v>0.12</v>
      </c>
      <c r="J2113" s="106">
        <v>1000.0</v>
      </c>
      <c r="K2113" s="89" t="s">
        <v>3494</v>
      </c>
      <c r="L2113" s="89"/>
      <c r="M2113" s="89"/>
      <c r="N2113" s="90"/>
    </row>
    <row r="2114" ht="30.0" hidden="1" customHeight="1">
      <c r="A2114" s="86">
        <v>2133.0</v>
      </c>
      <c r="B2114" s="86"/>
      <c r="C2114" s="86"/>
      <c r="D2114" s="87" t="str">
        <f>CONCATENATE(PROPER('DASMA INFO'!$G2114),", ",PROPER('DASMA INFO'!$E2114)," ",PROPER('DASMA INFO'!$F2114),"."," (",UPPER('DASMA INFO'!$H2114),")")</f>
        <v>Castillo, Alexander Del Rosario. ()</v>
      </c>
      <c r="E2114" s="87" t="s">
        <v>1493</v>
      </c>
      <c r="F2114" s="87" t="s">
        <v>1711</v>
      </c>
      <c r="G2114" s="87" t="s">
        <v>1184</v>
      </c>
      <c r="H2114" s="87"/>
      <c r="I2114" s="105">
        <v>0.12</v>
      </c>
      <c r="J2114" s="106">
        <v>1000.0</v>
      </c>
      <c r="K2114" s="89" t="s">
        <v>3494</v>
      </c>
      <c r="L2114" s="89"/>
      <c r="M2114" s="89"/>
      <c r="N2114" s="90"/>
    </row>
    <row r="2115" ht="30.0" hidden="1" customHeight="1">
      <c r="A2115" s="86">
        <v>2134.0</v>
      </c>
      <c r="B2115" s="86"/>
      <c r="C2115" s="86"/>
      <c r="D2115" s="87" t="str">
        <f>CONCATENATE(PROPER('DASMA INFO'!$G2115),", ",PROPER('DASMA INFO'!$E2115)," ",PROPER('DASMA INFO'!$F2115),"."," (",UPPER('DASMA INFO'!$H2115),")")</f>
        <v>Villasin, Mery Mae Galve. ()</v>
      </c>
      <c r="E2115" s="87" t="s">
        <v>3748</v>
      </c>
      <c r="F2115" s="87" t="s">
        <v>3749</v>
      </c>
      <c r="G2115" s="87" t="s">
        <v>3750</v>
      </c>
      <c r="H2115" s="87"/>
      <c r="I2115" s="105">
        <v>0.12</v>
      </c>
      <c r="J2115" s="106">
        <v>1000.0</v>
      </c>
      <c r="K2115" s="89" t="s">
        <v>1131</v>
      </c>
      <c r="L2115" s="89"/>
      <c r="M2115" s="89"/>
      <c r="N2115" s="90"/>
    </row>
    <row r="2116" ht="30.0" hidden="1" customHeight="1">
      <c r="A2116" s="86">
        <v>2135.0</v>
      </c>
      <c r="B2116" s="86"/>
      <c r="C2116" s="86"/>
      <c r="D2116" s="87" t="str">
        <f>CONCATENATE(PROPER('DASMA INFO'!$G2116),", ",PROPER('DASMA INFO'!$E2116)," ",PROPER('DASMA INFO'!$F2116),"."," (",UPPER('DASMA INFO'!$H2116),")")</f>
        <v>Ordoñez, Cenveline Velecina. ()</v>
      </c>
      <c r="E2116" s="87" t="s">
        <v>3751</v>
      </c>
      <c r="F2116" s="87" t="s">
        <v>3752</v>
      </c>
      <c r="G2116" s="87" t="s">
        <v>3753</v>
      </c>
      <c r="H2116" s="87"/>
      <c r="I2116" s="105">
        <v>0.05</v>
      </c>
      <c r="J2116" s="106">
        <v>1000.0</v>
      </c>
      <c r="K2116" s="89" t="s">
        <v>3754</v>
      </c>
      <c r="L2116" s="89" t="s">
        <v>852</v>
      </c>
      <c r="M2116" s="89">
        <v>2020.0</v>
      </c>
      <c r="N2116" s="90"/>
    </row>
    <row r="2117" ht="30.0" hidden="1" customHeight="1">
      <c r="A2117" s="86">
        <v>2136.0</v>
      </c>
      <c r="B2117" s="86"/>
      <c r="C2117" s="86"/>
      <c r="D2117" s="87" t="str">
        <f>CONCATENATE(PROPER('DASMA INFO'!$G2117),", ",PROPER('DASMA INFO'!$E2117)," ",PROPER('DASMA INFO'!$F2117),"."," (",UPPER('DASMA INFO'!$H2117),")")</f>
        <v>Mangahas, Jonathan Pascua. ()</v>
      </c>
      <c r="E2117" s="87" t="s">
        <v>311</v>
      </c>
      <c r="F2117" s="87" t="s">
        <v>1755</v>
      </c>
      <c r="G2117" s="87" t="s">
        <v>592</v>
      </c>
      <c r="H2117" s="87"/>
      <c r="I2117" s="105">
        <v>0.05</v>
      </c>
      <c r="J2117" s="106">
        <v>1000.0</v>
      </c>
      <c r="K2117" s="89" t="s">
        <v>50</v>
      </c>
      <c r="L2117" s="89" t="s">
        <v>856</v>
      </c>
      <c r="M2117" s="89">
        <v>2022.0</v>
      </c>
      <c r="N2117" s="90"/>
    </row>
    <row r="2118" ht="30.0" hidden="1" customHeight="1">
      <c r="A2118" s="86">
        <v>2137.0</v>
      </c>
      <c r="B2118" s="86"/>
      <c r="C2118" s="86"/>
      <c r="D2118" s="87" t="str">
        <f>CONCATENATE(PROPER('DASMA INFO'!$G2118),", ",PROPER('DASMA INFO'!$E2118)," ",PROPER('DASMA INFO'!$F2118),"."," (",UPPER('DASMA INFO'!$H2118),")")</f>
        <v>Bawar, Alden Dime. ()</v>
      </c>
      <c r="E2118" s="87" t="s">
        <v>3351</v>
      </c>
      <c r="F2118" s="87" t="s">
        <v>3755</v>
      </c>
      <c r="G2118" s="87" t="s">
        <v>3756</v>
      </c>
      <c r="H2118" s="87"/>
      <c r="I2118" s="105">
        <v>0.12</v>
      </c>
      <c r="J2118" s="106">
        <v>1000.0</v>
      </c>
      <c r="K2118" s="89" t="s">
        <v>1053</v>
      </c>
      <c r="L2118" s="89"/>
      <c r="M2118" s="89"/>
      <c r="N2118" s="90"/>
    </row>
    <row r="2119" ht="30.0" hidden="1" customHeight="1">
      <c r="A2119" s="86">
        <v>2138.0</v>
      </c>
      <c r="B2119" s="86"/>
      <c r="C2119" s="86"/>
      <c r="D2119" s="87" t="str">
        <f>CONCATENATE(PROPER('DASMA INFO'!$G2119),", ",PROPER('DASMA INFO'!$E2119)," ",PROPER('DASMA INFO'!$F2119),"."," (",UPPER('DASMA INFO'!$H2119),")")</f>
        <v>Dela Rosa, Maria Corazon Avena. ()</v>
      </c>
      <c r="E2119" s="87" t="s">
        <v>3757</v>
      </c>
      <c r="F2119" s="87" t="s">
        <v>3758</v>
      </c>
      <c r="G2119" s="87" t="s">
        <v>526</v>
      </c>
      <c r="H2119" s="87"/>
      <c r="I2119" s="105">
        <v>0.05</v>
      </c>
      <c r="J2119" s="106">
        <v>1000.0</v>
      </c>
      <c r="K2119" s="89" t="s">
        <v>50</v>
      </c>
      <c r="L2119" s="89"/>
      <c r="M2119" s="89"/>
      <c r="N2119" s="90" t="s">
        <v>2298</v>
      </c>
    </row>
    <row r="2120" ht="30.0" hidden="1" customHeight="1">
      <c r="A2120" s="86">
        <v>2139.0</v>
      </c>
      <c r="B2120" s="86"/>
      <c r="C2120" s="86"/>
      <c r="D2120" s="87" t="str">
        <f>CONCATENATE(PROPER('DASMA INFO'!$G2120),", ",PROPER('DASMA INFO'!$E2120)," ",PROPER('DASMA INFO'!$F2120),"."," (",UPPER('DASMA INFO'!$H2120),")")</f>
        <v>Lacaba, Rosanna Beduya. ()</v>
      </c>
      <c r="E2120" s="87" t="s">
        <v>3759</v>
      </c>
      <c r="F2120" s="87" t="s">
        <v>3760</v>
      </c>
      <c r="G2120" s="87" t="s">
        <v>3761</v>
      </c>
      <c r="H2120" s="87"/>
      <c r="I2120" s="105">
        <v>0.12</v>
      </c>
      <c r="J2120" s="106">
        <v>1000.0</v>
      </c>
      <c r="K2120" s="89"/>
      <c r="L2120" s="89"/>
      <c r="M2120" s="89"/>
      <c r="N2120" s="90"/>
    </row>
    <row r="2121" ht="30.0" hidden="1" customHeight="1">
      <c r="A2121" s="86">
        <v>2140.0</v>
      </c>
      <c r="B2121" s="86"/>
      <c r="C2121" s="86"/>
      <c r="D2121" s="87" t="str">
        <f>CONCATENATE(PROPER('DASMA INFO'!$G2121),", ",PROPER('DASMA INFO'!$E2121)," ",PROPER('DASMA INFO'!$F2121),"."," (",UPPER('DASMA INFO'!$H2121),")")</f>
        <v>Tuazon, Virgilio L. (JR)</v>
      </c>
      <c r="E2121" s="87" t="s">
        <v>1073</v>
      </c>
      <c r="F2121" s="87" t="s">
        <v>648</v>
      </c>
      <c r="G2121" s="87" t="s">
        <v>553</v>
      </c>
      <c r="H2121" s="87" t="s">
        <v>629</v>
      </c>
      <c r="I2121" s="105">
        <v>0.12</v>
      </c>
      <c r="J2121" s="106">
        <v>1000.0</v>
      </c>
      <c r="K2121" s="89" t="s">
        <v>1144</v>
      </c>
      <c r="L2121" s="89"/>
      <c r="M2121" s="89"/>
      <c r="N2121" s="90"/>
    </row>
    <row r="2122" ht="30.0" hidden="1" customHeight="1">
      <c r="A2122" s="86">
        <v>2141.0</v>
      </c>
      <c r="B2122" s="86"/>
      <c r="C2122" s="86"/>
      <c r="D2122" s="87" t="str">
        <f>CONCATENATE(PROPER('DASMA INFO'!$G2122),", ",PROPER('DASMA INFO'!$E2122)," ",PROPER('DASMA INFO'!$F2122),"."," (",UPPER('DASMA INFO'!$H2122),")")</f>
        <v>Delos Reyes, Arlene A. ()</v>
      </c>
      <c r="E2122" s="87" t="s">
        <v>1568</v>
      </c>
      <c r="F2122" s="87" t="s">
        <v>427</v>
      </c>
      <c r="G2122" s="87" t="s">
        <v>727</v>
      </c>
      <c r="H2122" s="87"/>
      <c r="I2122" s="105">
        <v>0.12</v>
      </c>
      <c r="J2122" s="106">
        <v>1000.0</v>
      </c>
      <c r="K2122" s="89" t="s">
        <v>3503</v>
      </c>
      <c r="L2122" s="89"/>
      <c r="M2122" s="89"/>
      <c r="N2122" s="90"/>
    </row>
    <row r="2123" ht="30.0" hidden="1" customHeight="1">
      <c r="A2123" s="86">
        <v>2142.0</v>
      </c>
      <c r="B2123" s="86"/>
      <c r="C2123" s="86"/>
      <c r="D2123" s="87" t="str">
        <f>CONCATENATE(PROPER('DASMA INFO'!$G2123),", ",PROPER('DASMA INFO'!$E2123)," ",PROPER('DASMA INFO'!$F2123),"."," (",UPPER('DASMA INFO'!$H2123),")")</f>
        <v>Deslate, Noel Francisco Nolasco. ()</v>
      </c>
      <c r="E2123" s="87" t="s">
        <v>3762</v>
      </c>
      <c r="F2123" s="87" t="s">
        <v>2614</v>
      </c>
      <c r="G2123" s="87" t="s">
        <v>3763</v>
      </c>
      <c r="H2123" s="87"/>
      <c r="I2123" s="105">
        <v>0.12</v>
      </c>
      <c r="J2123" s="106">
        <v>1000.0</v>
      </c>
      <c r="K2123" s="89" t="s">
        <v>3494</v>
      </c>
      <c r="L2123" s="89"/>
      <c r="M2123" s="89"/>
      <c r="N2123" s="90"/>
    </row>
    <row r="2124" ht="30.0" hidden="1" customHeight="1">
      <c r="A2124" s="86">
        <v>2143.0</v>
      </c>
      <c r="B2124" s="86"/>
      <c r="C2124" s="86"/>
      <c r="D2124" s="87" t="str">
        <f>CONCATENATE(PROPER('DASMA INFO'!$G2124),", ",PROPER('DASMA INFO'!$E2124)," ",PROPER('DASMA INFO'!$F2124),"."," (",UPPER('DASMA INFO'!$H2124),")")</f>
        <v>Salvador, Margie Santos. ()</v>
      </c>
      <c r="E2124" s="87" t="s">
        <v>582</v>
      </c>
      <c r="F2124" s="87" t="s">
        <v>204</v>
      </c>
      <c r="G2124" s="87" t="s">
        <v>900</v>
      </c>
      <c r="H2124" s="87"/>
      <c r="I2124" s="105">
        <v>0.12</v>
      </c>
      <c r="J2124" s="106">
        <v>1000.0</v>
      </c>
      <c r="K2124" s="89" t="s">
        <v>3764</v>
      </c>
      <c r="L2124" s="89"/>
      <c r="M2124" s="89"/>
      <c r="N2124" s="90"/>
    </row>
    <row r="2125" ht="30.0" hidden="1" customHeight="1">
      <c r="A2125" s="86">
        <v>2144.0</v>
      </c>
      <c r="B2125" s="86"/>
      <c r="C2125" s="86"/>
      <c r="D2125" s="87" t="str">
        <f>CONCATENATE(PROPER('DASMA INFO'!$G2125),", ",PROPER('DASMA INFO'!$E2125)," ",PROPER('DASMA INFO'!$F2125),"."," (",UPPER('DASMA INFO'!$H2125),")")</f>
        <v>Gonzales, Warlito Ancho. ()</v>
      </c>
      <c r="E2125" s="87" t="s">
        <v>939</v>
      </c>
      <c r="F2125" s="87" t="s">
        <v>3765</v>
      </c>
      <c r="G2125" s="87" t="s">
        <v>394</v>
      </c>
      <c r="H2125" s="87"/>
      <c r="I2125" s="105">
        <v>0.12</v>
      </c>
      <c r="J2125" s="106">
        <v>1000.0</v>
      </c>
      <c r="K2125" s="89" t="s">
        <v>3494</v>
      </c>
      <c r="L2125" s="89"/>
      <c r="M2125" s="89"/>
      <c r="N2125" s="90"/>
    </row>
    <row r="2126" ht="30.0" hidden="1" customHeight="1">
      <c r="A2126" s="86">
        <v>2145.0</v>
      </c>
      <c r="B2126" s="86"/>
      <c r="C2126" s="86"/>
      <c r="D2126" s="87" t="str">
        <f>CONCATENATE(PROPER('DASMA INFO'!$G2126),", ",PROPER('DASMA INFO'!$E2126)," ",PROPER('DASMA INFO'!$F2126),"."," (",UPPER('DASMA INFO'!$H2126),")")</f>
        <v>Portillas, Rogelyn Del Rosario. ()</v>
      </c>
      <c r="E2126" s="87" t="s">
        <v>3766</v>
      </c>
      <c r="F2126" s="87" t="s">
        <v>1711</v>
      </c>
      <c r="G2126" s="87" t="s">
        <v>3767</v>
      </c>
      <c r="H2126" s="87"/>
      <c r="I2126" s="105">
        <v>0.05</v>
      </c>
      <c r="J2126" s="106">
        <v>1000.0</v>
      </c>
      <c r="K2126" s="89" t="s">
        <v>50</v>
      </c>
      <c r="L2126" s="89" t="s">
        <v>3598</v>
      </c>
      <c r="M2126" s="89">
        <v>2022.0</v>
      </c>
      <c r="N2126" s="90"/>
    </row>
    <row r="2127" ht="30.0" hidden="1" customHeight="1">
      <c r="A2127" s="86">
        <v>2146.0</v>
      </c>
      <c r="B2127" s="86"/>
      <c r="C2127" s="86"/>
      <c r="D2127" s="87" t="str">
        <f>CONCATENATE(PROPER('DASMA INFO'!$G2127),", ",PROPER('DASMA INFO'!$E2127)," ",PROPER('DASMA INFO'!$F2127),"."," (",UPPER('DASMA INFO'!$H2127),")")</f>
        <v>Regoso, Geronimo Villaflores. ()</v>
      </c>
      <c r="E2127" s="87" t="s">
        <v>815</v>
      </c>
      <c r="F2127" s="87" t="s">
        <v>3374</v>
      </c>
      <c r="G2127" s="87" t="s">
        <v>3768</v>
      </c>
      <c r="H2127" s="87"/>
      <c r="I2127" s="105">
        <v>0.12</v>
      </c>
      <c r="J2127" s="106">
        <v>1000.0</v>
      </c>
      <c r="K2127" s="89" t="s">
        <v>1053</v>
      </c>
      <c r="L2127" s="89"/>
      <c r="M2127" s="89"/>
      <c r="N2127" s="90"/>
    </row>
    <row r="2128" ht="30.0" hidden="1" customHeight="1">
      <c r="A2128" s="86">
        <v>2147.0</v>
      </c>
      <c r="B2128" s="86"/>
      <c r="C2128" s="86"/>
      <c r="D2128" s="87" t="str">
        <f>CONCATENATE(PROPER('DASMA INFO'!$G2128),", ",PROPER('DASMA INFO'!$E2128)," ",PROPER('DASMA INFO'!$F2128),"."," (",UPPER('DASMA INFO'!$H2128),")")</f>
        <v>Guillermo, Prescilla Salise. ()</v>
      </c>
      <c r="E2128" s="87" t="s">
        <v>2241</v>
      </c>
      <c r="F2128" s="69" t="s">
        <v>3769</v>
      </c>
      <c r="G2128" s="87" t="s">
        <v>870</v>
      </c>
      <c r="H2128" s="87"/>
      <c r="I2128" s="105">
        <v>0.12</v>
      </c>
      <c r="J2128" s="106">
        <v>1000.0</v>
      </c>
      <c r="K2128" s="89" t="s">
        <v>3494</v>
      </c>
      <c r="L2128" s="89"/>
      <c r="M2128" s="89"/>
      <c r="N2128" s="90"/>
    </row>
    <row r="2129" ht="30.0" hidden="1" customHeight="1">
      <c r="A2129" s="86">
        <v>2148.0</v>
      </c>
      <c r="B2129" s="86"/>
      <c r="C2129" s="86"/>
      <c r="D2129" s="87" t="str">
        <f>CONCATENATE(PROPER('DASMA INFO'!$G2129),", ",PROPER('DASMA INFO'!$E2129)," ",PROPER('DASMA INFO'!$F2129),"."," (",UPPER('DASMA INFO'!$H2129),")")</f>
        <v>Ronquillo, Ryan Basilio. ()</v>
      </c>
      <c r="E2129" s="87" t="s">
        <v>1516</v>
      </c>
      <c r="F2129" s="87" t="s">
        <v>3770</v>
      </c>
      <c r="G2129" s="87" t="s">
        <v>3771</v>
      </c>
      <c r="H2129" s="87"/>
      <c r="I2129" s="105">
        <v>0.12</v>
      </c>
      <c r="J2129" s="106">
        <v>1000.0</v>
      </c>
      <c r="K2129" s="89" t="s">
        <v>1596</v>
      </c>
      <c r="L2129" s="89"/>
      <c r="M2129" s="89"/>
      <c r="N2129" s="90"/>
    </row>
    <row r="2130" ht="30.0" hidden="1" customHeight="1">
      <c r="A2130" s="86">
        <v>2149.0</v>
      </c>
      <c r="B2130" s="86"/>
      <c r="C2130" s="86"/>
      <c r="D2130" s="87" t="str">
        <f>CONCATENATE(PROPER('DASMA INFO'!$G2130),", ",PROPER('DASMA INFO'!$E2130)," ",PROPER('DASMA INFO'!$F2130),"."," (",UPPER('DASMA INFO'!$H2130),")")</f>
        <v>Querubin, Aida M. ()</v>
      </c>
      <c r="E2130" s="87" t="s">
        <v>1593</v>
      </c>
      <c r="F2130" s="87" t="s">
        <v>587</v>
      </c>
      <c r="G2130" s="87" t="s">
        <v>3772</v>
      </c>
      <c r="H2130" s="87"/>
      <c r="I2130" s="105">
        <v>0.12</v>
      </c>
      <c r="J2130" s="106">
        <v>1000.0</v>
      </c>
      <c r="K2130" s="89" t="s">
        <v>2354</v>
      </c>
      <c r="L2130" s="89"/>
      <c r="M2130" s="89"/>
      <c r="N2130" s="90"/>
    </row>
    <row r="2131" ht="30.0" hidden="1" customHeight="1">
      <c r="A2131" s="86">
        <v>2150.0</v>
      </c>
      <c r="B2131" s="86"/>
      <c r="C2131" s="86"/>
      <c r="D2131" s="87" t="str">
        <f>CONCATENATE(PROPER('DASMA INFO'!$G2131),", ",PROPER('DASMA INFO'!$E2131)," ",PROPER('DASMA INFO'!$F2131),"."," (",UPPER('DASMA INFO'!$H2131),")")</f>
        <v>Varlez, Christopher Regalado. ()</v>
      </c>
      <c r="E2131" s="87" t="s">
        <v>1101</v>
      </c>
      <c r="F2131" s="87" t="s">
        <v>1370</v>
      </c>
      <c r="G2131" s="87" t="s">
        <v>3773</v>
      </c>
      <c r="H2131" s="87"/>
      <c r="I2131" s="105">
        <v>0.12</v>
      </c>
      <c r="J2131" s="106">
        <v>1000.0</v>
      </c>
      <c r="K2131" s="89" t="s">
        <v>3494</v>
      </c>
      <c r="L2131" s="89"/>
      <c r="M2131" s="89"/>
      <c r="N2131" s="90"/>
    </row>
    <row r="2132" ht="30.0" hidden="1" customHeight="1">
      <c r="A2132" s="86">
        <v>2151.0</v>
      </c>
      <c r="B2132" s="86"/>
      <c r="C2132" s="86"/>
      <c r="D2132" s="87" t="str">
        <f>CONCATENATE(PROPER('DASMA INFO'!$G2132),", ",PROPER('DASMA INFO'!$E2132)," ",PROPER('DASMA INFO'!$F2132),"."," (",UPPER('DASMA INFO'!$H2132),")")</f>
        <v>Romualdez, Alfred . ()</v>
      </c>
      <c r="E2132" s="87" t="s">
        <v>3774</v>
      </c>
      <c r="F2132" s="87"/>
      <c r="G2132" s="87" t="s">
        <v>3775</v>
      </c>
      <c r="H2132" s="87"/>
      <c r="I2132" s="105">
        <v>0.05</v>
      </c>
      <c r="J2132" s="106">
        <v>1000.0</v>
      </c>
      <c r="K2132" s="89"/>
      <c r="L2132" s="89"/>
      <c r="M2132" s="89"/>
      <c r="N2132" s="90"/>
    </row>
    <row r="2133" ht="30.0" hidden="1" customHeight="1">
      <c r="A2133" s="86">
        <v>2152.0</v>
      </c>
      <c r="B2133" s="86"/>
      <c r="C2133" s="86"/>
      <c r="D2133" s="87" t="str">
        <f>CONCATENATE(PROPER('DASMA INFO'!$G2133),", ",PROPER('DASMA INFO'!$E2133)," ",PROPER('DASMA INFO'!$F2133),"."," (",UPPER('DASMA INFO'!$H2133),")")</f>
        <v>,  . ()</v>
      </c>
      <c r="E2133" s="87"/>
      <c r="F2133" s="87"/>
      <c r="G2133" s="87"/>
      <c r="H2133" s="87"/>
      <c r="I2133" s="105">
        <v>0.12</v>
      </c>
      <c r="J2133" s="106">
        <v>1000.0</v>
      </c>
      <c r="K2133" s="89"/>
      <c r="L2133" s="89"/>
      <c r="M2133" s="89"/>
      <c r="N2133" s="90"/>
    </row>
    <row r="2134" ht="30.0" hidden="1" customHeight="1">
      <c r="A2134" s="86">
        <v>2153.0</v>
      </c>
      <c r="B2134" s="86"/>
      <c r="C2134" s="86"/>
      <c r="D2134" s="87" t="str">
        <f>CONCATENATE(PROPER('DASMA INFO'!$G2134),", ",PROPER('DASMA INFO'!$E2134)," ",PROPER('DASMA INFO'!$F2134),"."," (",UPPER('DASMA INFO'!$H2134),")")</f>
        <v>Sarno, Raquel Alonzo. ()</v>
      </c>
      <c r="E2134" s="87" t="s">
        <v>191</v>
      </c>
      <c r="F2134" s="87" t="s">
        <v>3776</v>
      </c>
      <c r="G2134" s="87" t="s">
        <v>2645</v>
      </c>
      <c r="H2134" s="87"/>
      <c r="I2134" s="105">
        <v>0.05</v>
      </c>
      <c r="J2134" s="106">
        <v>1000.0</v>
      </c>
      <c r="K2134" s="89"/>
      <c r="L2134" s="89"/>
      <c r="M2134" s="89"/>
      <c r="N2134" s="90"/>
    </row>
    <row r="2135" ht="30.0" hidden="1" customHeight="1">
      <c r="A2135" s="86">
        <v>2154.0</v>
      </c>
      <c r="B2135" s="86"/>
      <c r="C2135" s="86"/>
      <c r="D2135" s="87" t="str">
        <f>CONCATENATE(PROPER('DASMA INFO'!$G2135),", ",PROPER('DASMA INFO'!$E2135)," ",PROPER('DASMA INFO'!$F2135),"."," (",UPPER('DASMA INFO'!$H2135),")")</f>
        <v>,  . ()</v>
      </c>
      <c r="E2135" s="87"/>
      <c r="F2135" s="87"/>
      <c r="G2135" s="87"/>
      <c r="H2135" s="87"/>
      <c r="I2135" s="105">
        <v>0.12</v>
      </c>
      <c r="J2135" s="106">
        <v>1000.0</v>
      </c>
      <c r="K2135" s="89"/>
      <c r="L2135" s="89"/>
      <c r="M2135" s="89"/>
      <c r="N2135" s="90"/>
    </row>
    <row r="2136" ht="30.0" hidden="1" customHeight="1">
      <c r="A2136" s="86">
        <v>2155.0</v>
      </c>
      <c r="B2136" s="86"/>
      <c r="C2136" s="86"/>
      <c r="D2136" s="87" t="str">
        <f>CONCATENATE(PROPER('DASMA INFO'!$G2136),", ",PROPER('DASMA INFO'!$E2136)," ",PROPER('DASMA INFO'!$F2136),"."," (",UPPER('DASMA INFO'!$H2136),")")</f>
        <v>Arguson, Hazel Jimenez. ()</v>
      </c>
      <c r="E2136" s="87" t="s">
        <v>1539</v>
      </c>
      <c r="F2136" s="87" t="s">
        <v>520</v>
      </c>
      <c r="G2136" s="87" t="s">
        <v>3777</v>
      </c>
      <c r="H2136" s="87"/>
      <c r="I2136" s="105">
        <v>0.05</v>
      </c>
      <c r="J2136" s="106">
        <v>1000.0</v>
      </c>
      <c r="K2136" s="89"/>
      <c r="L2136" s="89"/>
      <c r="M2136" s="89"/>
      <c r="N2136" s="90"/>
    </row>
    <row r="2137" ht="30.0" hidden="1" customHeight="1">
      <c r="A2137" s="86">
        <v>2156.0</v>
      </c>
      <c r="B2137" s="86"/>
      <c r="C2137" s="86"/>
      <c r="D2137" s="87" t="str">
        <f>CONCATENATE(PROPER('DASMA INFO'!$G2137),", ",PROPER('DASMA INFO'!$E2137)," ",PROPER('DASMA INFO'!$F2137),"."," (",UPPER('DASMA INFO'!$H2137),")")</f>
        <v>,  . ()</v>
      </c>
      <c r="E2137" s="87"/>
      <c r="F2137" s="87"/>
      <c r="G2137" s="87"/>
      <c r="H2137" s="87"/>
      <c r="I2137" s="105">
        <v>0.12</v>
      </c>
      <c r="J2137" s="106">
        <v>1000.0</v>
      </c>
      <c r="K2137" s="89"/>
      <c r="L2137" s="89"/>
      <c r="M2137" s="89"/>
      <c r="N2137" s="90"/>
    </row>
    <row r="2138" ht="30.0" hidden="1" customHeight="1">
      <c r="A2138" s="86">
        <v>2157.0</v>
      </c>
      <c r="B2138" s="86"/>
      <c r="C2138" s="86"/>
      <c r="D2138" s="87" t="str">
        <f>CONCATENATE(PROPER('DASMA INFO'!$G2138),", ",PROPER('DASMA INFO'!$E2138)," ",PROPER('DASMA INFO'!$F2138),"."," (",UPPER('DASMA INFO'!$H2138),")")</f>
        <v>,  . ()</v>
      </c>
      <c r="E2138" s="87"/>
      <c r="F2138" s="87"/>
      <c r="G2138" s="87"/>
      <c r="H2138" s="87"/>
      <c r="I2138" s="105">
        <v>0.12</v>
      </c>
      <c r="J2138" s="106">
        <v>1000.0</v>
      </c>
      <c r="K2138" s="89"/>
      <c r="L2138" s="89"/>
      <c r="M2138" s="89"/>
      <c r="N2138" s="90"/>
    </row>
    <row r="2139" ht="30.0" hidden="1" customHeight="1">
      <c r="A2139" s="86">
        <v>2158.0</v>
      </c>
      <c r="B2139" s="86"/>
      <c r="C2139" s="86"/>
      <c r="D2139" s="87" t="str">
        <f>CONCATENATE(PROPER('DASMA INFO'!$G2139),", ",PROPER('DASMA INFO'!$E2139)," ",PROPER('DASMA INFO'!$F2139),"."," (",UPPER('DASMA INFO'!$H2139),")")</f>
        <v>,  . ()</v>
      </c>
      <c r="E2139" s="87"/>
      <c r="F2139" s="87"/>
      <c r="G2139" s="87"/>
      <c r="H2139" s="87"/>
      <c r="I2139" s="105">
        <v>0.12</v>
      </c>
      <c r="J2139" s="106">
        <v>1000.0</v>
      </c>
      <c r="K2139" s="89"/>
      <c r="L2139" s="89"/>
      <c r="M2139" s="89"/>
      <c r="N2139" s="90"/>
    </row>
    <row r="2140" ht="30.0" hidden="1" customHeight="1">
      <c r="A2140" s="86">
        <v>2159.0</v>
      </c>
      <c r="B2140" s="86"/>
      <c r="C2140" s="86"/>
      <c r="D2140" s="87" t="str">
        <f>CONCATENATE(PROPER('DASMA INFO'!$G2140),", ",PROPER('DASMA INFO'!$E2140)," ",PROPER('DASMA INFO'!$F2140),"."," (",UPPER('DASMA INFO'!$H2140),")")</f>
        <v>,  . ()</v>
      </c>
      <c r="E2140" s="87"/>
      <c r="F2140" s="87"/>
      <c r="G2140" s="87"/>
      <c r="H2140" s="87"/>
      <c r="I2140" s="105">
        <v>0.12</v>
      </c>
      <c r="J2140" s="106">
        <v>1000.0</v>
      </c>
      <c r="K2140" s="89"/>
      <c r="L2140" s="89"/>
      <c r="M2140" s="89"/>
      <c r="N2140" s="90"/>
    </row>
    <row r="2141" ht="30.0" hidden="1" customHeight="1">
      <c r="A2141" s="86">
        <v>2160.0</v>
      </c>
      <c r="B2141" s="86"/>
      <c r="C2141" s="86"/>
      <c r="D2141" s="87" t="str">
        <f>CONCATENATE(PROPER('DASMA INFO'!$G2141),", ",PROPER('DASMA INFO'!$E2141)," ",PROPER('DASMA INFO'!$F2141),"."," (",UPPER('DASMA INFO'!$H2141),")")</f>
        <v>,  . ()</v>
      </c>
      <c r="E2141" s="87"/>
      <c r="F2141" s="87"/>
      <c r="G2141" s="87"/>
      <c r="H2141" s="87"/>
      <c r="I2141" s="105">
        <v>0.12</v>
      </c>
      <c r="J2141" s="106">
        <v>1000.0</v>
      </c>
      <c r="K2141" s="89"/>
      <c r="L2141" s="89"/>
      <c r="M2141" s="89"/>
      <c r="N2141" s="90"/>
    </row>
    <row r="2142" ht="30.0" hidden="1" customHeight="1">
      <c r="A2142" s="86">
        <v>2161.0</v>
      </c>
      <c r="B2142" s="86"/>
      <c r="C2142" s="86"/>
      <c r="D2142" s="87" t="str">
        <f>CONCATENATE(PROPER('DASMA INFO'!$G2142),", ",PROPER('DASMA INFO'!$E2142)," ",PROPER('DASMA INFO'!$F2142),"."," (",UPPER('DASMA INFO'!$H2142),")")</f>
        <v>,  . ()</v>
      </c>
      <c r="E2142" s="87"/>
      <c r="F2142" s="87"/>
      <c r="G2142" s="87"/>
      <c r="H2142" s="87"/>
      <c r="I2142" s="105">
        <v>0.12</v>
      </c>
      <c r="J2142" s="106">
        <v>1000.0</v>
      </c>
      <c r="K2142" s="89"/>
      <c r="L2142" s="89"/>
      <c r="M2142" s="89"/>
      <c r="N2142" s="90"/>
    </row>
    <row r="2143" ht="30.0" hidden="1" customHeight="1">
      <c r="A2143" s="86">
        <v>2162.0</v>
      </c>
      <c r="B2143" s="86"/>
      <c r="C2143" s="86"/>
      <c r="D2143" s="87" t="str">
        <f>CONCATENATE(PROPER('DASMA INFO'!$G2143),", ",PROPER('DASMA INFO'!$E2143)," ",PROPER('DASMA INFO'!$F2143),"."," (",UPPER('DASMA INFO'!$H2143),")")</f>
        <v>,  . ()</v>
      </c>
      <c r="E2143" s="87"/>
      <c r="F2143" s="87"/>
      <c r="G2143" s="87"/>
      <c r="H2143" s="87"/>
      <c r="I2143" s="105">
        <v>0.12</v>
      </c>
      <c r="J2143" s="106">
        <v>1000.0</v>
      </c>
      <c r="K2143" s="89"/>
      <c r="L2143" s="89"/>
      <c r="M2143" s="89"/>
      <c r="N2143" s="90"/>
    </row>
    <row r="2144" ht="30.0" hidden="1" customHeight="1">
      <c r="A2144" s="86">
        <v>2163.0</v>
      </c>
      <c r="B2144" s="86"/>
      <c r="C2144" s="86"/>
      <c r="D2144" s="87" t="str">
        <f>CONCATENATE(PROPER('DASMA INFO'!$G2144),", ",PROPER('DASMA INFO'!$E2144)," ",PROPER('DASMA INFO'!$F2144),"."," (",UPPER('DASMA INFO'!$H2144),")")</f>
        <v>,  . ()</v>
      </c>
      <c r="E2144" s="87"/>
      <c r="F2144" s="87"/>
      <c r="G2144" s="87"/>
      <c r="H2144" s="87"/>
      <c r="I2144" s="105">
        <v>0.12</v>
      </c>
      <c r="J2144" s="106">
        <v>1000.0</v>
      </c>
      <c r="K2144" s="89"/>
      <c r="L2144" s="89"/>
      <c r="M2144" s="89"/>
      <c r="N2144" s="90"/>
    </row>
    <row r="2145" ht="30.0" hidden="1" customHeight="1">
      <c r="A2145" s="86">
        <v>2164.0</v>
      </c>
      <c r="B2145" s="86"/>
      <c r="C2145" s="86"/>
      <c r="D2145" s="87" t="str">
        <f>CONCATENATE(PROPER('DASMA INFO'!$G2145),", ",PROPER('DASMA INFO'!$E2145)," ",PROPER('DASMA INFO'!$F2145),"."," (",UPPER('DASMA INFO'!$H2145),")")</f>
        <v>,  . ()</v>
      </c>
      <c r="E2145" s="87"/>
      <c r="F2145" s="87"/>
      <c r="G2145" s="87"/>
      <c r="H2145" s="87"/>
      <c r="I2145" s="105">
        <v>0.12</v>
      </c>
      <c r="J2145" s="106">
        <v>1000.0</v>
      </c>
      <c r="K2145" s="89"/>
      <c r="L2145" s="89"/>
      <c r="M2145" s="89"/>
      <c r="N2145" s="90"/>
    </row>
    <row r="2146" ht="30.0" hidden="1" customHeight="1">
      <c r="A2146" s="86">
        <v>2165.0</v>
      </c>
      <c r="B2146" s="86"/>
      <c r="C2146" s="86"/>
      <c r="D2146" s="87" t="str">
        <f>CONCATENATE(PROPER('DASMA INFO'!$G2146),", ",PROPER('DASMA INFO'!$E2146)," ",PROPER('DASMA INFO'!$F2146),"."," (",UPPER('DASMA INFO'!$H2146),")")</f>
        <v>,  . ()</v>
      </c>
      <c r="E2146" s="87"/>
      <c r="F2146" s="87"/>
      <c r="G2146" s="87"/>
      <c r="H2146" s="87"/>
      <c r="I2146" s="105">
        <v>0.12</v>
      </c>
      <c r="J2146" s="106">
        <v>1000.0</v>
      </c>
      <c r="K2146" s="89"/>
      <c r="L2146" s="89"/>
      <c r="M2146" s="89"/>
      <c r="N2146" s="90"/>
    </row>
    <row r="2147" ht="30.0" hidden="1" customHeight="1">
      <c r="A2147" s="86">
        <v>2166.0</v>
      </c>
      <c r="B2147" s="86"/>
      <c r="C2147" s="86"/>
      <c r="D2147" s="87" t="str">
        <f>CONCATENATE(PROPER('DASMA INFO'!$G2147),", ",PROPER('DASMA INFO'!$E2147)," ",PROPER('DASMA INFO'!$F2147),"."," (",UPPER('DASMA INFO'!$H2147),")")</f>
        <v>,  . ()</v>
      </c>
      <c r="E2147" s="87"/>
      <c r="F2147" s="87"/>
      <c r="G2147" s="87"/>
      <c r="H2147" s="87"/>
      <c r="I2147" s="105">
        <v>0.12</v>
      </c>
      <c r="J2147" s="106">
        <v>1000.0</v>
      </c>
      <c r="K2147" s="89"/>
      <c r="L2147" s="89"/>
      <c r="M2147" s="89"/>
      <c r="N2147" s="90"/>
    </row>
    <row r="2148" ht="30.0" hidden="1" customHeight="1">
      <c r="A2148" s="86">
        <v>2167.0</v>
      </c>
      <c r="B2148" s="86"/>
      <c r="C2148" s="86"/>
      <c r="D2148" s="87" t="str">
        <f>CONCATENATE(PROPER('DASMA INFO'!$G2148),", ",PROPER('DASMA INFO'!$E2148)," ",PROPER('DASMA INFO'!$F2148),"."," (",UPPER('DASMA INFO'!$H2148),")")</f>
        <v>,  . ()</v>
      </c>
      <c r="E2148" s="87"/>
      <c r="F2148" s="87"/>
      <c r="G2148" s="87"/>
      <c r="H2148" s="87"/>
      <c r="I2148" s="105">
        <v>0.12</v>
      </c>
      <c r="J2148" s="106">
        <v>1000.0</v>
      </c>
      <c r="K2148" s="89"/>
      <c r="L2148" s="89"/>
      <c r="M2148" s="89"/>
      <c r="N2148" s="90"/>
    </row>
    <row r="2149" ht="30.0" hidden="1" customHeight="1">
      <c r="A2149" s="86">
        <v>2168.0</v>
      </c>
      <c r="B2149" s="86"/>
      <c r="C2149" s="86"/>
      <c r="D2149" s="87" t="str">
        <f>CONCATENATE(PROPER('DASMA INFO'!$G2149),", ",PROPER('DASMA INFO'!$E2149)," ",PROPER('DASMA INFO'!$F2149),"."," (",UPPER('DASMA INFO'!$H2149),")")</f>
        <v>,  . ()</v>
      </c>
      <c r="E2149" s="87"/>
      <c r="F2149" s="87"/>
      <c r="G2149" s="87"/>
      <c r="H2149" s="87"/>
      <c r="I2149" s="105">
        <v>0.12</v>
      </c>
      <c r="J2149" s="106">
        <v>1000.0</v>
      </c>
      <c r="K2149" s="89"/>
      <c r="L2149" s="89"/>
      <c r="M2149" s="89"/>
      <c r="N2149" s="90"/>
    </row>
    <row r="2150" ht="30.0" hidden="1" customHeight="1">
      <c r="A2150" s="86">
        <v>2169.0</v>
      </c>
      <c r="B2150" s="86"/>
      <c r="C2150" s="86"/>
      <c r="D2150" s="87" t="str">
        <f>CONCATENATE(PROPER('DASMA INFO'!$G2150),", ",PROPER('DASMA INFO'!$E2150)," ",PROPER('DASMA INFO'!$F2150),"."," (",UPPER('DASMA INFO'!$H2150),")")</f>
        <v>,  . ()</v>
      </c>
      <c r="E2150" s="87"/>
      <c r="F2150" s="87"/>
      <c r="G2150" s="87"/>
      <c r="H2150" s="87"/>
      <c r="I2150" s="105">
        <v>0.12</v>
      </c>
      <c r="J2150" s="106">
        <v>1000.0</v>
      </c>
      <c r="K2150" s="89"/>
      <c r="L2150" s="89"/>
      <c r="M2150" s="89"/>
      <c r="N2150" s="90"/>
    </row>
    <row r="2151" ht="30.0" hidden="1" customHeight="1">
      <c r="A2151" s="86">
        <v>2170.0</v>
      </c>
      <c r="B2151" s="86"/>
      <c r="C2151" s="86"/>
      <c r="D2151" s="87" t="str">
        <f>CONCATENATE(PROPER('DASMA INFO'!$G2151),", ",PROPER('DASMA INFO'!$E2151)," ",PROPER('DASMA INFO'!$F2151),"."," (",UPPER('DASMA INFO'!$H2151),")")</f>
        <v>,  . ()</v>
      </c>
      <c r="E2151" s="87"/>
      <c r="F2151" s="87"/>
      <c r="G2151" s="87"/>
      <c r="H2151" s="87"/>
      <c r="I2151" s="105">
        <v>0.12</v>
      </c>
      <c r="J2151" s="106">
        <v>1000.0</v>
      </c>
      <c r="K2151" s="89"/>
      <c r="L2151" s="89"/>
      <c r="M2151" s="89"/>
      <c r="N2151" s="90"/>
    </row>
    <row r="2152" ht="30.0" hidden="1" customHeight="1">
      <c r="A2152" s="86">
        <v>2171.0</v>
      </c>
      <c r="B2152" s="86"/>
      <c r="C2152" s="86"/>
      <c r="D2152" s="87" t="str">
        <f>CONCATENATE(PROPER('DASMA INFO'!$G2152),", ",PROPER('DASMA INFO'!$E2152)," ",PROPER('DASMA INFO'!$F2152),"."," (",UPPER('DASMA INFO'!$H2152),")")</f>
        <v>,  . ()</v>
      </c>
      <c r="E2152" s="87"/>
      <c r="F2152" s="87"/>
      <c r="G2152" s="87"/>
      <c r="H2152" s="87"/>
      <c r="I2152" s="105">
        <v>0.12</v>
      </c>
      <c r="J2152" s="106">
        <v>1000.0</v>
      </c>
      <c r="K2152" s="89"/>
      <c r="L2152" s="89"/>
      <c r="M2152" s="89"/>
      <c r="N2152" s="90"/>
    </row>
    <row r="2153" ht="30.0" hidden="1" customHeight="1">
      <c r="A2153" s="86">
        <v>2172.0</v>
      </c>
      <c r="B2153" s="86"/>
      <c r="C2153" s="86"/>
      <c r="D2153" s="87" t="str">
        <f>CONCATENATE(PROPER('DASMA INFO'!$G2153),", ",PROPER('DASMA INFO'!$E2153)," ",PROPER('DASMA INFO'!$F2153),"."," (",UPPER('DASMA INFO'!$H2153),")")</f>
        <v>,  . ()</v>
      </c>
      <c r="E2153" s="87"/>
      <c r="F2153" s="87"/>
      <c r="G2153" s="87"/>
      <c r="H2153" s="87"/>
      <c r="I2153" s="105">
        <v>0.12</v>
      </c>
      <c r="J2153" s="106">
        <v>1000.0</v>
      </c>
      <c r="K2153" s="89"/>
      <c r="L2153" s="89"/>
      <c r="M2153" s="89"/>
      <c r="N2153" s="90"/>
    </row>
    <row r="2154" ht="30.0" hidden="1" customHeight="1">
      <c r="A2154" s="86">
        <v>2173.0</v>
      </c>
      <c r="B2154" s="86"/>
      <c r="C2154" s="86"/>
      <c r="D2154" s="87" t="str">
        <f>CONCATENATE(PROPER('DASMA INFO'!$G2154),", ",PROPER('DASMA INFO'!$E2154)," ",PROPER('DASMA INFO'!$F2154),"."," (",UPPER('DASMA INFO'!$H2154),")")</f>
        <v>,  . ()</v>
      </c>
      <c r="E2154" s="87"/>
      <c r="F2154" s="87"/>
      <c r="G2154" s="87"/>
      <c r="H2154" s="87"/>
      <c r="I2154" s="105">
        <v>0.12</v>
      </c>
      <c r="J2154" s="106">
        <v>1000.0</v>
      </c>
      <c r="K2154" s="89"/>
      <c r="L2154" s="89"/>
      <c r="M2154" s="89"/>
      <c r="N2154" s="90"/>
    </row>
    <row r="2155" ht="30.0" hidden="1" customHeight="1">
      <c r="A2155" s="86">
        <v>2174.0</v>
      </c>
      <c r="B2155" s="86"/>
      <c r="C2155" s="86"/>
      <c r="D2155" s="87" t="str">
        <f>CONCATENATE(PROPER('DASMA INFO'!$G2155),", ",PROPER('DASMA INFO'!$E2155)," ",PROPER('DASMA INFO'!$F2155),"."," (",UPPER('DASMA INFO'!$H2155),")")</f>
        <v>,  . ()</v>
      </c>
      <c r="E2155" s="87"/>
      <c r="F2155" s="87"/>
      <c r="G2155" s="87"/>
      <c r="H2155" s="87"/>
      <c r="I2155" s="105">
        <v>0.12</v>
      </c>
      <c r="J2155" s="106">
        <v>1000.0</v>
      </c>
      <c r="K2155" s="89"/>
      <c r="L2155" s="89"/>
      <c r="M2155" s="89"/>
      <c r="N2155" s="90"/>
    </row>
    <row r="2156" ht="30.0" hidden="1" customHeight="1">
      <c r="A2156" s="86">
        <v>2175.0</v>
      </c>
      <c r="B2156" s="86"/>
      <c r="C2156" s="86"/>
      <c r="D2156" s="87" t="str">
        <f>CONCATENATE(PROPER('DASMA INFO'!$G2156),", ",PROPER('DASMA INFO'!$E2156)," ",PROPER('DASMA INFO'!$F2156),"."," (",UPPER('DASMA INFO'!$H2156),")")</f>
        <v>,  . ()</v>
      </c>
      <c r="E2156" s="87"/>
      <c r="F2156" s="87"/>
      <c r="G2156" s="87"/>
      <c r="H2156" s="87"/>
      <c r="I2156" s="105">
        <v>0.12</v>
      </c>
      <c r="J2156" s="106">
        <v>1000.0</v>
      </c>
      <c r="K2156" s="89"/>
      <c r="L2156" s="89"/>
      <c r="M2156" s="89"/>
      <c r="N2156" s="90"/>
    </row>
    <row r="2157" ht="30.0" hidden="1" customHeight="1">
      <c r="A2157" s="86">
        <v>2176.0</v>
      </c>
      <c r="B2157" s="86"/>
      <c r="C2157" s="86"/>
      <c r="D2157" s="87" t="str">
        <f>CONCATENATE(PROPER('DASMA INFO'!$G2157),", ",PROPER('DASMA INFO'!$E2157)," ",PROPER('DASMA INFO'!$F2157),"."," (",UPPER('DASMA INFO'!$H2157),")")</f>
        <v>,  . ()</v>
      </c>
      <c r="E2157" s="87"/>
      <c r="F2157" s="87"/>
      <c r="G2157" s="87"/>
      <c r="H2157" s="87"/>
      <c r="I2157" s="105">
        <v>0.12</v>
      </c>
      <c r="J2157" s="106">
        <v>1000.0</v>
      </c>
      <c r="K2157" s="89"/>
      <c r="L2157" s="89"/>
      <c r="M2157" s="89"/>
      <c r="N2157" s="90"/>
    </row>
    <row r="2158" ht="30.0" hidden="1" customHeight="1">
      <c r="A2158" s="86">
        <v>2177.0</v>
      </c>
      <c r="B2158" s="86"/>
      <c r="C2158" s="86"/>
      <c r="D2158" s="87" t="str">
        <f>CONCATENATE(PROPER('DASMA INFO'!$G2158),", ",PROPER('DASMA INFO'!$E2158)," ",PROPER('DASMA INFO'!$F2158),"."," (",UPPER('DASMA INFO'!$H2158),")")</f>
        <v>,  . ()</v>
      </c>
      <c r="E2158" s="87"/>
      <c r="F2158" s="87"/>
      <c r="G2158" s="87"/>
      <c r="H2158" s="87"/>
      <c r="I2158" s="105">
        <v>0.12</v>
      </c>
      <c r="J2158" s="106">
        <v>1000.0</v>
      </c>
      <c r="K2158" s="89"/>
      <c r="L2158" s="89"/>
      <c r="M2158" s="89"/>
      <c r="N2158" s="90"/>
    </row>
    <row r="2159" ht="30.0" hidden="1" customHeight="1">
      <c r="A2159" s="86">
        <v>2178.0</v>
      </c>
      <c r="B2159" s="86"/>
      <c r="C2159" s="86"/>
      <c r="D2159" s="87" t="str">
        <f>CONCATENATE(PROPER('DASMA INFO'!$G2159),", ",PROPER('DASMA INFO'!$E2159)," ",PROPER('DASMA INFO'!$F2159),"."," (",UPPER('DASMA INFO'!$H2159),")")</f>
        <v>,  . ()</v>
      </c>
      <c r="E2159" s="87"/>
      <c r="F2159" s="87"/>
      <c r="G2159" s="87"/>
      <c r="H2159" s="87"/>
      <c r="I2159" s="105">
        <v>0.12</v>
      </c>
      <c r="J2159" s="106">
        <v>1000.0</v>
      </c>
      <c r="K2159" s="89"/>
      <c r="L2159" s="89"/>
      <c r="M2159" s="89"/>
      <c r="N2159" s="90"/>
    </row>
    <row r="2160" ht="30.0" hidden="1" customHeight="1">
      <c r="A2160" s="86">
        <v>2179.0</v>
      </c>
      <c r="B2160" s="86"/>
      <c r="C2160" s="86"/>
      <c r="D2160" s="87" t="str">
        <f>CONCATENATE(PROPER('DASMA INFO'!$G2160),", ",PROPER('DASMA INFO'!$E2160)," ",PROPER('DASMA INFO'!$F2160),"."," (",UPPER('DASMA INFO'!$H2160),")")</f>
        <v>,  . ()</v>
      </c>
      <c r="E2160" s="87"/>
      <c r="F2160" s="87"/>
      <c r="G2160" s="87"/>
      <c r="H2160" s="87"/>
      <c r="I2160" s="105">
        <v>0.12</v>
      </c>
      <c r="J2160" s="106">
        <v>1000.0</v>
      </c>
      <c r="K2160" s="89"/>
      <c r="L2160" s="89"/>
      <c r="M2160" s="89"/>
      <c r="N2160" s="90"/>
    </row>
  </sheetData>
  <mergeCells count="2">
    <mergeCell ref="A1:C1"/>
    <mergeCell ref="D1:H1"/>
  </mergeCells>
  <printOptions/>
  <pageMargins bottom="0.26" footer="0.0" header="0.0" left="0.25" right="0.25" top="0.35"/>
  <pageSetup paperSize="5" orientation="landscape"/>
  <headerFooter>
    <oddFooter>&amp;CPage &amp;P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CDDC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8.0"/>
    <col customWidth="1" min="3" max="3" width="9.71"/>
    <col customWidth="1" min="4" max="4" width="27.57"/>
    <col customWidth="1" hidden="1" min="5" max="5" width="16.0"/>
    <col customWidth="1" min="6" max="6" width="29.57"/>
    <col customWidth="1" min="7" max="7" width="27.43"/>
    <col customWidth="1" min="8" max="8" width="26.71"/>
    <col customWidth="1" min="9" max="9" width="25.71"/>
  </cols>
  <sheetData>
    <row r="1" ht="14.25" customHeight="1">
      <c r="B1" s="117" t="s">
        <v>3778</v>
      </c>
      <c r="C1" s="118" t="s">
        <v>3779</v>
      </c>
      <c r="D1" s="119" t="s">
        <v>3780</v>
      </c>
      <c r="E1" s="120"/>
      <c r="F1" s="121" t="s">
        <v>3781</v>
      </c>
      <c r="G1" s="122" t="s">
        <v>3782</v>
      </c>
      <c r="H1" s="123" t="s">
        <v>3783</v>
      </c>
      <c r="I1" s="124" t="s">
        <v>3784</v>
      </c>
    </row>
    <row r="2" ht="62.25" customHeight="1">
      <c r="B2" s="125">
        <f>COUNT('REGISTERED BIDDERS'!$B$5:$B$83)</f>
        <v>40</v>
      </c>
      <c r="C2" s="126">
        <f>SUM('REGISTERED BIDDERS'!$C$5:$C$83)</f>
        <v>0</v>
      </c>
      <c r="D2" s="127">
        <f>SUM('REGISTERED BIDDERS'!$D$5:$D$83)</f>
        <v>0</v>
      </c>
      <c r="E2" s="128"/>
      <c r="F2" s="129">
        <f>SUM('REGISTERED BIDDERS'!$F$5:$F$83)</f>
        <v>0</v>
      </c>
      <c r="G2" s="130" t="str">
        <f>SUM('REGISTERED BIDDERS'!$G$5:$G$83)</f>
        <v>#N/A</v>
      </c>
      <c r="H2" s="131" t="str">
        <f>SUM('REGISTERED BIDDERS'!$H$5:$H$83)</f>
        <v>#N/A</v>
      </c>
      <c r="I2" s="132">
        <f>SUM('JANUARY 10, 2026'!$G$4:$G$1189)</f>
        <v>0</v>
      </c>
    </row>
    <row r="3" ht="14.25" customHeight="1">
      <c r="B3" s="133"/>
      <c r="C3" s="134"/>
      <c r="D3" s="135"/>
      <c r="F3" s="136"/>
      <c r="G3" s="137"/>
      <c r="H3" s="137"/>
    </row>
    <row r="4" ht="39.0" customHeight="1">
      <c r="A4" s="138" t="s">
        <v>3785</v>
      </c>
      <c r="B4" s="139" t="s">
        <v>3786</v>
      </c>
      <c r="C4" s="140" t="s">
        <v>3787</v>
      </c>
      <c r="D4" s="141" t="s">
        <v>3788</v>
      </c>
      <c r="E4" s="142" t="s">
        <v>3789</v>
      </c>
      <c r="F4" s="143" t="s">
        <v>3790</v>
      </c>
      <c r="G4" s="144" t="s">
        <v>3791</v>
      </c>
      <c r="H4" s="145" t="s">
        <v>3792</v>
      </c>
      <c r="I4" s="142" t="s">
        <v>3793</v>
      </c>
    </row>
    <row r="5" ht="24.75" customHeight="1">
      <c r="A5" s="146"/>
      <c r="B5" s="147">
        <v>4.0</v>
      </c>
      <c r="C5" s="148">
        <f>COUNTIF('JANUARY 10, 2026'!$A$4:$A$1189,'REGISTERED BIDDERS'!$B5)</f>
        <v>0</v>
      </c>
      <c r="D5" s="149">
        <f>SUMIF('JANUARY 10, 2026'!$A$4:$A$1189,'REGISTERED BIDDERS'!$B5,'JANUARY 10, 2026'!$G$4:$G$1189)</f>
        <v>0</v>
      </c>
      <c r="E5" s="150">
        <f t="shared" ref="E5:E83" si="1">IFERROR(LOOKUP(B5,'NEW INFO'!$A$3:$A$1779,'NEW INFO'!$H$3:$H$1779),12%)</f>
        <v>0.12</v>
      </c>
      <c r="F5" s="149">
        <f t="shared" ref="F5:F83" si="2">D5*E5</f>
        <v>0</v>
      </c>
      <c r="G5" s="149" t="str">
        <f t="shared" ref="G5:G83" si="3">IF(B5,LOOKUP(B5,'NEW INFO'!$A$3:$A$1779,'NEW INFO'!$I$3:$I$1779),"NA")</f>
        <v>#N/A</v>
      </c>
      <c r="H5" s="151" t="str">
        <f t="shared" ref="H5:H83" si="4">IF(G5&gt;=(F5+D5),0,F5+D5-G5)</f>
        <v>#N/A</v>
      </c>
      <c r="I5" s="152"/>
    </row>
    <row r="6" ht="14.25" customHeight="1">
      <c r="A6" s="146"/>
      <c r="B6" s="147">
        <v>224.0</v>
      </c>
      <c r="C6" s="148">
        <f>COUNTIF('JANUARY 10, 2026'!$A$4:$A$1189,'REGISTERED BIDDERS'!$B6)</f>
        <v>0</v>
      </c>
      <c r="D6" s="149">
        <f>SUMIF('JANUARY 10, 2026'!$A$4:$A$1189,'REGISTERED BIDDERS'!$B6,'JANUARY 10, 2026'!$G$4:$G$1189)</f>
        <v>0</v>
      </c>
      <c r="E6" s="150">
        <f t="shared" si="1"/>
        <v>0.12</v>
      </c>
      <c r="F6" s="149">
        <f t="shared" si="2"/>
        <v>0</v>
      </c>
      <c r="G6" s="149" t="str">
        <f t="shared" si="3"/>
        <v>#N/A</v>
      </c>
      <c r="H6" s="151" t="str">
        <f t="shared" si="4"/>
        <v>#N/A</v>
      </c>
      <c r="I6" s="152"/>
    </row>
    <row r="7" ht="14.25" customHeight="1">
      <c r="A7" s="146"/>
      <c r="B7" s="147">
        <v>270.0</v>
      </c>
      <c r="C7" s="148">
        <f>COUNTIF('JANUARY 10, 2026'!$A$4:$A$1189,'REGISTERED BIDDERS'!$B7)</f>
        <v>0</v>
      </c>
      <c r="D7" s="149">
        <f>SUMIF('JANUARY 10, 2026'!$A$4:$A$1189,'REGISTERED BIDDERS'!$B7,'JANUARY 10, 2026'!$G$4:$G$1189)</f>
        <v>0</v>
      </c>
      <c r="E7" s="150">
        <f t="shared" si="1"/>
        <v>0.12</v>
      </c>
      <c r="F7" s="149">
        <f t="shared" si="2"/>
        <v>0</v>
      </c>
      <c r="G7" s="149" t="str">
        <f t="shared" si="3"/>
        <v>#N/A</v>
      </c>
      <c r="H7" s="151" t="str">
        <f t="shared" si="4"/>
        <v>#N/A</v>
      </c>
      <c r="I7" s="152"/>
    </row>
    <row r="8" ht="14.25" customHeight="1">
      <c r="A8" s="146"/>
      <c r="B8" s="147">
        <v>93.0</v>
      </c>
      <c r="C8" s="148">
        <f>COUNTIF('JANUARY 10, 2026'!$A$4:$A$1189,'REGISTERED BIDDERS'!$B8)</f>
        <v>0</v>
      </c>
      <c r="D8" s="149">
        <f>SUMIF('JANUARY 10, 2026'!$A$4:$A$1189,'REGISTERED BIDDERS'!$B8,'JANUARY 10, 2026'!$G$4:$G$1189)</f>
        <v>0</v>
      </c>
      <c r="E8" s="150">
        <f t="shared" si="1"/>
        <v>0.12</v>
      </c>
      <c r="F8" s="149">
        <f t="shared" si="2"/>
        <v>0</v>
      </c>
      <c r="G8" s="149" t="str">
        <f t="shared" si="3"/>
        <v>#N/A</v>
      </c>
      <c r="H8" s="151" t="str">
        <f t="shared" si="4"/>
        <v>#N/A</v>
      </c>
      <c r="I8" s="152"/>
    </row>
    <row r="9" ht="14.25" customHeight="1">
      <c r="A9" s="146"/>
      <c r="B9" s="147">
        <v>15.0</v>
      </c>
      <c r="C9" s="148">
        <f>COUNTIF('JANUARY 10, 2026'!$A$4:$A$1189,'REGISTERED BIDDERS'!$B9)</f>
        <v>0</v>
      </c>
      <c r="D9" s="149">
        <f>SUMIF('JANUARY 10, 2026'!$A$4:$A$1189,'REGISTERED BIDDERS'!$B9,'JANUARY 10, 2026'!$G$4:$G$1189)</f>
        <v>0</v>
      </c>
      <c r="E9" s="150">
        <f t="shared" si="1"/>
        <v>0.12</v>
      </c>
      <c r="F9" s="149">
        <f t="shared" si="2"/>
        <v>0</v>
      </c>
      <c r="G9" s="149" t="str">
        <f t="shared" si="3"/>
        <v>#N/A</v>
      </c>
      <c r="H9" s="151" t="str">
        <f t="shared" si="4"/>
        <v>#N/A</v>
      </c>
      <c r="I9" s="152"/>
    </row>
    <row r="10" ht="14.25" customHeight="1">
      <c r="A10" s="146"/>
      <c r="B10" s="147">
        <v>39.0</v>
      </c>
      <c r="C10" s="148">
        <f>COUNTIF('JANUARY 10, 2026'!$A$4:$A$1189,'REGISTERED BIDDERS'!$B10)</f>
        <v>0</v>
      </c>
      <c r="D10" s="149">
        <f>SUMIF('JANUARY 10, 2026'!$A$4:$A$1189,'REGISTERED BIDDERS'!$B10,'JANUARY 10, 2026'!$G$4:$G$1189)</f>
        <v>0</v>
      </c>
      <c r="E10" s="150">
        <f t="shared" si="1"/>
        <v>0.12</v>
      </c>
      <c r="F10" s="149">
        <f t="shared" si="2"/>
        <v>0</v>
      </c>
      <c r="G10" s="149" t="str">
        <f t="shared" si="3"/>
        <v>#N/A</v>
      </c>
      <c r="H10" s="151" t="str">
        <f t="shared" si="4"/>
        <v>#N/A</v>
      </c>
      <c r="I10" s="152"/>
    </row>
    <row r="11" ht="14.25" customHeight="1">
      <c r="A11" s="146"/>
      <c r="B11" s="147">
        <v>1081.0</v>
      </c>
      <c r="C11" s="148">
        <f>COUNTIF('JANUARY 10, 2026'!$A$4:$A$1189,'REGISTERED BIDDERS'!$B11)</f>
        <v>0</v>
      </c>
      <c r="D11" s="149">
        <f>SUMIF('JANUARY 10, 2026'!$A$4:$A$1189,'REGISTERED BIDDERS'!$B11,'JANUARY 10, 2026'!$G$4:$G$1189)</f>
        <v>0</v>
      </c>
      <c r="E11" s="150">
        <f t="shared" si="1"/>
        <v>0.12</v>
      </c>
      <c r="F11" s="149">
        <f t="shared" si="2"/>
        <v>0</v>
      </c>
      <c r="G11" s="149" t="str">
        <f t="shared" si="3"/>
        <v>#N/A</v>
      </c>
      <c r="H11" s="151" t="str">
        <f t="shared" si="4"/>
        <v>#N/A</v>
      </c>
      <c r="I11" s="152"/>
    </row>
    <row r="12" ht="14.25" customHeight="1">
      <c r="A12" s="146"/>
      <c r="B12" s="147">
        <v>1378.0</v>
      </c>
      <c r="C12" s="148">
        <f>COUNTIF('JANUARY 10, 2026'!$A$4:$A$1189,'REGISTERED BIDDERS'!$B12)</f>
        <v>0</v>
      </c>
      <c r="D12" s="149">
        <f>SUMIF('JANUARY 10, 2026'!$A$4:$A$1189,'REGISTERED BIDDERS'!$B12,'JANUARY 10, 2026'!$G$4:$G$1189)</f>
        <v>0</v>
      </c>
      <c r="E12" s="150">
        <f t="shared" si="1"/>
        <v>0.12</v>
      </c>
      <c r="F12" s="149">
        <f t="shared" si="2"/>
        <v>0</v>
      </c>
      <c r="G12" s="149" t="str">
        <f t="shared" si="3"/>
        <v>#N/A</v>
      </c>
      <c r="H12" s="151" t="str">
        <f t="shared" si="4"/>
        <v>#N/A</v>
      </c>
      <c r="I12" s="152"/>
    </row>
    <row r="13" ht="14.25" customHeight="1">
      <c r="A13" s="146"/>
      <c r="B13" s="147">
        <v>1155.0</v>
      </c>
      <c r="C13" s="148">
        <f>COUNTIF('JANUARY 10, 2026'!$A$4:$A$1189,'REGISTERED BIDDERS'!$B13)</f>
        <v>0</v>
      </c>
      <c r="D13" s="149">
        <f>SUMIF('JANUARY 10, 2026'!$A$4:$A$1189,'REGISTERED BIDDERS'!$B13,'JANUARY 10, 2026'!$G$4:$G$1189)</f>
        <v>0</v>
      </c>
      <c r="E13" s="150">
        <f t="shared" si="1"/>
        <v>0.12</v>
      </c>
      <c r="F13" s="149">
        <f t="shared" si="2"/>
        <v>0</v>
      </c>
      <c r="G13" s="149" t="str">
        <f t="shared" si="3"/>
        <v>#N/A</v>
      </c>
      <c r="H13" s="151" t="str">
        <f t="shared" si="4"/>
        <v>#N/A</v>
      </c>
      <c r="I13" s="152"/>
    </row>
    <row r="14" ht="14.25" customHeight="1">
      <c r="A14" s="146"/>
      <c r="B14" s="147">
        <v>1101.0</v>
      </c>
      <c r="C14" s="148">
        <f>COUNTIF('JANUARY 10, 2026'!$A$4:$A$1189,'REGISTERED BIDDERS'!$B14)</f>
        <v>0</v>
      </c>
      <c r="D14" s="149">
        <f>SUMIF('JANUARY 10, 2026'!$A$4:$A$1189,'REGISTERED BIDDERS'!$B14,'JANUARY 10, 2026'!$G$4:$G$1189)</f>
        <v>0</v>
      </c>
      <c r="E14" s="150">
        <f t="shared" si="1"/>
        <v>0.12</v>
      </c>
      <c r="F14" s="149">
        <f t="shared" si="2"/>
        <v>0</v>
      </c>
      <c r="G14" s="149" t="str">
        <f t="shared" si="3"/>
        <v>#N/A</v>
      </c>
      <c r="H14" s="151" t="str">
        <f t="shared" si="4"/>
        <v>#N/A</v>
      </c>
      <c r="I14" s="152"/>
    </row>
    <row r="15" ht="14.25" customHeight="1">
      <c r="A15" s="146"/>
      <c r="B15" s="147">
        <v>2.0</v>
      </c>
      <c r="C15" s="148">
        <f>COUNTIF('JANUARY 10, 2026'!$A$4:$A$1189,'REGISTERED BIDDERS'!$B15)</f>
        <v>0</v>
      </c>
      <c r="D15" s="149">
        <f>SUMIF('JANUARY 10, 2026'!$A$4:$A$1189,'REGISTERED BIDDERS'!$B15,'JANUARY 10, 2026'!$G$4:$G$1189)</f>
        <v>0</v>
      </c>
      <c r="E15" s="150">
        <f t="shared" si="1"/>
        <v>0.12</v>
      </c>
      <c r="F15" s="149">
        <f t="shared" si="2"/>
        <v>0</v>
      </c>
      <c r="G15" s="149" t="str">
        <f t="shared" si="3"/>
        <v>#N/A</v>
      </c>
      <c r="H15" s="151" t="str">
        <f t="shared" si="4"/>
        <v>#N/A</v>
      </c>
      <c r="I15" s="152"/>
    </row>
    <row r="16" ht="14.25" customHeight="1">
      <c r="A16" s="146"/>
      <c r="B16" s="147">
        <v>203.0</v>
      </c>
      <c r="C16" s="148">
        <f>COUNTIF('JANUARY 10, 2026'!$A$4:$A$1189,'REGISTERED BIDDERS'!$B16)</f>
        <v>0</v>
      </c>
      <c r="D16" s="149">
        <f>SUMIF('JANUARY 10, 2026'!$A$4:$A$1189,'REGISTERED BIDDERS'!$B16,'JANUARY 10, 2026'!$G$4:$G$1189)</f>
        <v>0</v>
      </c>
      <c r="E16" s="150">
        <f t="shared" si="1"/>
        <v>0.12</v>
      </c>
      <c r="F16" s="149">
        <f t="shared" si="2"/>
        <v>0</v>
      </c>
      <c r="G16" s="149" t="str">
        <f t="shared" si="3"/>
        <v>#N/A</v>
      </c>
      <c r="H16" s="151" t="str">
        <f t="shared" si="4"/>
        <v>#N/A</v>
      </c>
      <c r="I16" s="152"/>
    </row>
    <row r="17" ht="14.25" customHeight="1">
      <c r="A17" s="146"/>
      <c r="B17" s="147">
        <v>8.0</v>
      </c>
      <c r="C17" s="148">
        <f>COUNTIF('JANUARY 10, 2026'!$A$4:$A$1189,'REGISTERED BIDDERS'!$B17)</f>
        <v>0</v>
      </c>
      <c r="D17" s="149">
        <f>SUMIF('JANUARY 10, 2026'!$A$4:$A$1189,'REGISTERED BIDDERS'!$B17,'JANUARY 10, 2026'!$G$4:$G$1189)</f>
        <v>0</v>
      </c>
      <c r="E17" s="150">
        <f t="shared" si="1"/>
        <v>0.12</v>
      </c>
      <c r="F17" s="149">
        <f t="shared" si="2"/>
        <v>0</v>
      </c>
      <c r="G17" s="149" t="str">
        <f t="shared" si="3"/>
        <v>#N/A</v>
      </c>
      <c r="H17" s="151" t="str">
        <f t="shared" si="4"/>
        <v>#N/A</v>
      </c>
      <c r="I17" s="152"/>
    </row>
    <row r="18" ht="14.25" customHeight="1">
      <c r="A18" s="146"/>
      <c r="B18" s="147">
        <v>132.0</v>
      </c>
      <c r="C18" s="148">
        <f>COUNTIF('JANUARY 10, 2026'!$A$4:$A$1189,'REGISTERED BIDDERS'!$B18)</f>
        <v>0</v>
      </c>
      <c r="D18" s="149">
        <f>SUMIF('JANUARY 10, 2026'!$A$4:$A$1189,'REGISTERED BIDDERS'!$B18,'JANUARY 10, 2026'!$G$4:$G$1189)</f>
        <v>0</v>
      </c>
      <c r="E18" s="150">
        <f t="shared" si="1"/>
        <v>0.12</v>
      </c>
      <c r="F18" s="149">
        <f t="shared" si="2"/>
        <v>0</v>
      </c>
      <c r="G18" s="149" t="str">
        <f t="shared" si="3"/>
        <v>#N/A</v>
      </c>
      <c r="H18" s="151" t="str">
        <f t="shared" si="4"/>
        <v>#N/A</v>
      </c>
      <c r="I18" s="152"/>
    </row>
    <row r="19" ht="14.25" customHeight="1">
      <c r="A19" s="146"/>
      <c r="B19" s="147">
        <v>1113.0</v>
      </c>
      <c r="C19" s="148">
        <f>COUNTIF('JANUARY 10, 2026'!$A$4:$A$1189,'REGISTERED BIDDERS'!$B19)</f>
        <v>0</v>
      </c>
      <c r="D19" s="149">
        <f>SUMIF('JANUARY 10, 2026'!$A$4:$A$1189,'REGISTERED BIDDERS'!$B19,'JANUARY 10, 2026'!$G$4:$G$1189)</f>
        <v>0</v>
      </c>
      <c r="E19" s="150">
        <f t="shared" si="1"/>
        <v>0.12</v>
      </c>
      <c r="F19" s="149">
        <f t="shared" si="2"/>
        <v>0</v>
      </c>
      <c r="G19" s="149" t="str">
        <f t="shared" si="3"/>
        <v>#N/A</v>
      </c>
      <c r="H19" s="151" t="str">
        <f t="shared" si="4"/>
        <v>#N/A</v>
      </c>
      <c r="I19" s="152"/>
    </row>
    <row r="20" ht="14.25" customHeight="1">
      <c r="A20" s="146"/>
      <c r="B20" s="147">
        <v>98.0</v>
      </c>
      <c r="C20" s="148">
        <f>COUNTIF('JANUARY 10, 2026'!$A$4:$A$1189,'REGISTERED BIDDERS'!$B20)</f>
        <v>0</v>
      </c>
      <c r="D20" s="149">
        <f>SUMIF('JANUARY 10, 2026'!$A$4:$A$1189,'REGISTERED BIDDERS'!$B20,'JANUARY 10, 2026'!$G$4:$G$1189)</f>
        <v>0</v>
      </c>
      <c r="E20" s="150">
        <f t="shared" si="1"/>
        <v>0.12</v>
      </c>
      <c r="F20" s="149">
        <f t="shared" si="2"/>
        <v>0</v>
      </c>
      <c r="G20" s="149" t="str">
        <f t="shared" si="3"/>
        <v>#N/A</v>
      </c>
      <c r="H20" s="151" t="str">
        <f t="shared" si="4"/>
        <v>#N/A</v>
      </c>
      <c r="I20" s="152"/>
    </row>
    <row r="21" ht="14.25" customHeight="1">
      <c r="A21" s="146"/>
      <c r="B21" s="147">
        <v>58.0</v>
      </c>
      <c r="C21" s="148">
        <f>COUNTIF('JANUARY 10, 2026'!$A$4:$A$1189,'REGISTERED BIDDERS'!$B21)</f>
        <v>0</v>
      </c>
      <c r="D21" s="149">
        <f>SUMIF('JANUARY 10, 2026'!$A$4:$A$1189,'REGISTERED BIDDERS'!$B21,'JANUARY 10, 2026'!$G$4:$G$1189)</f>
        <v>0</v>
      </c>
      <c r="E21" s="150">
        <f t="shared" si="1"/>
        <v>0.12</v>
      </c>
      <c r="F21" s="149">
        <f t="shared" si="2"/>
        <v>0</v>
      </c>
      <c r="G21" s="149" t="str">
        <f t="shared" si="3"/>
        <v>#N/A</v>
      </c>
      <c r="H21" s="151" t="str">
        <f t="shared" si="4"/>
        <v>#N/A</v>
      </c>
      <c r="I21" s="152"/>
    </row>
    <row r="22" ht="14.25" customHeight="1">
      <c r="A22" s="146"/>
      <c r="B22" s="147">
        <v>398.0</v>
      </c>
      <c r="C22" s="148">
        <f>COUNTIF('JANUARY 10, 2026'!$A$4:$A$1189,'REGISTERED BIDDERS'!$B22)</f>
        <v>0</v>
      </c>
      <c r="D22" s="149">
        <f>SUMIF('JANUARY 10, 2026'!$A$4:$A$1189,'REGISTERED BIDDERS'!$B22,'JANUARY 10, 2026'!$G$4:$G$1189)</f>
        <v>0</v>
      </c>
      <c r="E22" s="150">
        <f t="shared" si="1"/>
        <v>0.12</v>
      </c>
      <c r="F22" s="149">
        <f t="shared" si="2"/>
        <v>0</v>
      </c>
      <c r="G22" s="149" t="str">
        <f t="shared" si="3"/>
        <v>#N/A</v>
      </c>
      <c r="H22" s="151" t="str">
        <f t="shared" si="4"/>
        <v>#N/A</v>
      </c>
      <c r="I22" s="152"/>
    </row>
    <row r="23" ht="14.25" customHeight="1">
      <c r="A23" s="146"/>
      <c r="B23" s="147">
        <v>1278.0</v>
      </c>
      <c r="C23" s="148">
        <f>COUNTIF('JANUARY 10, 2026'!$A$4:$A$1189,'REGISTERED BIDDERS'!$B23)</f>
        <v>0</v>
      </c>
      <c r="D23" s="149">
        <f>SUMIF('JANUARY 10, 2026'!$A$4:$A$1189,'REGISTERED BIDDERS'!$B23,'JANUARY 10, 2026'!$G$4:$G$1189)</f>
        <v>0</v>
      </c>
      <c r="E23" s="150">
        <f t="shared" si="1"/>
        <v>0.12</v>
      </c>
      <c r="F23" s="149">
        <f t="shared" si="2"/>
        <v>0</v>
      </c>
      <c r="G23" s="149" t="str">
        <f t="shared" si="3"/>
        <v>#N/A</v>
      </c>
      <c r="H23" s="151" t="str">
        <f t="shared" si="4"/>
        <v>#N/A</v>
      </c>
      <c r="I23" s="152"/>
    </row>
    <row r="24" ht="14.25" customHeight="1">
      <c r="A24" s="146"/>
      <c r="B24" s="147">
        <v>1363.0</v>
      </c>
      <c r="C24" s="148">
        <f>COUNTIF('JANUARY 10, 2026'!$A$4:$A$1189,'REGISTERED BIDDERS'!$B24)</f>
        <v>0</v>
      </c>
      <c r="D24" s="149">
        <f>SUMIF('JANUARY 10, 2026'!$A$4:$A$1189,'REGISTERED BIDDERS'!$B24,'JANUARY 10, 2026'!$G$4:$G$1189)</f>
        <v>0</v>
      </c>
      <c r="E24" s="150">
        <f t="shared" si="1"/>
        <v>0.12</v>
      </c>
      <c r="F24" s="149">
        <f t="shared" si="2"/>
        <v>0</v>
      </c>
      <c r="G24" s="149" t="str">
        <f t="shared" si="3"/>
        <v>#N/A</v>
      </c>
      <c r="H24" s="151" t="str">
        <f t="shared" si="4"/>
        <v>#N/A</v>
      </c>
      <c r="I24" s="152"/>
    </row>
    <row r="25" ht="14.25" customHeight="1">
      <c r="A25" s="146"/>
      <c r="B25" s="147">
        <v>1430.0</v>
      </c>
      <c r="C25" s="148">
        <f>COUNTIF('JANUARY 10, 2026'!$A$4:$A$1189,'REGISTERED BIDDERS'!$B25)</f>
        <v>0</v>
      </c>
      <c r="D25" s="149">
        <f>SUMIF('JANUARY 10, 2026'!$A$4:$A$1189,'REGISTERED BIDDERS'!$B25,'JANUARY 10, 2026'!$G$4:$G$1189)</f>
        <v>0</v>
      </c>
      <c r="E25" s="150">
        <f t="shared" si="1"/>
        <v>0.12</v>
      </c>
      <c r="F25" s="149">
        <f t="shared" si="2"/>
        <v>0</v>
      </c>
      <c r="G25" s="149" t="str">
        <f t="shared" si="3"/>
        <v>#N/A</v>
      </c>
      <c r="H25" s="151" t="str">
        <f t="shared" si="4"/>
        <v>#N/A</v>
      </c>
      <c r="I25" s="152"/>
    </row>
    <row r="26" ht="14.25" customHeight="1">
      <c r="A26" s="146"/>
      <c r="B26" s="147">
        <v>1431.0</v>
      </c>
      <c r="C26" s="148">
        <f>COUNTIF('JANUARY 10, 2026'!$A$4:$A$1189,'REGISTERED BIDDERS'!$B26)</f>
        <v>0</v>
      </c>
      <c r="D26" s="149">
        <f>SUMIF('JANUARY 10, 2026'!$A$4:$A$1189,'REGISTERED BIDDERS'!$B26,'JANUARY 10, 2026'!$G$4:$G$1189)</f>
        <v>0</v>
      </c>
      <c r="E26" s="150">
        <f t="shared" si="1"/>
        <v>0.12</v>
      </c>
      <c r="F26" s="149">
        <f t="shared" si="2"/>
        <v>0</v>
      </c>
      <c r="G26" s="149" t="str">
        <f t="shared" si="3"/>
        <v>#N/A</v>
      </c>
      <c r="H26" s="151" t="str">
        <f t="shared" si="4"/>
        <v>#N/A</v>
      </c>
      <c r="I26" s="152"/>
    </row>
    <row r="27" ht="14.25" customHeight="1">
      <c r="A27" s="146"/>
      <c r="B27" s="147">
        <v>1432.0</v>
      </c>
      <c r="C27" s="148">
        <f>COUNTIF('JANUARY 10, 2026'!$A$4:$A$1189,'REGISTERED BIDDERS'!$B27)</f>
        <v>0</v>
      </c>
      <c r="D27" s="149">
        <f>SUMIF('JANUARY 10, 2026'!$A$4:$A$1189,'REGISTERED BIDDERS'!$B27,'JANUARY 10, 2026'!$G$4:$G$1189)</f>
        <v>0</v>
      </c>
      <c r="E27" s="150">
        <f t="shared" si="1"/>
        <v>0.12</v>
      </c>
      <c r="F27" s="149">
        <f t="shared" si="2"/>
        <v>0</v>
      </c>
      <c r="G27" s="149" t="str">
        <f t="shared" si="3"/>
        <v>#N/A</v>
      </c>
      <c r="H27" s="151" t="str">
        <f t="shared" si="4"/>
        <v>#N/A</v>
      </c>
      <c r="I27" s="152"/>
    </row>
    <row r="28" ht="14.25" customHeight="1">
      <c r="A28" s="146"/>
      <c r="B28" s="147">
        <v>372.0</v>
      </c>
      <c r="C28" s="148">
        <f>COUNTIF('JANUARY 10, 2026'!$A$4:$A$1189,'REGISTERED BIDDERS'!$B28)</f>
        <v>0</v>
      </c>
      <c r="D28" s="149">
        <f>SUMIF('JANUARY 10, 2026'!$A$4:$A$1189,'REGISTERED BIDDERS'!$B28,'JANUARY 10, 2026'!$G$4:$G$1189)</f>
        <v>0</v>
      </c>
      <c r="E28" s="150">
        <f t="shared" si="1"/>
        <v>0.12</v>
      </c>
      <c r="F28" s="149">
        <f t="shared" si="2"/>
        <v>0</v>
      </c>
      <c r="G28" s="149" t="str">
        <f t="shared" si="3"/>
        <v>#N/A</v>
      </c>
      <c r="H28" s="151" t="str">
        <f t="shared" si="4"/>
        <v>#N/A</v>
      </c>
      <c r="I28" s="152"/>
    </row>
    <row r="29" ht="14.25" customHeight="1">
      <c r="A29" s="146"/>
      <c r="B29" s="147">
        <v>209.0</v>
      </c>
      <c r="C29" s="148">
        <f>COUNTIF('JANUARY 10, 2026'!$A$4:$A$1189,'REGISTERED BIDDERS'!$B29)</f>
        <v>0</v>
      </c>
      <c r="D29" s="149">
        <f>SUMIF('JANUARY 10, 2026'!$A$4:$A$1189,'REGISTERED BIDDERS'!$B29,'JANUARY 10, 2026'!$G$4:$G$1189)</f>
        <v>0</v>
      </c>
      <c r="E29" s="150">
        <f t="shared" si="1"/>
        <v>0.12</v>
      </c>
      <c r="F29" s="149">
        <f t="shared" si="2"/>
        <v>0</v>
      </c>
      <c r="G29" s="149" t="str">
        <f t="shared" si="3"/>
        <v>#N/A</v>
      </c>
      <c r="H29" s="151" t="str">
        <f t="shared" si="4"/>
        <v>#N/A</v>
      </c>
      <c r="I29" s="152"/>
    </row>
    <row r="30" ht="14.25" customHeight="1">
      <c r="A30" s="146"/>
      <c r="B30" s="147">
        <v>335.0</v>
      </c>
      <c r="C30" s="148">
        <f>COUNTIF('JANUARY 10, 2026'!$A$4:$A$1189,'REGISTERED BIDDERS'!$B30)</f>
        <v>0</v>
      </c>
      <c r="D30" s="149">
        <f>SUMIF('JANUARY 10, 2026'!$A$4:$A$1189,'REGISTERED BIDDERS'!$B30,'JANUARY 10, 2026'!$G$4:$G$1189)</f>
        <v>0</v>
      </c>
      <c r="E30" s="150">
        <f t="shared" si="1"/>
        <v>0.12</v>
      </c>
      <c r="F30" s="149">
        <f t="shared" si="2"/>
        <v>0</v>
      </c>
      <c r="G30" s="149" t="str">
        <f t="shared" si="3"/>
        <v>#N/A</v>
      </c>
      <c r="H30" s="151" t="str">
        <f t="shared" si="4"/>
        <v>#N/A</v>
      </c>
      <c r="I30" s="152"/>
    </row>
    <row r="31" ht="14.25" customHeight="1">
      <c r="A31" s="146"/>
      <c r="B31" s="147">
        <v>5.0</v>
      </c>
      <c r="C31" s="148">
        <f>COUNTIF('JANUARY 10, 2026'!$A$4:$A$1189,'REGISTERED BIDDERS'!$B31)</f>
        <v>0</v>
      </c>
      <c r="D31" s="149">
        <f>SUMIF('JANUARY 10, 2026'!$A$4:$A$1189,'REGISTERED BIDDERS'!$B31,'JANUARY 10, 2026'!$G$4:$G$1189)</f>
        <v>0</v>
      </c>
      <c r="E31" s="150">
        <f t="shared" si="1"/>
        <v>0.12</v>
      </c>
      <c r="F31" s="149">
        <f t="shared" si="2"/>
        <v>0</v>
      </c>
      <c r="G31" s="149" t="str">
        <f t="shared" si="3"/>
        <v>#N/A</v>
      </c>
      <c r="H31" s="151" t="str">
        <f t="shared" si="4"/>
        <v>#N/A</v>
      </c>
      <c r="I31" s="152"/>
    </row>
    <row r="32" ht="14.25" customHeight="1">
      <c r="A32" s="146"/>
      <c r="B32" s="147">
        <v>88.0</v>
      </c>
      <c r="C32" s="148">
        <f>COUNTIF('JANUARY 10, 2026'!$A$4:$A$1189,'REGISTERED BIDDERS'!$B32)</f>
        <v>0</v>
      </c>
      <c r="D32" s="149">
        <f>SUMIF('JANUARY 10, 2026'!$A$4:$A$1189,'REGISTERED BIDDERS'!$B32,'JANUARY 10, 2026'!$G$4:$G$1189)</f>
        <v>0</v>
      </c>
      <c r="E32" s="150">
        <f t="shared" si="1"/>
        <v>0.12</v>
      </c>
      <c r="F32" s="149">
        <f t="shared" si="2"/>
        <v>0</v>
      </c>
      <c r="G32" s="149" t="str">
        <f t="shared" si="3"/>
        <v>#N/A</v>
      </c>
      <c r="H32" s="151" t="str">
        <f t="shared" si="4"/>
        <v>#N/A</v>
      </c>
      <c r="I32" s="152"/>
    </row>
    <row r="33" ht="14.25" customHeight="1">
      <c r="A33" s="146"/>
      <c r="B33" s="147">
        <v>1377.0</v>
      </c>
      <c r="C33" s="148">
        <f>COUNTIF('JANUARY 10, 2026'!$A$4:$A$1189,'REGISTERED BIDDERS'!$B33)</f>
        <v>0</v>
      </c>
      <c r="D33" s="149">
        <f>SUMIF('JANUARY 10, 2026'!$A$4:$A$1189,'REGISTERED BIDDERS'!$B33,'JANUARY 10, 2026'!$G$4:$G$1189)</f>
        <v>0</v>
      </c>
      <c r="E33" s="150">
        <f t="shared" si="1"/>
        <v>0.12</v>
      </c>
      <c r="F33" s="149">
        <f t="shared" si="2"/>
        <v>0</v>
      </c>
      <c r="G33" s="149" t="str">
        <f t="shared" si="3"/>
        <v>#N/A</v>
      </c>
      <c r="H33" s="151" t="str">
        <f t="shared" si="4"/>
        <v>#N/A</v>
      </c>
      <c r="I33" s="152"/>
    </row>
    <row r="34" ht="14.25" customHeight="1">
      <c r="A34" s="146"/>
      <c r="B34" s="147">
        <v>277.0</v>
      </c>
      <c r="C34" s="148">
        <f>COUNTIF('JANUARY 10, 2026'!$A$4:$A$1189,'REGISTERED BIDDERS'!$B34)</f>
        <v>0</v>
      </c>
      <c r="D34" s="149">
        <f>SUMIF('JANUARY 10, 2026'!$A$4:$A$1189,'REGISTERED BIDDERS'!$B34,'JANUARY 10, 2026'!$G$4:$G$1189)</f>
        <v>0</v>
      </c>
      <c r="E34" s="150">
        <f t="shared" si="1"/>
        <v>0.12</v>
      </c>
      <c r="F34" s="149">
        <f t="shared" si="2"/>
        <v>0</v>
      </c>
      <c r="G34" s="149" t="str">
        <f t="shared" si="3"/>
        <v>#N/A</v>
      </c>
      <c r="H34" s="151" t="str">
        <f t="shared" si="4"/>
        <v>#N/A</v>
      </c>
      <c r="I34" s="152"/>
    </row>
    <row r="35" ht="14.25" customHeight="1">
      <c r="A35" s="146"/>
      <c r="B35" s="147">
        <v>200.0</v>
      </c>
      <c r="C35" s="148">
        <f>COUNTIF('JANUARY 10, 2026'!$A$4:$A$1189,'REGISTERED BIDDERS'!$B35)</f>
        <v>0</v>
      </c>
      <c r="D35" s="149">
        <f>SUMIF('JANUARY 10, 2026'!$A$4:$A$1189,'REGISTERED BIDDERS'!$B35,'JANUARY 10, 2026'!$G$4:$G$1189)</f>
        <v>0</v>
      </c>
      <c r="E35" s="150">
        <f t="shared" si="1"/>
        <v>0.12</v>
      </c>
      <c r="F35" s="149">
        <f t="shared" si="2"/>
        <v>0</v>
      </c>
      <c r="G35" s="149" t="str">
        <f t="shared" si="3"/>
        <v>#N/A</v>
      </c>
      <c r="H35" s="151" t="str">
        <f t="shared" si="4"/>
        <v>#N/A</v>
      </c>
      <c r="I35" s="152"/>
    </row>
    <row r="36" ht="14.25" customHeight="1">
      <c r="A36" s="146"/>
      <c r="B36" s="147">
        <v>266.0</v>
      </c>
      <c r="C36" s="148">
        <f>COUNTIF('JANUARY 10, 2026'!$A$4:$A$1189,'REGISTERED BIDDERS'!$B36)</f>
        <v>0</v>
      </c>
      <c r="D36" s="149">
        <f>SUMIF('JANUARY 10, 2026'!$A$4:$A$1189,'REGISTERED BIDDERS'!$B36,'JANUARY 10, 2026'!$G$4:$G$1189)</f>
        <v>0</v>
      </c>
      <c r="E36" s="150">
        <f t="shared" si="1"/>
        <v>0.12</v>
      </c>
      <c r="F36" s="149">
        <f t="shared" si="2"/>
        <v>0</v>
      </c>
      <c r="G36" s="149" t="str">
        <f t="shared" si="3"/>
        <v>#N/A</v>
      </c>
      <c r="H36" s="151" t="str">
        <f t="shared" si="4"/>
        <v>#N/A</v>
      </c>
      <c r="I36" s="152"/>
    </row>
    <row r="37" ht="14.25" customHeight="1">
      <c r="A37" s="146"/>
      <c r="B37" s="147">
        <v>271.0</v>
      </c>
      <c r="C37" s="148">
        <f>COUNTIF('JANUARY 10, 2026'!$A$4:$A$1189,'REGISTERED BIDDERS'!$B37)</f>
        <v>0</v>
      </c>
      <c r="D37" s="149">
        <f>SUMIF('JANUARY 10, 2026'!$A$4:$A$1189,'REGISTERED BIDDERS'!$B37,'JANUARY 10, 2026'!$G$4:$G$1189)</f>
        <v>0</v>
      </c>
      <c r="E37" s="150">
        <f t="shared" si="1"/>
        <v>0.12</v>
      </c>
      <c r="F37" s="149">
        <f t="shared" si="2"/>
        <v>0</v>
      </c>
      <c r="G37" s="149" t="str">
        <f t="shared" si="3"/>
        <v>#N/A</v>
      </c>
      <c r="H37" s="151" t="str">
        <f t="shared" si="4"/>
        <v>#N/A</v>
      </c>
      <c r="I37" s="152"/>
    </row>
    <row r="38" ht="14.25" customHeight="1">
      <c r="A38" s="146"/>
      <c r="B38" s="147">
        <v>1132.0</v>
      </c>
      <c r="C38" s="148">
        <f>COUNTIF('JANUARY 10, 2026'!$A$4:$A$1189,'REGISTERED BIDDERS'!$B38)</f>
        <v>0</v>
      </c>
      <c r="D38" s="149">
        <f>SUMIF('JANUARY 10, 2026'!$A$4:$A$1189,'REGISTERED BIDDERS'!$B38,'JANUARY 10, 2026'!$G$4:$G$1189)</f>
        <v>0</v>
      </c>
      <c r="E38" s="150">
        <f t="shared" si="1"/>
        <v>0.12</v>
      </c>
      <c r="F38" s="149">
        <f t="shared" si="2"/>
        <v>0</v>
      </c>
      <c r="G38" s="149" t="str">
        <f t="shared" si="3"/>
        <v>#N/A</v>
      </c>
      <c r="H38" s="151" t="str">
        <f t="shared" si="4"/>
        <v>#N/A</v>
      </c>
      <c r="I38" s="152"/>
    </row>
    <row r="39" ht="14.25" customHeight="1">
      <c r="A39" s="146"/>
      <c r="B39" s="147">
        <v>1361.0</v>
      </c>
      <c r="C39" s="148">
        <f>COUNTIF('JANUARY 10, 2026'!$A$4:$A$1189,'REGISTERED BIDDERS'!$B39)</f>
        <v>0</v>
      </c>
      <c r="D39" s="149">
        <f>SUMIF('JANUARY 10, 2026'!$A$4:$A$1189,'REGISTERED BIDDERS'!$B39,'JANUARY 10, 2026'!$G$4:$G$1189)</f>
        <v>0</v>
      </c>
      <c r="E39" s="150">
        <f t="shared" si="1"/>
        <v>0.12</v>
      </c>
      <c r="F39" s="149">
        <f t="shared" si="2"/>
        <v>0</v>
      </c>
      <c r="G39" s="149" t="str">
        <f t="shared" si="3"/>
        <v>#N/A</v>
      </c>
      <c r="H39" s="151" t="str">
        <f t="shared" si="4"/>
        <v>#N/A</v>
      </c>
      <c r="I39" s="152"/>
    </row>
    <row r="40" ht="14.25" customHeight="1">
      <c r="A40" s="146"/>
      <c r="B40" s="147">
        <v>836.0</v>
      </c>
      <c r="C40" s="148">
        <f>COUNTIF('JANUARY 10, 2026'!$A$4:$A$1189,'REGISTERED BIDDERS'!$B40)</f>
        <v>0</v>
      </c>
      <c r="D40" s="149">
        <f>SUMIF('JANUARY 10, 2026'!$A$4:$A$1189,'REGISTERED BIDDERS'!$B40,'JANUARY 10, 2026'!$G$4:$G$1189)</f>
        <v>0</v>
      </c>
      <c r="E40" s="150">
        <f t="shared" si="1"/>
        <v>0.12</v>
      </c>
      <c r="F40" s="149">
        <f t="shared" si="2"/>
        <v>0</v>
      </c>
      <c r="G40" s="149" t="str">
        <f t="shared" si="3"/>
        <v>#N/A</v>
      </c>
      <c r="H40" s="151" t="str">
        <f t="shared" si="4"/>
        <v>#N/A</v>
      </c>
      <c r="I40" s="152"/>
    </row>
    <row r="41" ht="14.25" customHeight="1">
      <c r="A41" s="146"/>
      <c r="B41" s="147">
        <v>750.0</v>
      </c>
      <c r="C41" s="148">
        <f>COUNTIF('JANUARY 10, 2026'!$A$4:$A$1189,'REGISTERED BIDDERS'!$B41)</f>
        <v>0</v>
      </c>
      <c r="D41" s="149">
        <f>SUMIF('JANUARY 10, 2026'!$A$4:$A$1189,'REGISTERED BIDDERS'!$B41,'JANUARY 10, 2026'!$G$4:$G$1189)</f>
        <v>0</v>
      </c>
      <c r="E41" s="150">
        <f t="shared" si="1"/>
        <v>0.12</v>
      </c>
      <c r="F41" s="149">
        <f t="shared" si="2"/>
        <v>0</v>
      </c>
      <c r="G41" s="149" t="str">
        <f t="shared" si="3"/>
        <v>#N/A</v>
      </c>
      <c r="H41" s="151" t="str">
        <f t="shared" si="4"/>
        <v>#N/A</v>
      </c>
      <c r="I41" s="152"/>
    </row>
    <row r="42" ht="14.25" customHeight="1">
      <c r="A42" s="146"/>
      <c r="B42" s="147">
        <v>1053.0</v>
      </c>
      <c r="C42" s="148">
        <f>COUNTIF('JANUARY 10, 2026'!$A$4:$A$1189,'REGISTERED BIDDERS'!$B42)</f>
        <v>0</v>
      </c>
      <c r="D42" s="149">
        <f>SUMIF('JANUARY 10, 2026'!$A$4:$A$1189,'REGISTERED BIDDERS'!$B42,'JANUARY 10, 2026'!$G$4:$G$1189)</f>
        <v>0</v>
      </c>
      <c r="E42" s="150">
        <f t="shared" si="1"/>
        <v>0.12</v>
      </c>
      <c r="F42" s="149">
        <f t="shared" si="2"/>
        <v>0</v>
      </c>
      <c r="G42" s="149" t="str">
        <f t="shared" si="3"/>
        <v>#N/A</v>
      </c>
      <c r="H42" s="151" t="str">
        <f t="shared" si="4"/>
        <v>#N/A</v>
      </c>
      <c r="I42" s="152"/>
    </row>
    <row r="43" ht="14.25" customHeight="1">
      <c r="A43" s="146"/>
      <c r="B43" s="147">
        <v>301.0</v>
      </c>
      <c r="C43" s="148">
        <f>COUNTIF('JANUARY 10, 2026'!$A$4:$A$1189,'REGISTERED BIDDERS'!$B43)</f>
        <v>0</v>
      </c>
      <c r="D43" s="149">
        <f>SUMIF('JANUARY 10, 2026'!$A$4:$A$1189,'REGISTERED BIDDERS'!$B43,'JANUARY 10, 2026'!$G$4:$G$1189)</f>
        <v>0</v>
      </c>
      <c r="E43" s="150">
        <f t="shared" si="1"/>
        <v>0.12</v>
      </c>
      <c r="F43" s="149">
        <f t="shared" si="2"/>
        <v>0</v>
      </c>
      <c r="G43" s="149" t="str">
        <f t="shared" si="3"/>
        <v>#N/A</v>
      </c>
      <c r="H43" s="151" t="str">
        <f t="shared" si="4"/>
        <v>#N/A</v>
      </c>
      <c r="I43" s="152"/>
    </row>
    <row r="44" ht="14.25" customHeight="1">
      <c r="A44" s="153"/>
      <c r="B44" s="154">
        <v>1412.0</v>
      </c>
      <c r="C44" s="155">
        <f>COUNTIF('JANUARY 10, 2026'!$A$4:$A$1189,'REGISTERED BIDDERS'!$B44)</f>
        <v>0</v>
      </c>
      <c r="D44" s="156">
        <f>SUMIF('JANUARY 10, 2026'!$A$4:$A$1189,'REGISTERED BIDDERS'!$B44,'JANUARY 10, 2026'!$G$4:$G$1189)</f>
        <v>0</v>
      </c>
      <c r="E44" s="157">
        <f t="shared" si="1"/>
        <v>0.12</v>
      </c>
      <c r="F44" s="156">
        <f t="shared" si="2"/>
        <v>0</v>
      </c>
      <c r="G44" s="156" t="str">
        <f t="shared" si="3"/>
        <v>#N/A</v>
      </c>
      <c r="H44" s="158" t="str">
        <f t="shared" si="4"/>
        <v>#N/A</v>
      </c>
      <c r="I44" s="159"/>
    </row>
    <row r="45" ht="14.25" customHeight="1">
      <c r="A45" s="153"/>
      <c r="B45" s="154"/>
      <c r="C45" s="155">
        <f>COUNTIF('JANUARY 10, 2026'!$A$4:$A$1189,'REGISTERED BIDDERS'!$B45)</f>
        <v>0</v>
      </c>
      <c r="D45" s="156">
        <f>SUMIF('JANUARY 10, 2026'!$A$4:$A$1189,'REGISTERED BIDDERS'!$B45,'JANUARY 10, 2026'!$G$4:$G$1189)</f>
        <v>0</v>
      </c>
      <c r="E45" s="157">
        <f t="shared" si="1"/>
        <v>0.12</v>
      </c>
      <c r="F45" s="156">
        <f t="shared" si="2"/>
        <v>0</v>
      </c>
      <c r="G45" s="156" t="str">
        <f t="shared" si="3"/>
        <v>NA</v>
      </c>
      <c r="H45" s="158">
        <f t="shared" si="4"/>
        <v>0</v>
      </c>
      <c r="I45" s="159"/>
    </row>
    <row r="46" ht="14.25" customHeight="1">
      <c r="A46" s="153"/>
      <c r="B46" s="154"/>
      <c r="C46" s="155">
        <f>COUNTIF('JANUARY 10, 2026'!$A$4:$A$1189,'REGISTERED BIDDERS'!$B46)</f>
        <v>0</v>
      </c>
      <c r="D46" s="156">
        <f>SUMIF('JANUARY 10, 2026'!$A$4:$A$1189,'REGISTERED BIDDERS'!$B46,'JANUARY 10, 2026'!$G$4:$G$1189)</f>
        <v>0</v>
      </c>
      <c r="E46" s="157">
        <f t="shared" si="1"/>
        <v>0.12</v>
      </c>
      <c r="F46" s="156">
        <f t="shared" si="2"/>
        <v>0</v>
      </c>
      <c r="G46" s="156" t="str">
        <f t="shared" si="3"/>
        <v>NA</v>
      </c>
      <c r="H46" s="158">
        <f t="shared" si="4"/>
        <v>0</v>
      </c>
      <c r="I46" s="159"/>
    </row>
    <row r="47" ht="14.25" customHeight="1">
      <c r="A47" s="153"/>
      <c r="B47" s="154"/>
      <c r="C47" s="155">
        <f>COUNTIF('JANUARY 10, 2026'!$A$4:$A$1189,'REGISTERED BIDDERS'!$B47)</f>
        <v>0</v>
      </c>
      <c r="D47" s="156">
        <f>SUMIF('JANUARY 10, 2026'!$A$4:$A$1189,'REGISTERED BIDDERS'!$B47,'JANUARY 10, 2026'!$G$4:$G$1189)</f>
        <v>0</v>
      </c>
      <c r="E47" s="157">
        <f t="shared" si="1"/>
        <v>0.12</v>
      </c>
      <c r="F47" s="156">
        <f t="shared" si="2"/>
        <v>0</v>
      </c>
      <c r="G47" s="156" t="str">
        <f t="shared" si="3"/>
        <v>NA</v>
      </c>
      <c r="H47" s="158">
        <f t="shared" si="4"/>
        <v>0</v>
      </c>
      <c r="I47" s="159"/>
    </row>
    <row r="48" ht="14.25" customHeight="1">
      <c r="A48" s="153"/>
      <c r="B48" s="154"/>
      <c r="C48" s="155">
        <f>COUNTIF('JANUARY 10, 2026'!$A$4:$A$1189,'REGISTERED BIDDERS'!$B48)</f>
        <v>0</v>
      </c>
      <c r="D48" s="156">
        <f>SUMIF('JANUARY 10, 2026'!$A$4:$A$1189,'REGISTERED BIDDERS'!$B48,'JANUARY 10, 2026'!$G$4:$G$1189)</f>
        <v>0</v>
      </c>
      <c r="E48" s="157">
        <f t="shared" si="1"/>
        <v>0.12</v>
      </c>
      <c r="F48" s="156">
        <f t="shared" si="2"/>
        <v>0</v>
      </c>
      <c r="G48" s="156" t="str">
        <f t="shared" si="3"/>
        <v>NA</v>
      </c>
      <c r="H48" s="158">
        <f t="shared" si="4"/>
        <v>0</v>
      </c>
      <c r="I48" s="159"/>
    </row>
    <row r="49" ht="14.25" customHeight="1">
      <c r="A49" s="153"/>
      <c r="B49" s="154"/>
      <c r="C49" s="155">
        <f>COUNTIF('JANUARY 10, 2026'!$A$4:$A$1189,'REGISTERED BIDDERS'!$B49)</f>
        <v>0</v>
      </c>
      <c r="D49" s="156">
        <f>SUMIF('JANUARY 10, 2026'!$A$4:$A$1189,'REGISTERED BIDDERS'!$B49,'JANUARY 10, 2026'!$G$4:$G$1189)</f>
        <v>0</v>
      </c>
      <c r="E49" s="157">
        <f t="shared" si="1"/>
        <v>0.12</v>
      </c>
      <c r="F49" s="156">
        <f t="shared" si="2"/>
        <v>0</v>
      </c>
      <c r="G49" s="156" t="str">
        <f t="shared" si="3"/>
        <v>NA</v>
      </c>
      <c r="H49" s="158">
        <f t="shared" si="4"/>
        <v>0</v>
      </c>
      <c r="I49" s="159"/>
    </row>
    <row r="50" ht="14.25" customHeight="1">
      <c r="A50" s="153"/>
      <c r="B50" s="154"/>
      <c r="C50" s="155">
        <f>COUNTIF('JANUARY 10, 2026'!$A$4:$A$1189,'REGISTERED BIDDERS'!$B50)</f>
        <v>0</v>
      </c>
      <c r="D50" s="156">
        <f>SUMIF('JANUARY 10, 2026'!$A$4:$A$1189,'REGISTERED BIDDERS'!$B50,'JANUARY 10, 2026'!$G$4:$G$1189)</f>
        <v>0</v>
      </c>
      <c r="E50" s="157">
        <f t="shared" si="1"/>
        <v>0.12</v>
      </c>
      <c r="F50" s="156">
        <f t="shared" si="2"/>
        <v>0</v>
      </c>
      <c r="G50" s="156" t="str">
        <f t="shared" si="3"/>
        <v>NA</v>
      </c>
      <c r="H50" s="158">
        <f t="shared" si="4"/>
        <v>0</v>
      </c>
      <c r="I50" s="159"/>
    </row>
    <row r="51" ht="14.25" customHeight="1">
      <c r="A51" s="153"/>
      <c r="B51" s="154"/>
      <c r="C51" s="155">
        <f>COUNTIF('JANUARY 10, 2026'!$A$4:$A$1189,'REGISTERED BIDDERS'!$B51)</f>
        <v>0</v>
      </c>
      <c r="D51" s="156">
        <f>SUMIF('JANUARY 10, 2026'!$A$4:$A$1189,'REGISTERED BIDDERS'!$B51,'JANUARY 10, 2026'!$G$4:$G$1189)</f>
        <v>0</v>
      </c>
      <c r="E51" s="157">
        <f t="shared" si="1"/>
        <v>0.12</v>
      </c>
      <c r="F51" s="156">
        <f t="shared" si="2"/>
        <v>0</v>
      </c>
      <c r="G51" s="156" t="str">
        <f t="shared" si="3"/>
        <v>NA</v>
      </c>
      <c r="H51" s="158">
        <f t="shared" si="4"/>
        <v>0</v>
      </c>
      <c r="I51" s="159"/>
    </row>
    <row r="52" ht="14.25" customHeight="1">
      <c r="A52" s="153"/>
      <c r="B52" s="154"/>
      <c r="C52" s="155">
        <f>COUNTIF('JANUARY 10, 2026'!$A$4:$A$1189,'REGISTERED BIDDERS'!$B52)</f>
        <v>0</v>
      </c>
      <c r="D52" s="156">
        <f>SUMIF('JANUARY 10, 2026'!$A$4:$A$1189,'REGISTERED BIDDERS'!$B52,'JANUARY 10, 2026'!$G$4:$G$1189)</f>
        <v>0</v>
      </c>
      <c r="E52" s="157">
        <f t="shared" si="1"/>
        <v>0.12</v>
      </c>
      <c r="F52" s="156">
        <f t="shared" si="2"/>
        <v>0</v>
      </c>
      <c r="G52" s="156" t="str">
        <f t="shared" si="3"/>
        <v>NA</v>
      </c>
      <c r="H52" s="158">
        <f t="shared" si="4"/>
        <v>0</v>
      </c>
      <c r="I52" s="159"/>
    </row>
    <row r="53" ht="14.25" customHeight="1">
      <c r="A53" s="153"/>
      <c r="B53" s="154"/>
      <c r="C53" s="155">
        <f>COUNTIF('JANUARY 10, 2026'!$A$4:$A$1189,'REGISTERED BIDDERS'!$B53)</f>
        <v>0</v>
      </c>
      <c r="D53" s="156">
        <f>SUMIF('JANUARY 10, 2026'!$A$4:$A$1189,'REGISTERED BIDDERS'!$B53,'JANUARY 10, 2026'!$G$4:$G$1189)</f>
        <v>0</v>
      </c>
      <c r="E53" s="157">
        <f t="shared" si="1"/>
        <v>0.12</v>
      </c>
      <c r="F53" s="156">
        <f t="shared" si="2"/>
        <v>0</v>
      </c>
      <c r="G53" s="156" t="str">
        <f t="shared" si="3"/>
        <v>NA</v>
      </c>
      <c r="H53" s="158">
        <f t="shared" si="4"/>
        <v>0</v>
      </c>
      <c r="I53" s="159"/>
    </row>
    <row r="54" ht="14.25" customHeight="1">
      <c r="A54" s="153"/>
      <c r="B54" s="154"/>
      <c r="C54" s="155">
        <f>COUNTIF('JANUARY 10, 2026'!$A$4:$A$1189,'REGISTERED BIDDERS'!$B54)</f>
        <v>0</v>
      </c>
      <c r="D54" s="156">
        <f>SUMIF('JANUARY 10, 2026'!$A$4:$A$1189,'REGISTERED BIDDERS'!$B54,'JANUARY 10, 2026'!$G$4:$G$1189)</f>
        <v>0</v>
      </c>
      <c r="E54" s="157">
        <f t="shared" si="1"/>
        <v>0.12</v>
      </c>
      <c r="F54" s="156">
        <f t="shared" si="2"/>
        <v>0</v>
      </c>
      <c r="G54" s="156" t="str">
        <f t="shared" si="3"/>
        <v>NA</v>
      </c>
      <c r="H54" s="158">
        <f t="shared" si="4"/>
        <v>0</v>
      </c>
      <c r="I54" s="159"/>
    </row>
    <row r="55" ht="14.25" customHeight="1">
      <c r="A55" s="153"/>
      <c r="B55" s="154"/>
      <c r="C55" s="155">
        <f>COUNTIF('JANUARY 10, 2026'!$A$4:$A$1189,'REGISTERED BIDDERS'!$B55)</f>
        <v>0</v>
      </c>
      <c r="D55" s="156">
        <f>SUMIF('JANUARY 10, 2026'!$A$4:$A$1189,'REGISTERED BIDDERS'!$B55,'JANUARY 10, 2026'!$G$4:$G$1189)</f>
        <v>0</v>
      </c>
      <c r="E55" s="157">
        <f t="shared" si="1"/>
        <v>0.12</v>
      </c>
      <c r="F55" s="156">
        <f t="shared" si="2"/>
        <v>0</v>
      </c>
      <c r="G55" s="156" t="str">
        <f t="shared" si="3"/>
        <v>NA</v>
      </c>
      <c r="H55" s="158">
        <f t="shared" si="4"/>
        <v>0</v>
      </c>
      <c r="I55" s="159"/>
    </row>
    <row r="56" ht="14.25" customHeight="1">
      <c r="A56" s="153"/>
      <c r="B56" s="154"/>
      <c r="C56" s="155">
        <f>COUNTIF('JANUARY 10, 2026'!$A$4:$A$1189,'REGISTERED BIDDERS'!$B56)</f>
        <v>0</v>
      </c>
      <c r="D56" s="156">
        <f>SUMIF('JANUARY 10, 2026'!$A$4:$A$1189,'REGISTERED BIDDERS'!$B56,'JANUARY 10, 2026'!$G$4:$G$1189)</f>
        <v>0</v>
      </c>
      <c r="E56" s="157">
        <f t="shared" si="1"/>
        <v>0.12</v>
      </c>
      <c r="F56" s="156">
        <f t="shared" si="2"/>
        <v>0</v>
      </c>
      <c r="G56" s="156" t="str">
        <f t="shared" si="3"/>
        <v>NA</v>
      </c>
      <c r="H56" s="158">
        <f t="shared" si="4"/>
        <v>0</v>
      </c>
      <c r="I56" s="159"/>
    </row>
    <row r="57" ht="14.25" customHeight="1">
      <c r="A57" s="153"/>
      <c r="B57" s="154"/>
      <c r="C57" s="155">
        <f>COUNTIF('JANUARY 10, 2026'!$A$4:$A$1189,'REGISTERED BIDDERS'!$B57)</f>
        <v>0</v>
      </c>
      <c r="D57" s="156">
        <f>SUMIF('JANUARY 10, 2026'!$A$4:$A$1189,'REGISTERED BIDDERS'!$B57,'JANUARY 10, 2026'!$G$4:$G$1189)</f>
        <v>0</v>
      </c>
      <c r="E57" s="157">
        <f t="shared" si="1"/>
        <v>0.12</v>
      </c>
      <c r="F57" s="156">
        <f t="shared" si="2"/>
        <v>0</v>
      </c>
      <c r="G57" s="156" t="str">
        <f t="shared" si="3"/>
        <v>NA</v>
      </c>
      <c r="H57" s="158">
        <f t="shared" si="4"/>
        <v>0</v>
      </c>
      <c r="I57" s="159"/>
    </row>
    <row r="58" ht="14.25" customHeight="1">
      <c r="A58" s="153"/>
      <c r="B58" s="154"/>
      <c r="C58" s="155">
        <f>COUNTIF('JANUARY 10, 2026'!$A$4:$A$1189,'REGISTERED BIDDERS'!$B58)</f>
        <v>0</v>
      </c>
      <c r="D58" s="156">
        <f>SUMIF('JANUARY 10, 2026'!$A$4:$A$1189,'REGISTERED BIDDERS'!$B58,'JANUARY 10, 2026'!$G$4:$G$1189)</f>
        <v>0</v>
      </c>
      <c r="E58" s="157">
        <f t="shared" si="1"/>
        <v>0.12</v>
      </c>
      <c r="F58" s="156">
        <f t="shared" si="2"/>
        <v>0</v>
      </c>
      <c r="G58" s="156" t="str">
        <f t="shared" si="3"/>
        <v>NA</v>
      </c>
      <c r="H58" s="158">
        <f t="shared" si="4"/>
        <v>0</v>
      </c>
      <c r="I58" s="159"/>
    </row>
    <row r="59" ht="14.25" customHeight="1">
      <c r="A59" s="153"/>
      <c r="B59" s="154"/>
      <c r="C59" s="155">
        <f>COUNTIF('JANUARY 10, 2026'!$A$4:$A$1189,'REGISTERED BIDDERS'!$B59)</f>
        <v>0</v>
      </c>
      <c r="D59" s="156">
        <f>SUMIF('JANUARY 10, 2026'!$A$4:$A$1189,'REGISTERED BIDDERS'!$B59,'JANUARY 10, 2026'!$G$4:$G$1189)</f>
        <v>0</v>
      </c>
      <c r="E59" s="157">
        <f t="shared" si="1"/>
        <v>0.12</v>
      </c>
      <c r="F59" s="156">
        <f t="shared" si="2"/>
        <v>0</v>
      </c>
      <c r="G59" s="156" t="str">
        <f t="shared" si="3"/>
        <v>NA</v>
      </c>
      <c r="H59" s="158">
        <f t="shared" si="4"/>
        <v>0</v>
      </c>
      <c r="I59" s="159"/>
    </row>
    <row r="60" ht="14.25" customHeight="1">
      <c r="A60" s="153"/>
      <c r="B60" s="154"/>
      <c r="C60" s="155">
        <f>COUNTIF('JANUARY 10, 2026'!$A$4:$A$1189,'REGISTERED BIDDERS'!$B60)</f>
        <v>0</v>
      </c>
      <c r="D60" s="156">
        <f>SUMIF('JANUARY 10, 2026'!$A$4:$A$1189,'REGISTERED BIDDERS'!$B60,'JANUARY 10, 2026'!$G$4:$G$1189)</f>
        <v>0</v>
      </c>
      <c r="E60" s="157">
        <f t="shared" si="1"/>
        <v>0.12</v>
      </c>
      <c r="F60" s="156">
        <f t="shared" si="2"/>
        <v>0</v>
      </c>
      <c r="G60" s="156" t="str">
        <f t="shared" si="3"/>
        <v>NA</v>
      </c>
      <c r="H60" s="158">
        <f t="shared" si="4"/>
        <v>0</v>
      </c>
      <c r="I60" s="159"/>
    </row>
    <row r="61" ht="14.25" customHeight="1">
      <c r="A61" s="153"/>
      <c r="B61" s="154"/>
      <c r="C61" s="155">
        <f>COUNTIF('JANUARY 10, 2026'!$A$4:$A$1189,'REGISTERED BIDDERS'!$B61)</f>
        <v>0</v>
      </c>
      <c r="D61" s="156">
        <f>SUMIF('JANUARY 10, 2026'!$A$4:$A$1189,'REGISTERED BIDDERS'!$B61,'JANUARY 10, 2026'!$G$4:$G$1189)</f>
        <v>0</v>
      </c>
      <c r="E61" s="157">
        <f t="shared" si="1"/>
        <v>0.12</v>
      </c>
      <c r="F61" s="156">
        <f t="shared" si="2"/>
        <v>0</v>
      </c>
      <c r="G61" s="156" t="str">
        <f t="shared" si="3"/>
        <v>NA</v>
      </c>
      <c r="H61" s="158">
        <f t="shared" si="4"/>
        <v>0</v>
      </c>
      <c r="I61" s="159"/>
    </row>
    <row r="62" ht="14.25" customHeight="1">
      <c r="A62" s="153"/>
      <c r="B62" s="154"/>
      <c r="C62" s="155">
        <f>COUNTIF('JANUARY 10, 2026'!$A$4:$A$1189,'REGISTERED BIDDERS'!$B62)</f>
        <v>0</v>
      </c>
      <c r="D62" s="156">
        <f>SUMIF('JANUARY 10, 2026'!$A$4:$A$1189,'REGISTERED BIDDERS'!$B62,'JANUARY 10, 2026'!$G$4:$G$1189)</f>
        <v>0</v>
      </c>
      <c r="E62" s="157">
        <f t="shared" si="1"/>
        <v>0.12</v>
      </c>
      <c r="F62" s="156">
        <f t="shared" si="2"/>
        <v>0</v>
      </c>
      <c r="G62" s="156" t="str">
        <f t="shared" si="3"/>
        <v>NA</v>
      </c>
      <c r="H62" s="158">
        <f t="shared" si="4"/>
        <v>0</v>
      </c>
      <c r="I62" s="159"/>
    </row>
    <row r="63" ht="14.25" customHeight="1">
      <c r="A63" s="153"/>
      <c r="B63" s="154"/>
      <c r="C63" s="155">
        <f>COUNTIF('JANUARY 10, 2026'!$A$4:$A$1189,'REGISTERED BIDDERS'!$B63)</f>
        <v>0</v>
      </c>
      <c r="D63" s="156">
        <f>SUMIF('JANUARY 10, 2026'!$A$4:$A$1189,'REGISTERED BIDDERS'!$B63,'JANUARY 10, 2026'!$G$4:$G$1189)</f>
        <v>0</v>
      </c>
      <c r="E63" s="157">
        <f t="shared" si="1"/>
        <v>0.12</v>
      </c>
      <c r="F63" s="156">
        <f t="shared" si="2"/>
        <v>0</v>
      </c>
      <c r="G63" s="156" t="str">
        <f t="shared" si="3"/>
        <v>NA</v>
      </c>
      <c r="H63" s="158">
        <f t="shared" si="4"/>
        <v>0</v>
      </c>
      <c r="I63" s="159"/>
    </row>
    <row r="64" ht="14.25" customHeight="1">
      <c r="A64" s="153"/>
      <c r="B64" s="154"/>
      <c r="C64" s="155">
        <f>COUNTIF('JANUARY 10, 2026'!$A$4:$A$1189,'REGISTERED BIDDERS'!$B64)</f>
        <v>0</v>
      </c>
      <c r="D64" s="156">
        <f>SUMIF('JANUARY 10, 2026'!$A$4:$A$1189,'REGISTERED BIDDERS'!$B64,'JANUARY 10, 2026'!$G$4:$G$1189)</f>
        <v>0</v>
      </c>
      <c r="E64" s="157">
        <f t="shared" si="1"/>
        <v>0.12</v>
      </c>
      <c r="F64" s="156">
        <f t="shared" si="2"/>
        <v>0</v>
      </c>
      <c r="G64" s="156" t="str">
        <f t="shared" si="3"/>
        <v>NA</v>
      </c>
      <c r="H64" s="158">
        <f t="shared" si="4"/>
        <v>0</v>
      </c>
      <c r="I64" s="159"/>
    </row>
    <row r="65" ht="14.25" customHeight="1">
      <c r="A65" s="153"/>
      <c r="B65" s="154"/>
      <c r="C65" s="155">
        <f>COUNTIF('JANUARY 10, 2026'!$A$4:$A$1189,'REGISTERED BIDDERS'!$B65)</f>
        <v>0</v>
      </c>
      <c r="D65" s="156">
        <f>SUMIF('JANUARY 10, 2026'!$A$4:$A$1189,'REGISTERED BIDDERS'!$B65,'JANUARY 10, 2026'!$G$4:$G$1189)</f>
        <v>0</v>
      </c>
      <c r="E65" s="157">
        <f t="shared" si="1"/>
        <v>0.12</v>
      </c>
      <c r="F65" s="156">
        <f t="shared" si="2"/>
        <v>0</v>
      </c>
      <c r="G65" s="156" t="str">
        <f t="shared" si="3"/>
        <v>NA</v>
      </c>
      <c r="H65" s="158">
        <f t="shared" si="4"/>
        <v>0</v>
      </c>
      <c r="I65" s="159"/>
    </row>
    <row r="66" ht="14.25" customHeight="1">
      <c r="A66" s="153"/>
      <c r="B66" s="154"/>
      <c r="C66" s="155">
        <f>COUNTIF('JANUARY 10, 2026'!$A$4:$A$1189,'REGISTERED BIDDERS'!$B66)</f>
        <v>0</v>
      </c>
      <c r="D66" s="156">
        <f>SUMIF('JANUARY 10, 2026'!$A$4:$A$1189,'REGISTERED BIDDERS'!$B66,'JANUARY 10, 2026'!$G$4:$G$1189)</f>
        <v>0</v>
      </c>
      <c r="E66" s="157">
        <f t="shared" si="1"/>
        <v>0.12</v>
      </c>
      <c r="F66" s="156">
        <f t="shared" si="2"/>
        <v>0</v>
      </c>
      <c r="G66" s="156" t="str">
        <f t="shared" si="3"/>
        <v>NA</v>
      </c>
      <c r="H66" s="158">
        <f t="shared" si="4"/>
        <v>0</v>
      </c>
      <c r="I66" s="159"/>
    </row>
    <row r="67" ht="14.25" customHeight="1">
      <c r="A67" s="153"/>
      <c r="B67" s="154"/>
      <c r="C67" s="155">
        <f>COUNTIF('JANUARY 10, 2026'!$A$4:$A$1189,'REGISTERED BIDDERS'!$B67)</f>
        <v>0</v>
      </c>
      <c r="D67" s="156">
        <f>SUMIF('JANUARY 10, 2026'!$A$4:$A$1189,'REGISTERED BIDDERS'!$B67,'JANUARY 10, 2026'!$G$4:$G$1189)</f>
        <v>0</v>
      </c>
      <c r="E67" s="157">
        <f t="shared" si="1"/>
        <v>0.12</v>
      </c>
      <c r="F67" s="156">
        <f t="shared" si="2"/>
        <v>0</v>
      </c>
      <c r="G67" s="156" t="str">
        <f t="shared" si="3"/>
        <v>NA</v>
      </c>
      <c r="H67" s="158">
        <f t="shared" si="4"/>
        <v>0</v>
      </c>
      <c r="I67" s="159"/>
    </row>
    <row r="68" ht="14.25" customHeight="1">
      <c r="A68" s="153"/>
      <c r="B68" s="154"/>
      <c r="C68" s="155">
        <f>COUNTIF('JANUARY 10, 2026'!$A$4:$A$1189,'REGISTERED BIDDERS'!$B68)</f>
        <v>0</v>
      </c>
      <c r="D68" s="156">
        <f>SUMIF('JANUARY 10, 2026'!$A$4:$A$1189,'REGISTERED BIDDERS'!$B68,'JANUARY 10, 2026'!$G$4:$G$1189)</f>
        <v>0</v>
      </c>
      <c r="E68" s="157">
        <f t="shared" si="1"/>
        <v>0.12</v>
      </c>
      <c r="F68" s="156">
        <f t="shared" si="2"/>
        <v>0</v>
      </c>
      <c r="G68" s="156" t="str">
        <f t="shared" si="3"/>
        <v>NA</v>
      </c>
      <c r="H68" s="158">
        <f t="shared" si="4"/>
        <v>0</v>
      </c>
      <c r="I68" s="159"/>
    </row>
    <row r="69" ht="14.25" customHeight="1">
      <c r="A69" s="153"/>
      <c r="B69" s="154"/>
      <c r="C69" s="155">
        <f>COUNTIF('JANUARY 10, 2026'!$A$4:$A$1189,'REGISTERED BIDDERS'!$B69)</f>
        <v>0</v>
      </c>
      <c r="D69" s="156">
        <f>SUMIF('JANUARY 10, 2026'!$A$4:$A$1189,'REGISTERED BIDDERS'!$B69,'JANUARY 10, 2026'!$G$4:$G$1189)</f>
        <v>0</v>
      </c>
      <c r="E69" s="157">
        <f t="shared" si="1"/>
        <v>0.12</v>
      </c>
      <c r="F69" s="156">
        <f t="shared" si="2"/>
        <v>0</v>
      </c>
      <c r="G69" s="156" t="str">
        <f t="shared" si="3"/>
        <v>NA</v>
      </c>
      <c r="H69" s="158">
        <f t="shared" si="4"/>
        <v>0</v>
      </c>
      <c r="I69" s="159"/>
    </row>
    <row r="70" ht="14.25" customHeight="1">
      <c r="A70" s="153"/>
      <c r="B70" s="154"/>
      <c r="C70" s="155">
        <f>COUNTIF('JANUARY 10, 2026'!$A$4:$A$1189,'REGISTERED BIDDERS'!$B70)</f>
        <v>0</v>
      </c>
      <c r="D70" s="156">
        <f>SUMIF('JANUARY 10, 2026'!$A$4:$A$1189,'REGISTERED BIDDERS'!$B70,'JANUARY 10, 2026'!$G$4:$G$1189)</f>
        <v>0</v>
      </c>
      <c r="E70" s="157">
        <f t="shared" si="1"/>
        <v>0.12</v>
      </c>
      <c r="F70" s="156">
        <f t="shared" si="2"/>
        <v>0</v>
      </c>
      <c r="G70" s="156" t="str">
        <f t="shared" si="3"/>
        <v>NA</v>
      </c>
      <c r="H70" s="158">
        <f t="shared" si="4"/>
        <v>0</v>
      </c>
      <c r="I70" s="159"/>
    </row>
    <row r="71" ht="14.25" customHeight="1">
      <c r="A71" s="153"/>
      <c r="B71" s="154"/>
      <c r="C71" s="155">
        <f>COUNTIF('JANUARY 10, 2026'!$A$4:$A$1189,'REGISTERED BIDDERS'!$B71)</f>
        <v>0</v>
      </c>
      <c r="D71" s="156">
        <f>SUMIF('JANUARY 10, 2026'!$A$4:$A$1189,'REGISTERED BIDDERS'!$B71,'JANUARY 10, 2026'!$G$4:$G$1189)</f>
        <v>0</v>
      </c>
      <c r="E71" s="157">
        <f t="shared" si="1"/>
        <v>0.12</v>
      </c>
      <c r="F71" s="156">
        <f t="shared" si="2"/>
        <v>0</v>
      </c>
      <c r="G71" s="156" t="str">
        <f t="shared" si="3"/>
        <v>NA</v>
      </c>
      <c r="H71" s="158">
        <f t="shared" si="4"/>
        <v>0</v>
      </c>
      <c r="I71" s="159"/>
    </row>
    <row r="72" ht="14.25" customHeight="1">
      <c r="A72" s="153"/>
      <c r="B72" s="154"/>
      <c r="C72" s="155">
        <f>COUNTIF('JANUARY 10, 2026'!$A$4:$A$1189,'REGISTERED BIDDERS'!$B72)</f>
        <v>0</v>
      </c>
      <c r="D72" s="156">
        <f>SUMIF('JANUARY 10, 2026'!$A$4:$A$1189,'REGISTERED BIDDERS'!$B72,'JANUARY 10, 2026'!$G$4:$G$1189)</f>
        <v>0</v>
      </c>
      <c r="E72" s="157">
        <f t="shared" si="1"/>
        <v>0.12</v>
      </c>
      <c r="F72" s="156">
        <f t="shared" si="2"/>
        <v>0</v>
      </c>
      <c r="G72" s="156" t="str">
        <f t="shared" si="3"/>
        <v>NA</v>
      </c>
      <c r="H72" s="158">
        <f t="shared" si="4"/>
        <v>0</v>
      </c>
      <c r="I72" s="159"/>
    </row>
    <row r="73" ht="14.25" customHeight="1">
      <c r="A73" s="153"/>
      <c r="B73" s="154"/>
      <c r="C73" s="155">
        <f>COUNTIF('JANUARY 10, 2026'!$A$4:$A$1189,'REGISTERED BIDDERS'!$B73)</f>
        <v>0</v>
      </c>
      <c r="D73" s="156">
        <f>SUMIF('JANUARY 10, 2026'!$A$4:$A$1189,'REGISTERED BIDDERS'!$B73,'JANUARY 10, 2026'!$G$4:$G$1189)</f>
        <v>0</v>
      </c>
      <c r="E73" s="157">
        <f t="shared" si="1"/>
        <v>0.12</v>
      </c>
      <c r="F73" s="156">
        <f t="shared" si="2"/>
        <v>0</v>
      </c>
      <c r="G73" s="156" t="str">
        <f t="shared" si="3"/>
        <v>NA</v>
      </c>
      <c r="H73" s="158">
        <f t="shared" si="4"/>
        <v>0</v>
      </c>
      <c r="I73" s="159"/>
    </row>
    <row r="74" ht="14.25" customHeight="1">
      <c r="A74" s="153"/>
      <c r="B74" s="154"/>
      <c r="C74" s="155">
        <f>COUNTIF('JANUARY 10, 2026'!$A$4:$A$1189,'REGISTERED BIDDERS'!$B74)</f>
        <v>0</v>
      </c>
      <c r="D74" s="156">
        <f>SUMIF('JANUARY 10, 2026'!$A$4:$A$1189,'REGISTERED BIDDERS'!$B74,'JANUARY 10, 2026'!$G$4:$G$1189)</f>
        <v>0</v>
      </c>
      <c r="E74" s="157">
        <f t="shared" si="1"/>
        <v>0.12</v>
      </c>
      <c r="F74" s="156">
        <f t="shared" si="2"/>
        <v>0</v>
      </c>
      <c r="G74" s="156" t="str">
        <f t="shared" si="3"/>
        <v>NA</v>
      </c>
      <c r="H74" s="158">
        <f t="shared" si="4"/>
        <v>0</v>
      </c>
      <c r="I74" s="159"/>
    </row>
    <row r="75" ht="14.25" customHeight="1">
      <c r="A75" s="153"/>
      <c r="B75" s="154"/>
      <c r="C75" s="155">
        <f>COUNTIF('JANUARY 10, 2026'!$A$4:$A$1189,'REGISTERED BIDDERS'!$B75)</f>
        <v>0</v>
      </c>
      <c r="D75" s="156">
        <f>SUMIF('JANUARY 10, 2026'!$A$4:$A$1189,'REGISTERED BIDDERS'!$B75,'JANUARY 10, 2026'!$G$4:$G$1189)</f>
        <v>0</v>
      </c>
      <c r="E75" s="157">
        <f t="shared" si="1"/>
        <v>0.12</v>
      </c>
      <c r="F75" s="156">
        <f t="shared" si="2"/>
        <v>0</v>
      </c>
      <c r="G75" s="156" t="str">
        <f t="shared" si="3"/>
        <v>NA</v>
      </c>
      <c r="H75" s="158">
        <f t="shared" si="4"/>
        <v>0</v>
      </c>
      <c r="I75" s="159"/>
    </row>
    <row r="76" ht="14.25" customHeight="1">
      <c r="A76" s="153"/>
      <c r="B76" s="154"/>
      <c r="C76" s="155">
        <f>COUNTIF('JANUARY 10, 2026'!$A$4:$A$1189,'REGISTERED BIDDERS'!$B76)</f>
        <v>0</v>
      </c>
      <c r="D76" s="156">
        <f>SUMIF('JANUARY 10, 2026'!$A$4:$A$1189,'REGISTERED BIDDERS'!$B76,'JANUARY 10, 2026'!$G$4:$G$1189)</f>
        <v>0</v>
      </c>
      <c r="E76" s="157">
        <f t="shared" si="1"/>
        <v>0.12</v>
      </c>
      <c r="F76" s="156">
        <f t="shared" si="2"/>
        <v>0</v>
      </c>
      <c r="G76" s="156" t="str">
        <f t="shared" si="3"/>
        <v>NA</v>
      </c>
      <c r="H76" s="158">
        <f t="shared" si="4"/>
        <v>0</v>
      </c>
      <c r="I76" s="159"/>
    </row>
    <row r="77" ht="14.25" customHeight="1">
      <c r="A77" s="153"/>
      <c r="B77" s="154"/>
      <c r="C77" s="155">
        <f>COUNTIF('JANUARY 10, 2026'!$A$4:$A$1189,'REGISTERED BIDDERS'!$B77)</f>
        <v>0</v>
      </c>
      <c r="D77" s="156">
        <f>SUMIF('JANUARY 10, 2026'!$A$4:$A$1189,'REGISTERED BIDDERS'!$B77,'JANUARY 10, 2026'!$G$4:$G$1189)</f>
        <v>0</v>
      </c>
      <c r="E77" s="157">
        <f t="shared" si="1"/>
        <v>0.12</v>
      </c>
      <c r="F77" s="156">
        <f t="shared" si="2"/>
        <v>0</v>
      </c>
      <c r="G77" s="156" t="str">
        <f t="shared" si="3"/>
        <v>NA</v>
      </c>
      <c r="H77" s="158">
        <f t="shared" si="4"/>
        <v>0</v>
      </c>
      <c r="I77" s="159"/>
    </row>
    <row r="78" ht="14.25" customHeight="1">
      <c r="A78" s="153"/>
      <c r="B78" s="154"/>
      <c r="C78" s="155">
        <f>COUNTIF('JANUARY 10, 2026'!$A$4:$A$1189,'REGISTERED BIDDERS'!$B78)</f>
        <v>0</v>
      </c>
      <c r="D78" s="156">
        <f>SUMIF('JANUARY 10, 2026'!$A$4:$A$1189,'REGISTERED BIDDERS'!$B78,'JANUARY 10, 2026'!$G$4:$G$1189)</f>
        <v>0</v>
      </c>
      <c r="E78" s="157">
        <f t="shared" si="1"/>
        <v>0.12</v>
      </c>
      <c r="F78" s="156">
        <f t="shared" si="2"/>
        <v>0</v>
      </c>
      <c r="G78" s="156" t="str">
        <f t="shared" si="3"/>
        <v>NA</v>
      </c>
      <c r="H78" s="158">
        <f t="shared" si="4"/>
        <v>0</v>
      </c>
      <c r="I78" s="159"/>
    </row>
    <row r="79" ht="14.25" customHeight="1">
      <c r="A79" s="153"/>
      <c r="B79" s="154"/>
      <c r="C79" s="155">
        <f>COUNTIF('JANUARY 10, 2026'!$A$4:$A$1189,'REGISTERED BIDDERS'!$B79)</f>
        <v>0</v>
      </c>
      <c r="D79" s="156">
        <f>SUMIF('JANUARY 10, 2026'!$A$4:$A$1189,'REGISTERED BIDDERS'!$B79,'JANUARY 10, 2026'!$G$4:$G$1189)</f>
        <v>0</v>
      </c>
      <c r="E79" s="157">
        <f t="shared" si="1"/>
        <v>0.12</v>
      </c>
      <c r="F79" s="156">
        <f t="shared" si="2"/>
        <v>0</v>
      </c>
      <c r="G79" s="156" t="str">
        <f t="shared" si="3"/>
        <v>NA</v>
      </c>
      <c r="H79" s="158">
        <f t="shared" si="4"/>
        <v>0</v>
      </c>
      <c r="I79" s="159"/>
    </row>
    <row r="80" ht="14.25" customHeight="1">
      <c r="A80" s="153"/>
      <c r="B80" s="154"/>
      <c r="C80" s="155">
        <f>COUNTIF('JANUARY 10, 2026'!$A$4:$A$1189,'REGISTERED BIDDERS'!$B80)</f>
        <v>0</v>
      </c>
      <c r="D80" s="156">
        <f>SUMIF('JANUARY 10, 2026'!$A$4:$A$1189,'REGISTERED BIDDERS'!$B80,'JANUARY 10, 2026'!$G$4:$G$1189)</f>
        <v>0</v>
      </c>
      <c r="E80" s="157">
        <f t="shared" si="1"/>
        <v>0.12</v>
      </c>
      <c r="F80" s="156">
        <f t="shared" si="2"/>
        <v>0</v>
      </c>
      <c r="G80" s="156" t="str">
        <f t="shared" si="3"/>
        <v>NA</v>
      </c>
      <c r="H80" s="158">
        <f t="shared" si="4"/>
        <v>0</v>
      </c>
      <c r="I80" s="159"/>
    </row>
    <row r="81" ht="14.25" customHeight="1">
      <c r="A81" s="153"/>
      <c r="B81" s="154"/>
      <c r="C81" s="155">
        <f>COUNTIF('JANUARY 10, 2026'!$A$4:$A$1189,'REGISTERED BIDDERS'!$B81)</f>
        <v>0</v>
      </c>
      <c r="D81" s="156">
        <f>SUMIF('JANUARY 10, 2026'!$A$4:$A$1189,'REGISTERED BIDDERS'!$B81,'JANUARY 10, 2026'!$G$4:$G$1189)</f>
        <v>0</v>
      </c>
      <c r="E81" s="157">
        <f t="shared" si="1"/>
        <v>0.12</v>
      </c>
      <c r="F81" s="156">
        <f t="shared" si="2"/>
        <v>0</v>
      </c>
      <c r="G81" s="156" t="str">
        <f t="shared" si="3"/>
        <v>NA</v>
      </c>
      <c r="H81" s="158">
        <f t="shared" si="4"/>
        <v>0</v>
      </c>
      <c r="I81" s="159"/>
    </row>
    <row r="82" ht="14.25" customHeight="1">
      <c r="A82" s="153"/>
      <c r="B82" s="154"/>
      <c r="C82" s="155">
        <f>COUNTIF('JANUARY 10, 2026'!$A$4:$A$1189,'REGISTERED BIDDERS'!$B82)</f>
        <v>0</v>
      </c>
      <c r="D82" s="156">
        <f>SUMIF('JANUARY 10, 2026'!$A$4:$A$1189,'REGISTERED BIDDERS'!$B82,'JANUARY 10, 2026'!$G$4:$G$1189)</f>
        <v>0</v>
      </c>
      <c r="E82" s="157">
        <f t="shared" si="1"/>
        <v>0.12</v>
      </c>
      <c r="F82" s="156">
        <f t="shared" si="2"/>
        <v>0</v>
      </c>
      <c r="G82" s="156" t="str">
        <f t="shared" si="3"/>
        <v>NA</v>
      </c>
      <c r="H82" s="158">
        <f t="shared" si="4"/>
        <v>0</v>
      </c>
      <c r="I82" s="159"/>
    </row>
    <row r="83" ht="14.25" customHeight="1">
      <c r="A83" s="153"/>
      <c r="B83" s="154"/>
      <c r="C83" s="155">
        <f>COUNTIF('JANUARY 10, 2026'!$A$4:$A$1189,'REGISTERED BIDDERS'!$B83)</f>
        <v>0</v>
      </c>
      <c r="D83" s="156">
        <f>SUMIF('JANUARY 10, 2026'!$A$4:$A$1189,'REGISTERED BIDDERS'!$B83,'JANUARY 10, 2026'!$G$4:$G$1189)</f>
        <v>0</v>
      </c>
      <c r="E83" s="157">
        <f t="shared" si="1"/>
        <v>0.12</v>
      </c>
      <c r="F83" s="156">
        <f t="shared" si="2"/>
        <v>0</v>
      </c>
      <c r="G83" s="156" t="str">
        <f t="shared" si="3"/>
        <v>NA</v>
      </c>
      <c r="H83" s="158">
        <f t="shared" si="4"/>
        <v>0</v>
      </c>
      <c r="I83" s="159"/>
    </row>
    <row r="84" ht="14.25" customHeight="1">
      <c r="B84" s="160"/>
      <c r="C84" s="134"/>
      <c r="D84" s="135"/>
      <c r="F84" s="136"/>
    </row>
    <row r="85" ht="14.25" customHeight="1">
      <c r="B85" s="160"/>
      <c r="C85" s="134"/>
      <c r="D85" s="135"/>
      <c r="F85" s="136"/>
    </row>
    <row r="86" ht="14.25" customHeight="1">
      <c r="B86" s="160"/>
      <c r="C86" s="134"/>
      <c r="D86" s="135"/>
      <c r="F86" s="136"/>
    </row>
    <row r="87" ht="14.25" customHeight="1">
      <c r="B87" s="160"/>
      <c r="C87" s="134"/>
      <c r="D87" s="135"/>
      <c r="F87" s="136"/>
    </row>
    <row r="88" ht="14.25" customHeight="1">
      <c r="B88" s="160"/>
      <c r="C88" s="134"/>
      <c r="D88" s="135"/>
      <c r="F88" s="136"/>
    </row>
    <row r="89" ht="14.25" customHeight="1">
      <c r="B89" s="160"/>
      <c r="C89" s="134"/>
      <c r="D89" s="135"/>
      <c r="F89" s="136"/>
    </row>
    <row r="90" ht="14.25" customHeight="1">
      <c r="B90" s="160"/>
      <c r="C90" s="134"/>
      <c r="D90" s="135"/>
      <c r="F90" s="136"/>
    </row>
    <row r="91" ht="14.25" customHeight="1">
      <c r="B91" s="160"/>
      <c r="C91" s="134"/>
      <c r="D91" s="135"/>
      <c r="F91" s="136"/>
    </row>
    <row r="92" ht="14.25" customHeight="1">
      <c r="B92" s="160"/>
      <c r="C92" s="134"/>
      <c r="D92" s="135"/>
      <c r="F92" s="136"/>
    </row>
    <row r="93" ht="14.25" customHeight="1">
      <c r="B93" s="160"/>
      <c r="C93" s="134"/>
      <c r="D93" s="135"/>
      <c r="F93" s="136"/>
    </row>
    <row r="94" ht="14.25" customHeight="1">
      <c r="B94" s="160"/>
      <c r="C94" s="134"/>
      <c r="D94" s="135"/>
      <c r="F94" s="136"/>
    </row>
    <row r="95" ht="14.25" customHeight="1">
      <c r="B95" s="160"/>
      <c r="C95" s="134"/>
      <c r="D95" s="135"/>
      <c r="F95" s="136"/>
    </row>
    <row r="96" ht="14.25" customHeight="1">
      <c r="B96" s="160"/>
      <c r="C96" s="134"/>
      <c r="D96" s="135"/>
      <c r="F96" s="136"/>
    </row>
    <row r="97" ht="14.25" customHeight="1">
      <c r="B97" s="160"/>
      <c r="C97" s="134"/>
      <c r="D97" s="135"/>
      <c r="F97" s="136"/>
    </row>
    <row r="98" ht="14.25" customHeight="1">
      <c r="B98" s="160"/>
      <c r="C98" s="134"/>
      <c r="D98" s="135"/>
      <c r="F98" s="136"/>
    </row>
    <row r="99" ht="14.25" customHeight="1">
      <c r="B99" s="160"/>
      <c r="C99" s="134"/>
      <c r="D99" s="135"/>
      <c r="F99" s="136"/>
    </row>
    <row r="100" ht="14.25" customHeight="1">
      <c r="B100" s="160"/>
      <c r="C100" s="134"/>
      <c r="D100" s="135"/>
      <c r="F100" s="136"/>
    </row>
    <row r="101" ht="14.25" customHeight="1">
      <c r="B101" s="160"/>
      <c r="C101" s="134"/>
      <c r="D101" s="135"/>
      <c r="F101" s="136"/>
    </row>
    <row r="102" ht="14.25" customHeight="1">
      <c r="B102" s="160"/>
      <c r="C102" s="134"/>
      <c r="D102" s="135"/>
      <c r="F102" s="136"/>
    </row>
    <row r="103" ht="14.25" customHeight="1">
      <c r="B103" s="160"/>
      <c r="C103" s="134"/>
      <c r="D103" s="135"/>
      <c r="F103" s="136"/>
    </row>
    <row r="104" ht="14.25" customHeight="1">
      <c r="B104" s="160"/>
      <c r="C104" s="134"/>
      <c r="D104" s="135"/>
      <c r="F104" s="136"/>
    </row>
    <row r="105" ht="14.25" customHeight="1">
      <c r="B105" s="160"/>
      <c r="C105" s="134"/>
      <c r="D105" s="135"/>
      <c r="F105" s="136"/>
    </row>
    <row r="106" ht="14.25" customHeight="1">
      <c r="B106" s="160"/>
      <c r="C106" s="134"/>
      <c r="D106" s="135"/>
      <c r="F106" s="136"/>
    </row>
    <row r="107" ht="14.25" customHeight="1">
      <c r="B107" s="160"/>
      <c r="C107" s="134"/>
      <c r="D107" s="135"/>
      <c r="F107" s="136"/>
    </row>
    <row r="108" ht="14.25" customHeight="1">
      <c r="B108" s="160"/>
      <c r="C108" s="134"/>
      <c r="D108" s="135"/>
      <c r="F108" s="136"/>
    </row>
    <row r="109" ht="14.25" customHeight="1">
      <c r="B109" s="160"/>
      <c r="C109" s="134"/>
      <c r="D109" s="135"/>
      <c r="F109" s="136"/>
    </row>
    <row r="110" ht="14.25" customHeight="1">
      <c r="B110" s="160"/>
      <c r="C110" s="134"/>
      <c r="D110" s="135"/>
      <c r="F110" s="136"/>
    </row>
    <row r="111" ht="14.25" customHeight="1">
      <c r="B111" s="160"/>
      <c r="C111" s="134"/>
      <c r="D111" s="135"/>
      <c r="F111" s="136"/>
    </row>
    <row r="112" ht="14.25" customHeight="1">
      <c r="B112" s="160"/>
      <c r="C112" s="134"/>
      <c r="D112" s="135"/>
      <c r="F112" s="136"/>
    </row>
    <row r="113" ht="14.25" customHeight="1">
      <c r="B113" s="160"/>
      <c r="C113" s="134"/>
      <c r="D113" s="135"/>
      <c r="F113" s="136"/>
    </row>
    <row r="114" ht="14.25" customHeight="1">
      <c r="B114" s="160"/>
      <c r="C114" s="134"/>
      <c r="D114" s="135"/>
      <c r="F114" s="136"/>
    </row>
    <row r="115" ht="14.25" customHeight="1">
      <c r="B115" s="160"/>
      <c r="C115" s="134"/>
      <c r="D115" s="135"/>
      <c r="F115" s="136"/>
    </row>
    <row r="116" ht="14.25" customHeight="1">
      <c r="B116" s="160"/>
      <c r="C116" s="134"/>
      <c r="D116" s="135"/>
      <c r="F116" s="136"/>
    </row>
    <row r="117" ht="14.25" customHeight="1">
      <c r="B117" s="160"/>
      <c r="C117" s="134"/>
      <c r="D117" s="135"/>
      <c r="F117" s="136"/>
    </row>
    <row r="118" ht="14.25" customHeight="1">
      <c r="B118" s="160"/>
      <c r="C118" s="134"/>
      <c r="D118" s="135"/>
      <c r="F118" s="136"/>
    </row>
    <row r="119" ht="14.25" customHeight="1">
      <c r="B119" s="160"/>
      <c r="C119" s="134"/>
      <c r="D119" s="135"/>
      <c r="F119" s="136"/>
    </row>
    <row r="120" ht="14.25" customHeight="1">
      <c r="B120" s="160"/>
      <c r="C120" s="134"/>
      <c r="D120" s="135"/>
      <c r="F120" s="136"/>
    </row>
    <row r="121" ht="14.25" customHeight="1">
      <c r="B121" s="160"/>
      <c r="C121" s="134"/>
      <c r="D121" s="135"/>
      <c r="F121" s="136"/>
    </row>
    <row r="122" ht="14.25" customHeight="1">
      <c r="B122" s="160"/>
      <c r="C122" s="134"/>
      <c r="D122" s="135"/>
      <c r="F122" s="136"/>
    </row>
    <row r="123" ht="14.25" customHeight="1">
      <c r="B123" s="160"/>
      <c r="C123" s="134"/>
      <c r="D123" s="135"/>
      <c r="F123" s="136"/>
    </row>
    <row r="124" ht="14.25" customHeight="1">
      <c r="B124" s="160"/>
      <c r="C124" s="134"/>
      <c r="D124" s="135"/>
      <c r="F124" s="136"/>
    </row>
    <row r="125" ht="14.25" customHeight="1">
      <c r="B125" s="160"/>
      <c r="C125" s="134"/>
      <c r="D125" s="135"/>
      <c r="F125" s="136"/>
    </row>
    <row r="126" ht="14.25" customHeight="1">
      <c r="B126" s="160"/>
      <c r="C126" s="134"/>
      <c r="D126" s="135"/>
      <c r="F126" s="136"/>
    </row>
    <row r="127" ht="14.25" customHeight="1">
      <c r="B127" s="160"/>
      <c r="C127" s="134"/>
      <c r="D127" s="135"/>
      <c r="F127" s="136"/>
    </row>
    <row r="128" ht="14.25" customHeight="1">
      <c r="B128" s="160"/>
      <c r="C128" s="134"/>
      <c r="D128" s="135"/>
      <c r="F128" s="136"/>
    </row>
    <row r="129" ht="14.25" customHeight="1">
      <c r="B129" s="160"/>
      <c r="C129" s="134"/>
      <c r="D129" s="135"/>
      <c r="F129" s="136"/>
    </row>
    <row r="130" ht="14.25" customHeight="1">
      <c r="B130" s="160"/>
      <c r="C130" s="134"/>
      <c r="D130" s="135"/>
      <c r="F130" s="136"/>
    </row>
    <row r="131" ht="14.25" customHeight="1">
      <c r="B131" s="160"/>
      <c r="C131" s="134"/>
      <c r="D131" s="135"/>
      <c r="F131" s="136"/>
    </row>
    <row r="132" ht="14.25" customHeight="1">
      <c r="B132" s="160"/>
      <c r="C132" s="134"/>
      <c r="D132" s="135"/>
      <c r="F132" s="136"/>
    </row>
    <row r="133" ht="14.25" customHeight="1">
      <c r="B133" s="160"/>
      <c r="C133" s="134"/>
      <c r="D133" s="135"/>
      <c r="F133" s="136"/>
    </row>
    <row r="134" ht="14.25" customHeight="1">
      <c r="B134" s="160"/>
      <c r="C134" s="134"/>
      <c r="D134" s="135"/>
      <c r="F134" s="136"/>
    </row>
    <row r="135" ht="14.25" customHeight="1">
      <c r="B135" s="160"/>
      <c r="C135" s="134"/>
      <c r="D135" s="135"/>
      <c r="F135" s="136"/>
    </row>
    <row r="136" ht="14.25" customHeight="1">
      <c r="B136" s="160"/>
      <c r="C136" s="134"/>
      <c r="D136" s="135"/>
      <c r="F136" s="136"/>
    </row>
    <row r="137" ht="14.25" customHeight="1">
      <c r="B137" s="160"/>
      <c r="C137" s="134"/>
      <c r="D137" s="135"/>
      <c r="F137" s="136"/>
    </row>
    <row r="138" ht="14.25" customHeight="1">
      <c r="B138" s="160"/>
      <c r="C138" s="134"/>
      <c r="D138" s="135"/>
      <c r="F138" s="136"/>
    </row>
    <row r="139" ht="14.25" customHeight="1">
      <c r="B139" s="160"/>
      <c r="C139" s="134"/>
      <c r="D139" s="135"/>
      <c r="F139" s="136"/>
    </row>
    <row r="140" ht="14.25" customHeight="1">
      <c r="B140" s="160"/>
      <c r="C140" s="134"/>
      <c r="D140" s="135"/>
      <c r="F140" s="136"/>
    </row>
    <row r="141" ht="14.25" customHeight="1">
      <c r="B141" s="160"/>
      <c r="C141" s="134"/>
      <c r="D141" s="135"/>
      <c r="F141" s="136"/>
    </row>
    <row r="142" ht="14.25" customHeight="1">
      <c r="B142" s="160"/>
      <c r="C142" s="134"/>
      <c r="D142" s="135"/>
      <c r="F142" s="136"/>
    </row>
    <row r="143" ht="14.25" customHeight="1">
      <c r="B143" s="160"/>
      <c r="C143" s="134"/>
      <c r="D143" s="135"/>
      <c r="F143" s="136"/>
    </row>
    <row r="144" ht="14.25" customHeight="1">
      <c r="B144" s="160"/>
      <c r="C144" s="134"/>
      <c r="D144" s="135"/>
      <c r="F144" s="136"/>
    </row>
    <row r="145" ht="14.25" customHeight="1">
      <c r="B145" s="160"/>
      <c r="C145" s="134"/>
      <c r="D145" s="135"/>
      <c r="F145" s="136"/>
    </row>
    <row r="146" ht="14.25" customHeight="1">
      <c r="B146" s="160"/>
      <c r="C146" s="134"/>
      <c r="D146" s="135"/>
      <c r="F146" s="136"/>
    </row>
    <row r="147" ht="14.25" customHeight="1">
      <c r="B147" s="160"/>
      <c r="C147" s="134"/>
      <c r="D147" s="135"/>
      <c r="F147" s="136"/>
    </row>
    <row r="148" ht="14.25" customHeight="1">
      <c r="B148" s="160"/>
      <c r="C148" s="134"/>
      <c r="D148" s="135"/>
      <c r="F148" s="136"/>
    </row>
    <row r="149" ht="14.25" customHeight="1">
      <c r="B149" s="160"/>
      <c r="C149" s="134"/>
      <c r="D149" s="135"/>
      <c r="F149" s="136"/>
    </row>
    <row r="150" ht="14.25" customHeight="1">
      <c r="B150" s="160"/>
      <c r="C150" s="134"/>
      <c r="D150" s="135"/>
      <c r="F150" s="136"/>
    </row>
    <row r="151" ht="14.25" customHeight="1">
      <c r="B151" s="160"/>
      <c r="C151" s="134"/>
      <c r="D151" s="135"/>
      <c r="F151" s="136"/>
    </row>
    <row r="152" ht="14.25" customHeight="1">
      <c r="B152" s="160"/>
      <c r="C152" s="134"/>
      <c r="D152" s="135"/>
      <c r="F152" s="136"/>
    </row>
    <row r="153" ht="14.25" customHeight="1">
      <c r="B153" s="160"/>
      <c r="C153" s="134"/>
      <c r="D153" s="135"/>
      <c r="F153" s="136"/>
    </row>
    <row r="154" ht="14.25" customHeight="1">
      <c r="B154" s="160"/>
      <c r="C154" s="134"/>
      <c r="D154" s="135"/>
      <c r="F154" s="136"/>
    </row>
    <row r="155" ht="14.25" customHeight="1">
      <c r="B155" s="160"/>
      <c r="C155" s="134"/>
      <c r="D155" s="135"/>
      <c r="F155" s="136"/>
    </row>
    <row r="156" ht="14.25" customHeight="1">
      <c r="B156" s="160"/>
      <c r="C156" s="134"/>
      <c r="D156" s="135"/>
      <c r="F156" s="136"/>
    </row>
    <row r="157" ht="14.25" customHeight="1">
      <c r="B157" s="160"/>
      <c r="C157" s="134"/>
      <c r="D157" s="135"/>
      <c r="F157" s="136"/>
    </row>
    <row r="158" ht="14.25" customHeight="1">
      <c r="B158" s="160"/>
      <c r="C158" s="134"/>
      <c r="D158" s="135"/>
      <c r="F158" s="136"/>
    </row>
    <row r="159" ht="14.25" customHeight="1">
      <c r="B159" s="160"/>
      <c r="C159" s="134"/>
      <c r="D159" s="135"/>
      <c r="F159" s="136"/>
    </row>
    <row r="160" ht="14.25" customHeight="1">
      <c r="B160" s="160"/>
      <c r="C160" s="134"/>
      <c r="D160" s="135"/>
      <c r="F160" s="136"/>
    </row>
    <row r="161" ht="14.25" customHeight="1">
      <c r="B161" s="160"/>
      <c r="C161" s="134"/>
      <c r="D161" s="135"/>
      <c r="F161" s="136"/>
    </row>
    <row r="162" ht="14.25" customHeight="1">
      <c r="B162" s="160"/>
      <c r="C162" s="134"/>
      <c r="D162" s="135"/>
      <c r="F162" s="136"/>
    </row>
    <row r="163" ht="14.25" customHeight="1">
      <c r="B163" s="160"/>
      <c r="C163" s="134"/>
      <c r="D163" s="135"/>
      <c r="F163" s="136"/>
    </row>
    <row r="164" ht="14.25" customHeight="1">
      <c r="B164" s="160"/>
      <c r="C164" s="134"/>
      <c r="D164" s="135"/>
      <c r="F164" s="136"/>
    </row>
    <row r="165" ht="14.25" customHeight="1">
      <c r="B165" s="160"/>
      <c r="C165" s="134"/>
      <c r="D165" s="135"/>
      <c r="F165" s="136"/>
    </row>
    <row r="166" ht="14.25" customHeight="1">
      <c r="B166" s="160"/>
      <c r="C166" s="134"/>
      <c r="D166" s="135"/>
      <c r="F166" s="136"/>
    </row>
    <row r="167" ht="14.25" customHeight="1">
      <c r="B167" s="160"/>
      <c r="C167" s="134"/>
      <c r="D167" s="135"/>
      <c r="F167" s="136"/>
    </row>
    <row r="168" ht="14.25" customHeight="1">
      <c r="B168" s="160"/>
      <c r="C168" s="134"/>
      <c r="D168" s="135"/>
      <c r="F168" s="136"/>
    </row>
    <row r="169" ht="14.25" customHeight="1">
      <c r="B169" s="160"/>
      <c r="C169" s="134"/>
      <c r="D169" s="135"/>
      <c r="F169" s="136"/>
    </row>
    <row r="170" ht="14.25" customHeight="1">
      <c r="B170" s="160"/>
      <c r="C170" s="134"/>
      <c r="D170" s="135"/>
      <c r="F170" s="136"/>
    </row>
    <row r="171" ht="14.25" customHeight="1">
      <c r="B171" s="160"/>
      <c r="C171" s="134"/>
      <c r="D171" s="135"/>
      <c r="F171" s="136"/>
    </row>
    <row r="172" ht="14.25" customHeight="1">
      <c r="B172" s="160"/>
      <c r="C172" s="134"/>
      <c r="D172" s="135"/>
      <c r="F172" s="136"/>
    </row>
    <row r="173" ht="14.25" customHeight="1">
      <c r="B173" s="160"/>
      <c r="C173" s="134"/>
      <c r="D173" s="135"/>
      <c r="F173" s="136"/>
    </row>
    <row r="174" ht="14.25" customHeight="1">
      <c r="B174" s="160"/>
      <c r="C174" s="134"/>
      <c r="D174" s="135"/>
      <c r="F174" s="136"/>
    </row>
    <row r="175" ht="14.25" customHeight="1">
      <c r="B175" s="160"/>
      <c r="C175" s="134"/>
      <c r="D175" s="135"/>
      <c r="F175" s="136"/>
    </row>
    <row r="176" ht="14.25" customHeight="1">
      <c r="B176" s="160"/>
      <c r="C176" s="134"/>
      <c r="D176" s="135"/>
      <c r="F176" s="136"/>
    </row>
    <row r="177" ht="14.25" customHeight="1">
      <c r="B177" s="160"/>
      <c r="C177" s="134"/>
      <c r="D177" s="135"/>
      <c r="F177" s="136"/>
    </row>
    <row r="178" ht="14.25" customHeight="1">
      <c r="B178" s="160"/>
      <c r="C178" s="134"/>
      <c r="D178" s="135"/>
      <c r="F178" s="136"/>
    </row>
    <row r="179" ht="14.25" customHeight="1">
      <c r="B179" s="160"/>
      <c r="C179" s="134"/>
      <c r="D179" s="135"/>
      <c r="F179" s="136"/>
    </row>
    <row r="180" ht="14.25" customHeight="1">
      <c r="B180" s="160"/>
      <c r="C180" s="134"/>
      <c r="D180" s="135"/>
      <c r="F180" s="136"/>
    </row>
    <row r="181" ht="14.25" customHeight="1">
      <c r="B181" s="160"/>
      <c r="C181" s="134"/>
      <c r="D181" s="135"/>
      <c r="F181" s="136"/>
    </row>
    <row r="182" ht="14.25" customHeight="1">
      <c r="B182" s="160"/>
      <c r="C182" s="134"/>
      <c r="D182" s="135"/>
      <c r="F182" s="136"/>
    </row>
    <row r="183" ht="14.25" customHeight="1">
      <c r="B183" s="160"/>
      <c r="C183" s="134"/>
      <c r="D183" s="135"/>
      <c r="F183" s="136"/>
    </row>
    <row r="184" ht="14.25" customHeight="1">
      <c r="B184" s="160"/>
      <c r="C184" s="134"/>
      <c r="D184" s="135"/>
      <c r="F184" s="136"/>
    </row>
    <row r="185" ht="14.25" customHeight="1">
      <c r="B185" s="160"/>
      <c r="C185" s="134"/>
      <c r="D185" s="135"/>
      <c r="F185" s="136"/>
    </row>
    <row r="186" ht="14.25" customHeight="1">
      <c r="B186" s="160"/>
      <c r="C186" s="134"/>
      <c r="D186" s="135"/>
      <c r="F186" s="136"/>
    </row>
    <row r="187" ht="14.25" customHeight="1">
      <c r="B187" s="160"/>
      <c r="C187" s="134"/>
      <c r="D187" s="135"/>
      <c r="F187" s="136"/>
    </row>
    <row r="188" ht="14.25" customHeight="1">
      <c r="B188" s="160"/>
      <c r="C188" s="134"/>
      <c r="D188" s="135"/>
      <c r="F188" s="136"/>
    </row>
    <row r="189" ht="14.25" customHeight="1">
      <c r="B189" s="160"/>
      <c r="C189" s="134"/>
      <c r="D189" s="135"/>
      <c r="F189" s="136"/>
    </row>
    <row r="190" ht="14.25" customHeight="1">
      <c r="B190" s="160"/>
      <c r="C190" s="134"/>
      <c r="D190" s="135"/>
      <c r="F190" s="136"/>
    </row>
    <row r="191" ht="14.25" customHeight="1">
      <c r="B191" s="160"/>
      <c r="C191" s="134"/>
      <c r="D191" s="135"/>
      <c r="F191" s="136"/>
    </row>
    <row r="192" ht="14.25" customHeight="1">
      <c r="B192" s="160"/>
      <c r="C192" s="134"/>
      <c r="D192" s="135"/>
      <c r="F192" s="136"/>
    </row>
    <row r="193" ht="14.25" customHeight="1">
      <c r="B193" s="160"/>
      <c r="C193" s="134"/>
      <c r="D193" s="135"/>
      <c r="F193" s="136"/>
    </row>
    <row r="194" ht="14.25" customHeight="1">
      <c r="B194" s="160"/>
      <c r="C194" s="134"/>
      <c r="D194" s="135"/>
      <c r="F194" s="136"/>
    </row>
    <row r="195" ht="14.25" customHeight="1">
      <c r="B195" s="160"/>
      <c r="C195" s="134"/>
      <c r="D195" s="135"/>
      <c r="F195" s="136"/>
    </row>
    <row r="196" ht="14.25" customHeight="1">
      <c r="B196" s="160"/>
      <c r="C196" s="134"/>
      <c r="D196" s="135"/>
      <c r="F196" s="136"/>
    </row>
    <row r="197" ht="14.25" customHeight="1">
      <c r="B197" s="160"/>
      <c r="C197" s="134"/>
      <c r="D197" s="135"/>
      <c r="F197" s="136"/>
    </row>
    <row r="198" ht="14.25" customHeight="1">
      <c r="B198" s="160"/>
      <c r="C198" s="134"/>
      <c r="D198" s="135"/>
      <c r="F198" s="136"/>
    </row>
    <row r="199" ht="14.25" customHeight="1">
      <c r="B199" s="160"/>
      <c r="C199" s="134"/>
      <c r="D199" s="135"/>
      <c r="F199" s="136"/>
    </row>
    <row r="200" ht="14.25" customHeight="1">
      <c r="B200" s="160"/>
      <c r="C200" s="134"/>
      <c r="D200" s="135"/>
      <c r="F200" s="136"/>
    </row>
    <row r="201" ht="14.25" customHeight="1">
      <c r="B201" s="160"/>
      <c r="C201" s="134"/>
      <c r="D201" s="135"/>
      <c r="F201" s="136"/>
    </row>
    <row r="202" ht="14.25" customHeight="1">
      <c r="B202" s="160"/>
      <c r="C202" s="134"/>
      <c r="D202" s="135"/>
      <c r="F202" s="136"/>
    </row>
    <row r="203" ht="14.25" customHeight="1">
      <c r="B203" s="160"/>
      <c r="C203" s="134"/>
      <c r="D203" s="135"/>
      <c r="F203" s="136"/>
    </row>
    <row r="204" ht="14.25" customHeight="1">
      <c r="B204" s="160"/>
      <c r="C204" s="134"/>
      <c r="D204" s="135"/>
      <c r="F204" s="136"/>
    </row>
    <row r="205" ht="14.25" customHeight="1">
      <c r="B205" s="160"/>
      <c r="C205" s="134"/>
      <c r="D205" s="135"/>
      <c r="F205" s="136"/>
    </row>
    <row r="206" ht="14.25" customHeight="1">
      <c r="B206" s="160"/>
      <c r="C206" s="134"/>
      <c r="D206" s="135"/>
      <c r="F206" s="136"/>
    </row>
    <row r="207" ht="14.25" customHeight="1">
      <c r="B207" s="160"/>
      <c r="C207" s="134"/>
      <c r="D207" s="135"/>
      <c r="F207" s="136"/>
    </row>
    <row r="208" ht="14.25" customHeight="1">
      <c r="B208" s="160"/>
      <c r="C208" s="134"/>
      <c r="D208" s="135"/>
      <c r="F208" s="136"/>
    </row>
    <row r="209" ht="14.25" customHeight="1">
      <c r="B209" s="160"/>
      <c r="C209" s="134"/>
      <c r="D209" s="135"/>
      <c r="F209" s="136"/>
    </row>
    <row r="210" ht="14.25" customHeight="1">
      <c r="B210" s="160"/>
      <c r="C210" s="134"/>
      <c r="D210" s="135"/>
      <c r="F210" s="136"/>
    </row>
    <row r="211" ht="14.25" customHeight="1">
      <c r="B211" s="160"/>
      <c r="C211" s="134"/>
      <c r="D211" s="135"/>
      <c r="F211" s="136"/>
    </row>
    <row r="212" ht="14.25" customHeight="1">
      <c r="B212" s="160"/>
      <c r="C212" s="134"/>
      <c r="D212" s="135"/>
      <c r="F212" s="136"/>
    </row>
    <row r="213" ht="14.25" customHeight="1">
      <c r="B213" s="160"/>
      <c r="C213" s="134"/>
      <c r="D213" s="135"/>
      <c r="F213" s="136"/>
    </row>
    <row r="214" ht="14.25" customHeight="1">
      <c r="B214" s="160"/>
      <c r="C214" s="134"/>
      <c r="D214" s="135"/>
      <c r="F214" s="136"/>
    </row>
    <row r="215" ht="14.25" customHeight="1">
      <c r="B215" s="160"/>
      <c r="C215" s="134"/>
      <c r="D215" s="135"/>
      <c r="F215" s="136"/>
    </row>
    <row r="216" ht="14.25" customHeight="1">
      <c r="B216" s="160"/>
      <c r="C216" s="134"/>
      <c r="D216" s="135"/>
      <c r="F216" s="136"/>
    </row>
    <row r="217" ht="14.25" customHeight="1">
      <c r="B217" s="160"/>
      <c r="C217" s="134"/>
      <c r="D217" s="135"/>
      <c r="F217" s="136"/>
    </row>
    <row r="218" ht="14.25" customHeight="1">
      <c r="B218" s="160"/>
      <c r="C218" s="134"/>
      <c r="D218" s="135"/>
      <c r="F218" s="136"/>
    </row>
    <row r="219" ht="14.25" customHeight="1">
      <c r="B219" s="160"/>
      <c r="C219" s="134"/>
      <c r="D219" s="135"/>
      <c r="F219" s="136"/>
    </row>
    <row r="220" ht="14.25" customHeight="1">
      <c r="B220" s="160"/>
      <c r="C220" s="134"/>
      <c r="D220" s="135"/>
      <c r="F220" s="136"/>
    </row>
    <row r="221" ht="14.25" customHeight="1">
      <c r="B221" s="160"/>
      <c r="C221" s="134"/>
      <c r="D221" s="135"/>
      <c r="F221" s="136"/>
    </row>
    <row r="222" ht="14.25" customHeight="1">
      <c r="B222" s="160"/>
      <c r="C222" s="134"/>
      <c r="D222" s="135"/>
      <c r="F222" s="136"/>
    </row>
    <row r="223" ht="14.25" customHeight="1">
      <c r="B223" s="160"/>
      <c r="C223" s="134"/>
      <c r="D223" s="135"/>
      <c r="F223" s="136"/>
    </row>
    <row r="224" ht="14.25" customHeight="1">
      <c r="B224" s="160"/>
      <c r="C224" s="134"/>
      <c r="D224" s="135"/>
      <c r="F224" s="136"/>
    </row>
    <row r="225" ht="14.25" customHeight="1">
      <c r="B225" s="160"/>
      <c r="C225" s="134"/>
      <c r="D225" s="135"/>
      <c r="F225" s="136"/>
    </row>
    <row r="226" ht="14.25" customHeight="1">
      <c r="B226" s="160"/>
      <c r="C226" s="134"/>
      <c r="D226" s="135"/>
      <c r="F226" s="136"/>
    </row>
    <row r="227" ht="14.25" customHeight="1">
      <c r="B227" s="160"/>
      <c r="C227" s="134"/>
      <c r="D227" s="135"/>
      <c r="F227" s="136"/>
    </row>
    <row r="228" ht="14.25" customHeight="1">
      <c r="B228" s="160"/>
      <c r="C228" s="134"/>
      <c r="D228" s="135"/>
      <c r="F228" s="136"/>
    </row>
    <row r="229" ht="14.25" customHeight="1">
      <c r="B229" s="160"/>
      <c r="C229" s="134"/>
      <c r="D229" s="135"/>
      <c r="F229" s="136"/>
    </row>
    <row r="230" ht="14.25" customHeight="1">
      <c r="B230" s="160"/>
      <c r="C230" s="134"/>
      <c r="D230" s="135"/>
      <c r="F230" s="136"/>
    </row>
    <row r="231" ht="14.25" customHeight="1">
      <c r="B231" s="160"/>
      <c r="C231" s="134"/>
      <c r="D231" s="135"/>
      <c r="F231" s="136"/>
    </row>
    <row r="232" ht="14.25" customHeight="1">
      <c r="B232" s="160"/>
      <c r="C232" s="134"/>
      <c r="D232" s="135"/>
      <c r="F232" s="136"/>
    </row>
    <row r="233" ht="14.25" customHeight="1">
      <c r="B233" s="160"/>
      <c r="C233" s="134"/>
      <c r="D233" s="135"/>
      <c r="F233" s="136"/>
    </row>
    <row r="234" ht="14.25" customHeight="1">
      <c r="B234" s="160"/>
      <c r="C234" s="134"/>
      <c r="D234" s="135"/>
      <c r="F234" s="136"/>
    </row>
    <row r="235" ht="14.25" customHeight="1">
      <c r="B235" s="160"/>
      <c r="C235" s="134"/>
      <c r="D235" s="135"/>
      <c r="F235" s="136"/>
    </row>
    <row r="236" ht="14.25" customHeight="1">
      <c r="B236" s="160"/>
      <c r="C236" s="134"/>
      <c r="D236" s="135"/>
      <c r="F236" s="136"/>
    </row>
    <row r="237" ht="14.25" customHeight="1">
      <c r="B237" s="160"/>
      <c r="C237" s="134"/>
      <c r="D237" s="135"/>
      <c r="F237" s="136"/>
    </row>
    <row r="238" ht="14.25" customHeight="1">
      <c r="B238" s="160"/>
      <c r="C238" s="134"/>
      <c r="D238" s="135"/>
      <c r="F238" s="136"/>
    </row>
    <row r="239" ht="14.25" customHeight="1">
      <c r="B239" s="160"/>
      <c r="C239" s="134"/>
      <c r="D239" s="135"/>
      <c r="F239" s="136"/>
    </row>
    <row r="240" ht="14.25" customHeight="1">
      <c r="B240" s="160"/>
      <c r="C240" s="134"/>
      <c r="D240" s="135"/>
      <c r="F240" s="136"/>
    </row>
    <row r="241" ht="14.25" customHeight="1">
      <c r="B241" s="160"/>
      <c r="C241" s="134"/>
      <c r="D241" s="135"/>
      <c r="F241" s="136"/>
    </row>
    <row r="242" ht="14.25" customHeight="1">
      <c r="B242" s="160"/>
      <c r="C242" s="134"/>
      <c r="D242" s="135"/>
      <c r="F242" s="136"/>
    </row>
    <row r="243" ht="14.25" customHeight="1">
      <c r="B243" s="160"/>
      <c r="C243" s="134"/>
      <c r="D243" s="135"/>
      <c r="F243" s="136"/>
    </row>
    <row r="244" ht="14.25" customHeight="1">
      <c r="B244" s="160"/>
      <c r="C244" s="134"/>
      <c r="D244" s="135"/>
      <c r="F244" s="136"/>
    </row>
    <row r="245" ht="14.25" customHeight="1">
      <c r="B245" s="160"/>
      <c r="C245" s="134"/>
      <c r="D245" s="135"/>
      <c r="F245" s="136"/>
    </row>
    <row r="246" ht="14.25" customHeight="1">
      <c r="B246" s="160"/>
      <c r="C246" s="134"/>
      <c r="D246" s="135"/>
      <c r="F246" s="136"/>
    </row>
    <row r="247" ht="14.25" customHeight="1">
      <c r="B247" s="160"/>
      <c r="C247" s="134"/>
      <c r="D247" s="135"/>
      <c r="F247" s="136"/>
    </row>
    <row r="248" ht="14.25" customHeight="1">
      <c r="B248" s="160"/>
      <c r="C248" s="134"/>
      <c r="D248" s="135"/>
      <c r="F248" s="136"/>
    </row>
    <row r="249" ht="14.25" customHeight="1">
      <c r="B249" s="160"/>
      <c r="C249" s="134"/>
      <c r="D249" s="135"/>
      <c r="F249" s="136"/>
    </row>
    <row r="250" ht="14.25" customHeight="1">
      <c r="B250" s="160"/>
      <c r="C250" s="134"/>
      <c r="D250" s="135"/>
      <c r="F250" s="136"/>
    </row>
    <row r="251" ht="14.25" customHeight="1">
      <c r="B251" s="160"/>
      <c r="C251" s="134"/>
      <c r="D251" s="135"/>
      <c r="F251" s="136"/>
    </row>
    <row r="252" ht="14.25" customHeight="1">
      <c r="B252" s="160"/>
      <c r="C252" s="134"/>
      <c r="D252" s="135"/>
      <c r="F252" s="136"/>
    </row>
    <row r="253" ht="14.25" customHeight="1">
      <c r="B253" s="160"/>
      <c r="C253" s="134"/>
      <c r="D253" s="135"/>
      <c r="F253" s="136"/>
    </row>
    <row r="254" ht="14.25" customHeight="1">
      <c r="B254" s="160"/>
      <c r="C254" s="134"/>
      <c r="D254" s="135"/>
      <c r="F254" s="136"/>
    </row>
    <row r="255" ht="14.25" customHeight="1">
      <c r="B255" s="160"/>
      <c r="C255" s="134"/>
      <c r="D255" s="135"/>
      <c r="F255" s="136"/>
    </row>
    <row r="256" ht="14.25" customHeight="1">
      <c r="B256" s="160"/>
      <c r="C256" s="134"/>
      <c r="D256" s="135"/>
      <c r="F256" s="136"/>
    </row>
    <row r="257" ht="14.25" customHeight="1">
      <c r="B257" s="160"/>
      <c r="C257" s="134"/>
      <c r="D257" s="135"/>
      <c r="F257" s="136"/>
    </row>
    <row r="258" ht="14.25" customHeight="1">
      <c r="B258" s="160"/>
      <c r="C258" s="134"/>
      <c r="D258" s="135"/>
      <c r="F258" s="136"/>
    </row>
    <row r="259" ht="14.25" customHeight="1">
      <c r="B259" s="160"/>
      <c r="C259" s="134"/>
      <c r="D259" s="135"/>
      <c r="F259" s="136"/>
    </row>
    <row r="260" ht="14.25" customHeight="1">
      <c r="B260" s="160"/>
      <c r="C260" s="134"/>
      <c r="D260" s="135"/>
      <c r="F260" s="136"/>
    </row>
    <row r="261" ht="14.25" customHeight="1">
      <c r="B261" s="160"/>
      <c r="C261" s="134"/>
      <c r="D261" s="135"/>
      <c r="F261" s="136"/>
    </row>
    <row r="262" ht="14.25" customHeight="1">
      <c r="B262" s="160"/>
      <c r="C262" s="134"/>
      <c r="D262" s="135"/>
      <c r="F262" s="136"/>
    </row>
    <row r="263" ht="14.25" customHeight="1">
      <c r="B263" s="160"/>
      <c r="C263" s="134"/>
      <c r="D263" s="135"/>
      <c r="F263" s="136"/>
    </row>
    <row r="264" ht="14.25" customHeight="1">
      <c r="B264" s="160"/>
      <c r="C264" s="134"/>
      <c r="D264" s="135"/>
      <c r="F264" s="136"/>
    </row>
    <row r="265" ht="14.25" customHeight="1">
      <c r="B265" s="160"/>
      <c r="C265" s="134"/>
      <c r="D265" s="135"/>
      <c r="F265" s="136"/>
    </row>
    <row r="266" ht="14.25" customHeight="1">
      <c r="B266" s="160"/>
      <c r="C266" s="134"/>
      <c r="D266" s="135"/>
      <c r="F266" s="136"/>
    </row>
    <row r="267" ht="14.25" customHeight="1">
      <c r="B267" s="160"/>
      <c r="C267" s="134"/>
      <c r="D267" s="135"/>
      <c r="F267" s="136"/>
    </row>
    <row r="268" ht="14.25" customHeight="1">
      <c r="B268" s="160"/>
      <c r="C268" s="134"/>
      <c r="D268" s="135"/>
      <c r="F268" s="136"/>
    </row>
    <row r="269" ht="14.25" customHeight="1">
      <c r="B269" s="160"/>
      <c r="C269" s="134"/>
      <c r="D269" s="135"/>
      <c r="F269" s="136"/>
    </row>
    <row r="270" ht="14.25" customHeight="1">
      <c r="B270" s="160"/>
      <c r="C270" s="134"/>
      <c r="D270" s="135"/>
      <c r="F270" s="136"/>
    </row>
    <row r="271" ht="14.25" customHeight="1">
      <c r="B271" s="160"/>
      <c r="C271" s="134"/>
      <c r="D271" s="135"/>
      <c r="F271" s="136"/>
    </row>
    <row r="272" ht="14.25" customHeight="1">
      <c r="B272" s="160"/>
      <c r="C272" s="134"/>
      <c r="D272" s="135"/>
      <c r="F272" s="136"/>
    </row>
    <row r="273" ht="14.25" customHeight="1">
      <c r="B273" s="160"/>
      <c r="C273" s="134"/>
      <c r="D273" s="135"/>
      <c r="F273" s="136"/>
    </row>
    <row r="274" ht="14.25" customHeight="1">
      <c r="B274" s="160"/>
      <c r="C274" s="134"/>
      <c r="D274" s="135"/>
      <c r="F274" s="136"/>
    </row>
    <row r="275" ht="14.25" customHeight="1">
      <c r="B275" s="160"/>
      <c r="C275" s="134"/>
      <c r="D275" s="135"/>
      <c r="F275" s="136"/>
    </row>
    <row r="276" ht="14.25" customHeight="1">
      <c r="B276" s="160"/>
      <c r="C276" s="134"/>
      <c r="D276" s="135"/>
      <c r="F276" s="136"/>
    </row>
    <row r="277" ht="14.25" customHeight="1">
      <c r="B277" s="160"/>
      <c r="C277" s="134"/>
      <c r="D277" s="135"/>
      <c r="F277" s="136"/>
    </row>
    <row r="278" ht="14.25" customHeight="1">
      <c r="B278" s="160"/>
      <c r="C278" s="134"/>
      <c r="D278" s="135"/>
      <c r="F278" s="136"/>
    </row>
    <row r="279" ht="14.25" customHeight="1">
      <c r="B279" s="160"/>
      <c r="C279" s="134"/>
      <c r="D279" s="135"/>
      <c r="F279" s="136"/>
    </row>
    <row r="280" ht="14.25" customHeight="1">
      <c r="B280" s="160"/>
      <c r="C280" s="134"/>
      <c r="D280" s="135"/>
      <c r="F280" s="136"/>
    </row>
    <row r="281" ht="14.25" customHeight="1">
      <c r="B281" s="160"/>
      <c r="C281" s="134"/>
      <c r="D281" s="135"/>
      <c r="F281" s="136"/>
    </row>
    <row r="282" ht="14.25" customHeight="1">
      <c r="B282" s="160"/>
      <c r="C282" s="134"/>
      <c r="D282" s="135"/>
      <c r="F282" s="136"/>
    </row>
    <row r="283" ht="14.25" customHeight="1">
      <c r="B283" s="160"/>
      <c r="C283" s="134"/>
      <c r="D283" s="135"/>
      <c r="F283" s="136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511811023622047" footer="0.0" header="0.0" left="0.0" right="0.0" top="0.511811023622047"/>
  <pageSetup scale="51" orientation="portrait"/>
  <headerFooter>
    <oddHeader>&amp;LREGISTERED BIDDERS&amp;R&amp;F</oddHeader>
    <oddFooter>&amp;RPAGE &amp;P OF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15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29"/>
    <col customWidth="1" min="3" max="3" width="30.43"/>
    <col customWidth="1" min="4" max="6" width="14.86"/>
    <col customWidth="1" min="7" max="23" width="9.14"/>
  </cols>
  <sheetData>
    <row r="1" ht="20.25" customHeight="1">
      <c r="A1" s="161" t="s">
        <v>3794</v>
      </c>
      <c r="B1" s="161" t="s">
        <v>3795</v>
      </c>
      <c r="C1" s="162" t="s">
        <v>12</v>
      </c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ht="14.25" customHeight="1">
      <c r="A2" s="163">
        <v>692.0</v>
      </c>
      <c r="B2" s="164">
        <v>0.05</v>
      </c>
      <c r="C2" s="165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ht="14.25" customHeight="1">
      <c r="A3" s="163">
        <v>694.0</v>
      </c>
      <c r="B3" s="164">
        <v>0.05</v>
      </c>
      <c r="C3" s="165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 ht="14.25" customHeight="1">
      <c r="A4" s="163">
        <v>697.0</v>
      </c>
      <c r="B4" s="164">
        <v>0.05</v>
      </c>
      <c r="C4" s="165" t="s">
        <v>50</v>
      </c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 ht="14.25" customHeight="1">
      <c r="A5" s="163">
        <v>698.0</v>
      </c>
      <c r="B5" s="164">
        <v>0.05</v>
      </c>
      <c r="C5" s="165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 ht="14.25" customHeight="1">
      <c r="A6" s="163">
        <v>700.0</v>
      </c>
      <c r="B6" s="164">
        <v>0.05</v>
      </c>
      <c r="C6" s="165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ht="14.25" customHeight="1">
      <c r="A7" s="163">
        <v>703.0</v>
      </c>
      <c r="B7" s="164">
        <v>0.05</v>
      </c>
      <c r="C7" s="165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ht="14.25" customHeight="1">
      <c r="A8" s="163">
        <v>728.0</v>
      </c>
      <c r="B8" s="164">
        <v>0.05</v>
      </c>
      <c r="C8" s="165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ht="14.25" customHeight="1">
      <c r="A9" s="163">
        <v>732.0</v>
      </c>
      <c r="B9" s="164">
        <v>0.05</v>
      </c>
      <c r="C9" s="165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ht="14.25" customHeight="1">
      <c r="A10" s="163">
        <v>733.0</v>
      </c>
      <c r="B10" s="164">
        <v>0.05</v>
      </c>
      <c r="C10" s="165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 ht="14.25" customHeight="1">
      <c r="A11" s="163">
        <v>734.0</v>
      </c>
      <c r="B11" s="164">
        <v>0.05</v>
      </c>
      <c r="C11" s="165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ht="14.25" customHeight="1">
      <c r="A12" s="163">
        <v>747.0</v>
      </c>
      <c r="B12" s="164">
        <v>0.05</v>
      </c>
      <c r="C12" s="165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ht="14.25" customHeight="1">
      <c r="A13" s="163">
        <v>749.0</v>
      </c>
      <c r="B13" s="164">
        <v>0.05</v>
      </c>
      <c r="C13" s="165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ht="14.25" customHeight="1">
      <c r="A14" s="163">
        <v>753.0</v>
      </c>
      <c r="B14" s="164">
        <v>0.05</v>
      </c>
      <c r="C14" s="165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ht="14.25" customHeight="1">
      <c r="A15" s="163">
        <v>755.0</v>
      </c>
      <c r="B15" s="164">
        <v>0.05</v>
      </c>
      <c r="C15" s="165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ht="14.25" customHeight="1">
      <c r="A16" s="163">
        <v>761.0</v>
      </c>
      <c r="B16" s="164">
        <v>0.05</v>
      </c>
      <c r="C16" s="165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ht="14.25" customHeight="1">
      <c r="A17" s="163">
        <v>767.0</v>
      </c>
      <c r="B17" s="164">
        <v>0.05</v>
      </c>
      <c r="C17" s="165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ht="14.25" customHeight="1">
      <c r="A18" s="163">
        <v>777.0</v>
      </c>
      <c r="B18" s="164">
        <v>0.05</v>
      </c>
      <c r="C18" s="165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ht="14.25" customHeight="1">
      <c r="A19" s="163">
        <v>784.0</v>
      </c>
      <c r="B19" s="164">
        <v>0.05</v>
      </c>
      <c r="C19" s="165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ht="14.25" customHeight="1">
      <c r="A20" s="163">
        <v>786.0</v>
      </c>
      <c r="B20" s="164">
        <v>0.05</v>
      </c>
      <c r="C20" s="165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ht="14.25" customHeight="1">
      <c r="A21" s="163">
        <v>788.0</v>
      </c>
      <c r="B21" s="164">
        <v>0.05</v>
      </c>
      <c r="C21" s="165" t="s">
        <v>3796</v>
      </c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ht="14.25" customHeight="1">
      <c r="A22" s="163">
        <v>800.0</v>
      </c>
      <c r="B22" s="164">
        <v>0.05</v>
      </c>
      <c r="C22" s="165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ht="14.25" customHeight="1">
      <c r="A23" s="163">
        <v>808.0</v>
      </c>
      <c r="B23" s="164">
        <v>0.05</v>
      </c>
      <c r="C23" s="165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ht="14.25" customHeight="1">
      <c r="A24" s="163">
        <v>820.0</v>
      </c>
      <c r="B24" s="164">
        <v>0.05</v>
      </c>
      <c r="C24" s="165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ht="14.25" customHeight="1">
      <c r="A25" s="163">
        <v>824.0</v>
      </c>
      <c r="B25" s="164">
        <v>0.05</v>
      </c>
      <c r="C25" s="165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ht="14.25" customHeight="1">
      <c r="A26" s="163">
        <v>825.0</v>
      </c>
      <c r="B26" s="164">
        <v>0.05</v>
      </c>
      <c r="C26" s="165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ht="14.25" customHeight="1">
      <c r="A27" s="163">
        <v>830.0</v>
      </c>
      <c r="B27" s="164">
        <v>0.05</v>
      </c>
      <c r="C27" s="165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ht="14.25" customHeight="1">
      <c r="A28" s="163">
        <v>846.0</v>
      </c>
      <c r="B28" s="164">
        <v>0.05</v>
      </c>
      <c r="C28" s="165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ht="14.25" customHeight="1">
      <c r="A29" s="163">
        <v>852.0</v>
      </c>
      <c r="B29" s="164">
        <v>0.05</v>
      </c>
      <c r="C29" s="165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ht="14.25" customHeight="1">
      <c r="A30" s="163">
        <v>853.0</v>
      </c>
      <c r="B30" s="164">
        <v>0.05</v>
      </c>
      <c r="C30" s="165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ht="14.25" customHeight="1">
      <c r="A31" s="163">
        <v>860.0</v>
      </c>
      <c r="B31" s="164">
        <v>0.05</v>
      </c>
      <c r="C31" s="165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ht="14.25" customHeight="1">
      <c r="A32" s="163">
        <v>865.0</v>
      </c>
      <c r="B32" s="164">
        <v>0.05</v>
      </c>
      <c r="C32" s="165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ht="14.25" customHeight="1">
      <c r="A33" s="163">
        <v>866.0</v>
      </c>
      <c r="B33" s="164">
        <v>0.05</v>
      </c>
      <c r="C33" s="165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ht="14.25" customHeight="1">
      <c r="A34" s="163">
        <v>880.0</v>
      </c>
      <c r="B34" s="164">
        <v>0.05</v>
      </c>
      <c r="C34" s="165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ht="14.25" customHeight="1">
      <c r="A35" s="163">
        <v>888.0</v>
      </c>
      <c r="B35" s="164">
        <v>0.05</v>
      </c>
      <c r="C35" s="165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ht="14.25" customHeight="1">
      <c r="A36" s="163">
        <v>890.0</v>
      </c>
      <c r="B36" s="164">
        <v>0.05</v>
      </c>
      <c r="C36" s="165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ht="14.25" customHeight="1">
      <c r="A37" s="163">
        <v>896.0</v>
      </c>
      <c r="B37" s="164">
        <v>0.05</v>
      </c>
      <c r="C37" s="165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ht="14.25" customHeight="1">
      <c r="A38" s="163">
        <v>908.0</v>
      </c>
      <c r="B38" s="164">
        <v>0.05</v>
      </c>
      <c r="C38" s="165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ht="14.25" customHeight="1">
      <c r="A39" s="163">
        <v>911.0</v>
      </c>
      <c r="B39" s="164">
        <v>0.05</v>
      </c>
      <c r="C39" s="165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ht="14.25" customHeight="1">
      <c r="A40" s="163">
        <v>912.0</v>
      </c>
      <c r="B40" s="164">
        <v>0.05</v>
      </c>
      <c r="C40" s="165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ht="14.25" customHeight="1">
      <c r="A41" s="163">
        <v>923.0</v>
      </c>
      <c r="B41" s="164">
        <v>0.05</v>
      </c>
      <c r="C41" s="165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ht="14.25" customHeight="1">
      <c r="A42" s="163">
        <v>936.0</v>
      </c>
      <c r="B42" s="164">
        <v>0.05</v>
      </c>
      <c r="C42" s="165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ht="14.25" customHeight="1">
      <c r="A43" s="163">
        <v>940.0</v>
      </c>
      <c r="B43" s="164">
        <v>0.05</v>
      </c>
      <c r="C43" s="165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4.25" customHeight="1">
      <c r="A44" s="163">
        <v>944.0</v>
      </c>
      <c r="B44" s="164">
        <v>0.05</v>
      </c>
      <c r="C44" s="165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ht="14.25" customHeight="1">
      <c r="A45" s="163">
        <v>947.0</v>
      </c>
      <c r="B45" s="164">
        <v>0.05</v>
      </c>
      <c r="C45" s="165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ht="14.25" customHeight="1">
      <c r="A46" s="163">
        <v>950.0</v>
      </c>
      <c r="B46" s="164">
        <v>0.05</v>
      </c>
      <c r="C46" s="165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ht="14.25" customHeight="1">
      <c r="A47" s="163">
        <v>958.0</v>
      </c>
      <c r="B47" s="164">
        <v>0.05</v>
      </c>
      <c r="C47" s="165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ht="14.25" customHeight="1">
      <c r="A48" s="163">
        <v>963.0</v>
      </c>
      <c r="B48" s="164">
        <v>0.05</v>
      </c>
      <c r="C48" s="165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ht="14.25" customHeight="1">
      <c r="A49" s="163">
        <v>967.0</v>
      </c>
      <c r="B49" s="164">
        <v>0.05</v>
      </c>
      <c r="C49" s="165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4.25" customHeight="1">
      <c r="A50" s="163">
        <v>970.0</v>
      </c>
      <c r="B50" s="164">
        <v>0.05</v>
      </c>
      <c r="C50" s="165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4.25" customHeight="1">
      <c r="A51" s="163">
        <v>975.0</v>
      </c>
      <c r="B51" s="164">
        <v>0.05</v>
      </c>
      <c r="C51" s="165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4.25" customHeight="1">
      <c r="A52" s="163">
        <v>985.0</v>
      </c>
      <c r="B52" s="164">
        <v>0.05</v>
      </c>
      <c r="C52" s="165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4.25" customHeight="1">
      <c r="A53" s="163">
        <v>986.0</v>
      </c>
      <c r="B53" s="164">
        <v>0.05</v>
      </c>
      <c r="C53" s="165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4.25" customHeight="1">
      <c r="A54" s="163">
        <v>987.0</v>
      </c>
      <c r="B54" s="164">
        <v>0.05</v>
      </c>
      <c r="C54" s="165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4.25" customHeight="1">
      <c r="A55" s="163">
        <v>990.0</v>
      </c>
      <c r="B55" s="164">
        <v>0.05</v>
      </c>
      <c r="C55" s="165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4.25" customHeight="1">
      <c r="A56" s="163">
        <v>993.0</v>
      </c>
      <c r="B56" s="164">
        <v>0.05</v>
      </c>
      <c r="C56" s="165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4.25" customHeight="1">
      <c r="A57" s="163">
        <v>994.0</v>
      </c>
      <c r="B57" s="164">
        <v>0.05</v>
      </c>
      <c r="C57" s="165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4.25" customHeight="1">
      <c r="A58" s="163">
        <v>998.0</v>
      </c>
      <c r="B58" s="164">
        <v>0.05</v>
      </c>
      <c r="C58" s="165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4.25" customHeight="1">
      <c r="A59" s="163">
        <v>999.0</v>
      </c>
      <c r="B59" s="164">
        <v>0.05</v>
      </c>
      <c r="C59" s="165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4.25" customHeight="1">
      <c r="A60" s="163">
        <v>1008.0</v>
      </c>
      <c r="B60" s="164">
        <v>0.05</v>
      </c>
      <c r="C60" s="165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4.25" customHeight="1">
      <c r="A61" s="163">
        <v>1009.0</v>
      </c>
      <c r="B61" s="164">
        <v>0.05</v>
      </c>
      <c r="C61" s="165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4.25" customHeight="1">
      <c r="A62" s="163">
        <v>1016.0</v>
      </c>
      <c r="B62" s="164">
        <v>0.05</v>
      </c>
      <c r="C62" s="165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4.25" customHeight="1">
      <c r="A63" s="163">
        <v>1019.0</v>
      </c>
      <c r="B63" s="164">
        <v>0.05</v>
      </c>
      <c r="C63" s="165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4.25" customHeight="1">
      <c r="A64" s="163">
        <v>1022.0</v>
      </c>
      <c r="B64" s="164">
        <v>0.05</v>
      </c>
      <c r="C64" s="165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4.25" customHeight="1">
      <c r="A65" s="163">
        <v>1041.0</v>
      </c>
      <c r="B65" s="164">
        <v>0.05</v>
      </c>
      <c r="C65" s="165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4.25" customHeight="1">
      <c r="A66" s="163">
        <v>1045.0</v>
      </c>
      <c r="B66" s="164">
        <v>0.05</v>
      </c>
      <c r="C66" s="165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4.25" customHeight="1">
      <c r="A67" s="163">
        <v>1046.0</v>
      </c>
      <c r="B67" s="164">
        <v>0.05</v>
      </c>
      <c r="C67" s="165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4.25" customHeight="1">
      <c r="A68" s="163">
        <v>1050.0</v>
      </c>
      <c r="B68" s="164">
        <v>0.05</v>
      </c>
      <c r="C68" s="165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4.25" customHeight="1">
      <c r="A69" s="163">
        <v>1052.0</v>
      </c>
      <c r="B69" s="164">
        <v>0.05</v>
      </c>
      <c r="C69" s="165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4.25" customHeight="1">
      <c r="A70" s="163">
        <v>1053.0</v>
      </c>
      <c r="B70" s="164">
        <v>0.05</v>
      </c>
      <c r="C70" s="165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4.25" customHeight="1">
      <c r="A71" s="163">
        <v>1054.0</v>
      </c>
      <c r="B71" s="164">
        <v>0.05</v>
      </c>
      <c r="C71" s="165" t="s">
        <v>3797</v>
      </c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4.25" customHeight="1">
      <c r="A72" s="163">
        <v>1061.0</v>
      </c>
      <c r="B72" s="164">
        <v>0.05</v>
      </c>
      <c r="C72" s="165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4.25" customHeight="1">
      <c r="A73" s="163">
        <v>1068.0</v>
      </c>
      <c r="B73" s="164">
        <v>0.05</v>
      </c>
      <c r="C73" s="165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4.25" customHeight="1">
      <c r="A74" s="163">
        <v>1071.0</v>
      </c>
      <c r="B74" s="164">
        <v>0.05</v>
      </c>
      <c r="C74" s="165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4.25" customHeight="1">
      <c r="A75" s="163">
        <v>1074.0</v>
      </c>
      <c r="B75" s="164">
        <v>0.05</v>
      </c>
      <c r="C75" s="165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4.25" customHeight="1">
      <c r="A76" s="163">
        <v>1077.0</v>
      </c>
      <c r="B76" s="164">
        <v>0.05</v>
      </c>
      <c r="C76" s="165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4.25" customHeight="1">
      <c r="A77" s="163">
        <v>1086.0</v>
      </c>
      <c r="B77" s="164">
        <v>0.05</v>
      </c>
      <c r="C77" s="165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4.25" customHeight="1">
      <c r="A78" s="163">
        <v>1109.0</v>
      </c>
      <c r="B78" s="164">
        <v>0.05</v>
      </c>
      <c r="C78" s="165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4.25" customHeight="1">
      <c r="A79" s="163">
        <v>1112.0</v>
      </c>
      <c r="B79" s="164">
        <v>0.05</v>
      </c>
      <c r="C79" s="165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4.25" customHeight="1">
      <c r="A80" s="163">
        <v>1119.0</v>
      </c>
      <c r="B80" s="164">
        <v>0.05</v>
      </c>
      <c r="C80" s="165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4.25" customHeight="1">
      <c r="A81" s="163">
        <v>1125.0</v>
      </c>
      <c r="B81" s="164">
        <v>0.05</v>
      </c>
      <c r="C81" s="165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4.25" customHeight="1">
      <c r="A82" s="163">
        <v>1127.0</v>
      </c>
      <c r="B82" s="164">
        <v>0.05</v>
      </c>
      <c r="C82" s="165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4.25" customHeight="1">
      <c r="A83" s="163">
        <v>1131.0</v>
      </c>
      <c r="B83" s="164">
        <v>0.05</v>
      </c>
      <c r="C83" s="165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4.25" customHeight="1">
      <c r="A84" s="163">
        <v>1133.0</v>
      </c>
      <c r="B84" s="164">
        <v>0.05</v>
      </c>
      <c r="C84" s="165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4.25" customHeight="1">
      <c r="A85" s="163">
        <v>1136.0</v>
      </c>
      <c r="B85" s="164">
        <v>0.05</v>
      </c>
      <c r="C85" s="165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4.25" customHeight="1">
      <c r="A86" s="163">
        <v>1138.0</v>
      </c>
      <c r="B86" s="164">
        <v>0.05</v>
      </c>
      <c r="C86" s="165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4.25" customHeight="1">
      <c r="A87" s="163">
        <v>1143.0</v>
      </c>
      <c r="B87" s="164">
        <v>0.05</v>
      </c>
      <c r="C87" s="165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4.25" customHeight="1">
      <c r="A88" s="163">
        <v>1145.0</v>
      </c>
      <c r="B88" s="164">
        <v>0.05</v>
      </c>
      <c r="C88" s="165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4.25" customHeight="1">
      <c r="A89" s="163">
        <v>1149.0</v>
      </c>
      <c r="B89" s="164">
        <v>0.05</v>
      </c>
      <c r="C89" s="165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4.25" customHeight="1">
      <c r="A90" s="163">
        <v>1159.0</v>
      </c>
      <c r="B90" s="164">
        <v>0.05</v>
      </c>
      <c r="C90" s="165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4.25" customHeight="1">
      <c r="A91" s="163">
        <v>1162.0</v>
      </c>
      <c r="B91" s="164">
        <v>0.05</v>
      </c>
      <c r="C91" s="165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4.25" customHeight="1">
      <c r="A92" s="163">
        <v>1168.0</v>
      </c>
      <c r="B92" s="164">
        <v>0.05</v>
      </c>
      <c r="C92" s="165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4.25" customHeight="1">
      <c r="A93" s="163">
        <v>1172.0</v>
      </c>
      <c r="B93" s="164">
        <v>0.05</v>
      </c>
      <c r="C93" s="165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4.25" customHeight="1">
      <c r="A94" s="163">
        <v>1175.0</v>
      </c>
      <c r="B94" s="164">
        <v>0.05</v>
      </c>
      <c r="C94" s="165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4.25" customHeight="1">
      <c r="A95" s="163">
        <v>1176.0</v>
      </c>
      <c r="B95" s="164">
        <v>0.05</v>
      </c>
      <c r="C95" s="165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4.25" customHeight="1">
      <c r="A96" s="163">
        <v>1187.0</v>
      </c>
      <c r="B96" s="164">
        <v>0.05</v>
      </c>
      <c r="C96" s="165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4.25" customHeight="1">
      <c r="A97" s="163">
        <v>1192.0</v>
      </c>
      <c r="B97" s="164">
        <v>0.05</v>
      </c>
      <c r="C97" s="165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4.25" customHeight="1">
      <c r="A98" s="163">
        <v>1193.0</v>
      </c>
      <c r="B98" s="164">
        <v>0.05</v>
      </c>
      <c r="C98" s="165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4.25" customHeight="1">
      <c r="A99" s="163">
        <v>1201.0</v>
      </c>
      <c r="B99" s="164">
        <v>0.05</v>
      </c>
      <c r="C99" s="165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4.25" customHeight="1">
      <c r="A100" s="163">
        <v>1203.0</v>
      </c>
      <c r="B100" s="164">
        <v>0.05</v>
      </c>
      <c r="C100" s="165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4.25" customHeight="1">
      <c r="A101" s="163">
        <v>1208.0</v>
      </c>
      <c r="B101" s="164">
        <v>0.05</v>
      </c>
      <c r="C101" s="165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4.25" customHeight="1">
      <c r="A102" s="163">
        <v>1209.0</v>
      </c>
      <c r="B102" s="164">
        <v>0.05</v>
      </c>
      <c r="C102" s="165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4.25" customHeight="1">
      <c r="A103" s="163">
        <v>1210.0</v>
      </c>
      <c r="B103" s="164">
        <v>0.05</v>
      </c>
      <c r="C103" s="165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4.25" customHeight="1">
      <c r="A104" s="163">
        <v>1216.0</v>
      </c>
      <c r="B104" s="164">
        <v>0.05</v>
      </c>
      <c r="C104" s="165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4.25" customHeight="1">
      <c r="A105" s="163">
        <v>1221.0</v>
      </c>
      <c r="B105" s="164">
        <v>0.05</v>
      </c>
      <c r="C105" s="165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4.25" customHeight="1">
      <c r="A106" s="163">
        <v>1222.0</v>
      </c>
      <c r="B106" s="164">
        <v>0.05</v>
      </c>
      <c r="C106" s="165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4.25" customHeight="1">
      <c r="A107" s="163">
        <v>1223.0</v>
      </c>
      <c r="B107" s="164">
        <v>0.05</v>
      </c>
      <c r="C107" s="165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4.25" customHeight="1">
      <c r="A108" s="163">
        <v>1224.0</v>
      </c>
      <c r="B108" s="164">
        <v>0.05</v>
      </c>
      <c r="C108" s="165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4.25" customHeight="1">
      <c r="A109" s="163">
        <v>1228.0</v>
      </c>
      <c r="B109" s="164">
        <v>0.05</v>
      </c>
      <c r="C109" s="165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4.25" customHeight="1">
      <c r="A110" s="163">
        <v>1229.0</v>
      </c>
      <c r="B110" s="164">
        <v>0.05</v>
      </c>
      <c r="C110" s="165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4.25" customHeight="1">
      <c r="A111" s="163">
        <v>1230.0</v>
      </c>
      <c r="B111" s="164">
        <v>0.05</v>
      </c>
      <c r="C111" s="165" t="s">
        <v>3798</v>
      </c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4.25" customHeight="1">
      <c r="A112" s="163">
        <v>1234.0</v>
      </c>
      <c r="B112" s="164">
        <v>0.05</v>
      </c>
      <c r="C112" s="165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4.25" customHeight="1">
      <c r="A113" s="163">
        <v>1235.0</v>
      </c>
      <c r="B113" s="164">
        <v>0.05</v>
      </c>
      <c r="C113" s="165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4.25" customHeight="1">
      <c r="A114" s="163">
        <v>1236.0</v>
      </c>
      <c r="B114" s="164">
        <v>0.05</v>
      </c>
      <c r="C114" s="165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4.25" customHeight="1">
      <c r="A115" s="163">
        <v>1237.0</v>
      </c>
      <c r="B115" s="164">
        <v>0.05</v>
      </c>
      <c r="C115" s="165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4.25" customHeight="1">
      <c r="A116" s="163">
        <v>1238.0</v>
      </c>
      <c r="B116" s="164">
        <v>0.05</v>
      </c>
      <c r="C116" s="165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4.25" customHeight="1">
      <c r="A117" s="163">
        <v>1239.0</v>
      </c>
      <c r="B117" s="164">
        <v>0.05</v>
      </c>
      <c r="C117" s="165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4.25" customHeight="1">
      <c r="A118" s="163">
        <v>1240.0</v>
      </c>
      <c r="B118" s="164">
        <v>0.05</v>
      </c>
      <c r="C118" s="165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4.25" customHeight="1">
      <c r="A119" s="163">
        <v>1243.0</v>
      </c>
      <c r="B119" s="164">
        <v>0.05</v>
      </c>
      <c r="C119" s="165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4.25" customHeight="1">
      <c r="A120" s="163">
        <v>1244.0</v>
      </c>
      <c r="B120" s="164">
        <v>0.05</v>
      </c>
      <c r="C120" s="165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4.25" customHeight="1">
      <c r="A121" s="163">
        <v>1245.0</v>
      </c>
      <c r="B121" s="164">
        <v>0.05</v>
      </c>
      <c r="C121" s="165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4.25" customHeight="1">
      <c r="A122" s="163">
        <v>1269.0</v>
      </c>
      <c r="B122" s="164">
        <v>0.05</v>
      </c>
      <c r="C122" s="165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4.25" customHeight="1">
      <c r="A123" s="163">
        <v>1270.0</v>
      </c>
      <c r="B123" s="164">
        <v>0.05</v>
      </c>
      <c r="C123" s="165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4.25" customHeight="1">
      <c r="A124" s="163">
        <v>1277.0</v>
      </c>
      <c r="B124" s="164">
        <v>0.05</v>
      </c>
      <c r="C124" s="165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4.25" customHeight="1">
      <c r="A125" s="163">
        <v>1279.0</v>
      </c>
      <c r="B125" s="164">
        <v>0.05</v>
      </c>
      <c r="C125" s="165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4.25" customHeight="1">
      <c r="A126" s="163">
        <v>1282.0</v>
      </c>
      <c r="B126" s="164">
        <v>0.05</v>
      </c>
      <c r="C126" s="165" t="s">
        <v>3799</v>
      </c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4.25" customHeight="1">
      <c r="A127" s="163">
        <v>1285.0</v>
      </c>
      <c r="B127" s="164">
        <v>0.05</v>
      </c>
      <c r="C127" s="165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4.25" customHeight="1">
      <c r="A128" s="163">
        <v>1302.0</v>
      </c>
      <c r="B128" s="164">
        <v>0.05</v>
      </c>
      <c r="C128" s="165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4.25" customHeight="1">
      <c r="A129" s="163">
        <v>1305.0</v>
      </c>
      <c r="B129" s="164">
        <v>0.05</v>
      </c>
      <c r="C129" s="165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4.25" customHeight="1">
      <c r="A130" s="163">
        <v>1320.0</v>
      </c>
      <c r="B130" s="164">
        <v>0.05</v>
      </c>
      <c r="C130" s="165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4.25" customHeight="1">
      <c r="A131" s="163">
        <v>1323.0</v>
      </c>
      <c r="B131" s="164">
        <v>0.05</v>
      </c>
      <c r="C131" s="165" t="s">
        <v>3800</v>
      </c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4.25" customHeight="1">
      <c r="A132" s="163">
        <v>1324.0</v>
      </c>
      <c r="B132" s="164">
        <v>0.05</v>
      </c>
      <c r="C132" s="165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4.25" customHeight="1">
      <c r="A133" s="163">
        <v>1327.0</v>
      </c>
      <c r="B133" s="164">
        <v>0.05</v>
      </c>
      <c r="C133" s="165" t="s">
        <v>3801</v>
      </c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4.25" customHeight="1">
      <c r="A134" s="163">
        <v>1332.0</v>
      </c>
      <c r="B134" s="164">
        <v>0.05</v>
      </c>
      <c r="C134" s="165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4.25" customHeight="1">
      <c r="A135" s="163">
        <v>1343.0</v>
      </c>
      <c r="B135" s="164">
        <v>0.05</v>
      </c>
      <c r="C135" s="165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4.25" customHeight="1">
      <c r="A136" s="163">
        <v>1346.0</v>
      </c>
      <c r="B136" s="164">
        <v>0.05</v>
      </c>
      <c r="C136" s="165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4.25" customHeight="1">
      <c r="A137" s="163">
        <v>1351.0</v>
      </c>
      <c r="B137" s="164"/>
      <c r="C137" s="165" t="s">
        <v>50</v>
      </c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4.25" customHeight="1">
      <c r="A138" s="163">
        <v>1353.0</v>
      </c>
      <c r="B138" s="164">
        <v>0.05</v>
      </c>
      <c r="C138" s="165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4.25" customHeight="1">
      <c r="A139" s="163">
        <v>1361.0</v>
      </c>
      <c r="B139" s="164">
        <v>0.05</v>
      </c>
      <c r="C139" s="165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4.25" customHeight="1">
      <c r="A140" s="163">
        <v>1363.0</v>
      </c>
      <c r="B140" s="164">
        <v>0.05</v>
      </c>
      <c r="C140" s="165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4.25" customHeight="1">
      <c r="A141" s="163">
        <v>1364.0</v>
      </c>
      <c r="B141" s="164">
        <v>0.05</v>
      </c>
      <c r="C141" s="165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4.25" customHeight="1">
      <c r="A142" s="163">
        <v>1365.0</v>
      </c>
      <c r="B142" s="164">
        <v>0.05</v>
      </c>
      <c r="C142" s="165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4.25" customHeight="1">
      <c r="A143" s="163">
        <v>1368.0</v>
      </c>
      <c r="B143" s="164">
        <v>0.05</v>
      </c>
      <c r="C143" s="165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4.25" customHeight="1">
      <c r="A144" s="163">
        <v>1375.0</v>
      </c>
      <c r="B144" s="164">
        <v>0.05</v>
      </c>
      <c r="C144" s="165" t="s">
        <v>3802</v>
      </c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4.25" customHeight="1">
      <c r="A145" s="163">
        <v>1390.0</v>
      </c>
      <c r="B145" s="164">
        <v>0.05</v>
      </c>
      <c r="C145" s="165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4.25" customHeight="1">
      <c r="A146" s="163">
        <v>1391.0</v>
      </c>
      <c r="B146" s="164">
        <v>0.05</v>
      </c>
      <c r="C146" s="165" t="s">
        <v>3803</v>
      </c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4.25" customHeight="1">
      <c r="A147" s="163">
        <v>1393.0</v>
      </c>
      <c r="B147" s="164">
        <v>0.05</v>
      </c>
      <c r="C147" s="165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4.25" customHeight="1">
      <c r="A148" s="163">
        <v>1396.0</v>
      </c>
      <c r="B148" s="164">
        <v>0.05</v>
      </c>
      <c r="C148" s="165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4.25" customHeight="1">
      <c r="A149" s="163">
        <v>1397.0</v>
      </c>
      <c r="B149" s="164">
        <v>0.05</v>
      </c>
      <c r="C149" s="165">
        <v>1391.0</v>
      </c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4.25" customHeight="1">
      <c r="A150" s="163">
        <v>1398.0</v>
      </c>
      <c r="B150" s="164">
        <v>0.05</v>
      </c>
      <c r="C150" s="165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4.25" customHeight="1">
      <c r="A151" s="163">
        <v>1402.0</v>
      </c>
      <c r="B151" s="164">
        <v>0.05</v>
      </c>
      <c r="C151" s="165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4.25" customHeight="1">
      <c r="A152" s="163">
        <v>1404.0</v>
      </c>
      <c r="B152" s="164">
        <v>0.05</v>
      </c>
      <c r="C152" s="165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4.25" customHeight="1">
      <c r="A153" s="163">
        <v>1411.0</v>
      </c>
      <c r="B153" s="164">
        <v>0.05</v>
      </c>
      <c r="C153" s="165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4.25" customHeight="1">
      <c r="A154" s="163">
        <v>1413.0</v>
      </c>
      <c r="B154" s="164">
        <v>0.05</v>
      </c>
      <c r="C154" s="165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4.25" customHeight="1">
      <c r="A155" s="163">
        <v>1414.0</v>
      </c>
      <c r="B155" s="164">
        <v>0.05</v>
      </c>
      <c r="C155" s="165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4.25" customHeight="1">
      <c r="A156" s="163">
        <v>1417.0</v>
      </c>
      <c r="B156" s="164">
        <v>0.05</v>
      </c>
      <c r="C156" s="165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4.25" customHeight="1">
      <c r="A157" s="163">
        <v>1418.0</v>
      </c>
      <c r="B157" s="164">
        <v>0.05</v>
      </c>
      <c r="C157" s="165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4.25" customHeight="1">
      <c r="A158" s="163">
        <v>1427.0</v>
      </c>
      <c r="B158" s="164">
        <v>0.05</v>
      </c>
      <c r="C158" s="165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4.25" customHeight="1">
      <c r="A159" s="163">
        <v>1440.0</v>
      </c>
      <c r="B159" s="164">
        <v>0.05</v>
      </c>
      <c r="C159" s="165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4.25" customHeight="1">
      <c r="A160" s="163">
        <v>1441.0</v>
      </c>
      <c r="B160" s="164">
        <v>0.05</v>
      </c>
      <c r="C160" s="165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4.25" customHeight="1">
      <c r="A161" s="163">
        <v>1443.0</v>
      </c>
      <c r="B161" s="164">
        <v>0.05</v>
      </c>
      <c r="C161" s="165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4.25" customHeight="1">
      <c r="A162" s="163">
        <v>1447.0</v>
      </c>
      <c r="B162" s="164">
        <v>0.05</v>
      </c>
      <c r="C162" s="165" t="s">
        <v>3804</v>
      </c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4.25" customHeight="1">
      <c r="A163" s="163">
        <v>1454.0</v>
      </c>
      <c r="B163" s="164">
        <v>0.05</v>
      </c>
      <c r="C163" s="165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4.25" customHeight="1">
      <c r="A164" s="163">
        <v>1457.0</v>
      </c>
      <c r="B164" s="164">
        <v>0.05</v>
      </c>
      <c r="C164" s="165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4.25" customHeight="1">
      <c r="A165" s="163">
        <v>1458.0</v>
      </c>
      <c r="B165" s="164">
        <v>0.05</v>
      </c>
      <c r="C165" s="165" t="s">
        <v>3805</v>
      </c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4.25" customHeight="1">
      <c r="A166" s="163">
        <v>1463.0</v>
      </c>
      <c r="B166" s="164">
        <v>0.05</v>
      </c>
      <c r="C166" s="165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4.25" customHeight="1">
      <c r="A167" s="163">
        <v>1464.0</v>
      </c>
      <c r="B167" s="164">
        <v>0.05</v>
      </c>
      <c r="C167" s="165" t="s">
        <v>3806</v>
      </c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4.25" customHeight="1">
      <c r="A168" s="163">
        <v>1471.0</v>
      </c>
      <c r="B168" s="164">
        <v>0.05</v>
      </c>
      <c r="C168" s="165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4.25" customHeight="1">
      <c r="A169" s="163">
        <v>1473.0</v>
      </c>
      <c r="B169" s="164">
        <v>0.05</v>
      </c>
      <c r="C169" s="165" t="s">
        <v>3807</v>
      </c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4.25" customHeight="1">
      <c r="A170" s="163">
        <v>1476.0</v>
      </c>
      <c r="B170" s="164">
        <v>0.05</v>
      </c>
      <c r="C170" s="165" t="s">
        <v>50</v>
      </c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4.25" customHeight="1">
      <c r="A171" s="163">
        <v>1477.0</v>
      </c>
      <c r="B171" s="164">
        <v>0.05</v>
      </c>
      <c r="C171" s="165" t="s">
        <v>3808</v>
      </c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4.25" customHeight="1">
      <c r="A172" s="163">
        <v>1486.0</v>
      </c>
      <c r="B172" s="164">
        <v>0.05</v>
      </c>
      <c r="C172" s="165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4.25" customHeight="1">
      <c r="A173" s="163">
        <v>1487.0</v>
      </c>
      <c r="B173" s="164">
        <v>0.05</v>
      </c>
      <c r="C173" s="165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4.25" customHeight="1">
      <c r="A174" s="163">
        <v>1493.0</v>
      </c>
      <c r="B174" s="164">
        <v>0.05</v>
      </c>
      <c r="C174" s="165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4.25" customHeight="1">
      <c r="A175" s="163">
        <v>1498.0</v>
      </c>
      <c r="B175" s="164">
        <v>0.05</v>
      </c>
      <c r="C175" s="165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4.25" customHeight="1">
      <c r="A176" s="163">
        <v>1500.0</v>
      </c>
      <c r="B176" s="164">
        <v>0.05</v>
      </c>
      <c r="C176" s="165" t="s">
        <v>3809</v>
      </c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4.25" customHeight="1">
      <c r="A177" s="163">
        <v>1501.0</v>
      </c>
      <c r="B177" s="164">
        <v>0.05</v>
      </c>
      <c r="C177" s="165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4.25" customHeight="1">
      <c r="A178" s="163">
        <v>1504.0</v>
      </c>
      <c r="B178" s="164">
        <v>0.05</v>
      </c>
      <c r="C178" s="165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4.25" customHeight="1">
      <c r="A179" s="163">
        <v>1507.0</v>
      </c>
      <c r="B179" s="164">
        <v>0.05</v>
      </c>
      <c r="C179" s="165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4.25" customHeight="1">
      <c r="A180" s="163">
        <v>1508.0</v>
      </c>
      <c r="B180" s="164">
        <v>0.05</v>
      </c>
      <c r="C180" s="165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4.25" customHeight="1">
      <c r="A181" s="163">
        <v>1510.0</v>
      </c>
      <c r="B181" s="164">
        <v>0.05</v>
      </c>
      <c r="C181" s="165" t="s">
        <v>3810</v>
      </c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4.25" customHeight="1">
      <c r="A182" s="163">
        <v>1520.0</v>
      </c>
      <c r="B182" s="164">
        <v>0.05</v>
      </c>
      <c r="C182" s="165" t="s">
        <v>685</v>
      </c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4.25" customHeight="1">
      <c r="A183" s="163">
        <v>1523.0</v>
      </c>
      <c r="B183" s="164">
        <v>0.05</v>
      </c>
      <c r="C183" s="165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4.25" customHeight="1">
      <c r="A184" s="163">
        <v>1531.0</v>
      </c>
      <c r="B184" s="164">
        <v>0.05</v>
      </c>
      <c r="C184" s="165" t="s">
        <v>3811</v>
      </c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4.25" customHeight="1">
      <c r="A185" s="163">
        <v>1533.0</v>
      </c>
      <c r="B185" s="164">
        <v>0.05</v>
      </c>
      <c r="C185" s="165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4.25" customHeight="1">
      <c r="A186" s="163">
        <v>1538.0</v>
      </c>
      <c r="B186" s="164">
        <v>0.05</v>
      </c>
      <c r="C186" s="165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4.25" customHeight="1">
      <c r="A187" s="163">
        <v>1545.0</v>
      </c>
      <c r="B187" s="164">
        <v>0.05</v>
      </c>
      <c r="C187" s="165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4.25" customHeight="1">
      <c r="A188" s="163">
        <v>1547.0</v>
      </c>
      <c r="B188" s="164">
        <v>0.05</v>
      </c>
      <c r="C188" s="165" t="s">
        <v>3812</v>
      </c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4.25" customHeight="1">
      <c r="A189" s="163">
        <v>1548.0</v>
      </c>
      <c r="B189" s="164">
        <v>0.05</v>
      </c>
      <c r="C189" s="165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4.25" customHeight="1">
      <c r="A190" s="163">
        <v>1549.0</v>
      </c>
      <c r="B190" s="164">
        <v>0.05</v>
      </c>
      <c r="C190" s="165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4.25" customHeight="1">
      <c r="A191" s="163">
        <v>1550.0</v>
      </c>
      <c r="B191" s="164">
        <v>0.05</v>
      </c>
      <c r="C191" s="165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4.25" customHeight="1">
      <c r="A192" s="163">
        <v>1555.0</v>
      </c>
      <c r="B192" s="164">
        <v>0.05</v>
      </c>
      <c r="C192" s="165" t="s">
        <v>3813</v>
      </c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4.25" customHeight="1">
      <c r="A193" s="163">
        <v>1556.0</v>
      </c>
      <c r="B193" s="164">
        <v>0.05</v>
      </c>
      <c r="C193" s="165" t="s">
        <v>3813</v>
      </c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4.25" customHeight="1">
      <c r="A194" s="163">
        <v>1558.0</v>
      </c>
      <c r="B194" s="164">
        <v>0.05</v>
      </c>
      <c r="C194" s="165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4.25" customHeight="1">
      <c r="A195" s="163">
        <v>1559.0</v>
      </c>
      <c r="B195" s="164">
        <v>0.05</v>
      </c>
      <c r="C195" s="165" t="s">
        <v>3814</v>
      </c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4.25" customHeight="1">
      <c r="A196" s="163">
        <v>1560.0</v>
      </c>
      <c r="B196" s="164">
        <v>0.05</v>
      </c>
      <c r="C196" s="165" t="s">
        <v>3815</v>
      </c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4.25" customHeight="1">
      <c r="A197" s="163">
        <v>1563.0</v>
      </c>
      <c r="B197" s="164">
        <v>0.05</v>
      </c>
      <c r="C197" s="165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4.25" customHeight="1">
      <c r="A198" s="163">
        <v>1569.0</v>
      </c>
      <c r="B198" s="164">
        <v>0.05</v>
      </c>
      <c r="C198" s="165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4.25" customHeight="1">
      <c r="A199" s="163">
        <v>1575.0</v>
      </c>
      <c r="B199" s="164">
        <v>0.05</v>
      </c>
      <c r="C199" s="165" t="s">
        <v>50</v>
      </c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4.25" customHeight="1">
      <c r="A200" s="163">
        <v>1582.0</v>
      </c>
      <c r="B200" s="164">
        <v>0.05</v>
      </c>
      <c r="C200" s="165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4.25" customHeight="1">
      <c r="A201" s="163">
        <v>1591.0</v>
      </c>
      <c r="B201" s="164">
        <v>0.05</v>
      </c>
      <c r="C201" s="165" t="s">
        <v>3816</v>
      </c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4.25" customHeight="1">
      <c r="A202" s="163">
        <v>1600.0</v>
      </c>
      <c r="B202" s="164">
        <v>0.05</v>
      </c>
      <c r="C202" s="165" t="s">
        <v>50</v>
      </c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4.25" customHeight="1">
      <c r="A203" s="163">
        <v>1602.0</v>
      </c>
      <c r="B203" s="164">
        <v>0.05</v>
      </c>
      <c r="C203" s="165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4.25" customHeight="1">
      <c r="A204" s="163">
        <v>1607.0</v>
      </c>
      <c r="B204" s="164">
        <v>0.05</v>
      </c>
      <c r="C204" s="165" t="s">
        <v>3817</v>
      </c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4.25" customHeight="1">
      <c r="A205" s="163">
        <v>1609.0</v>
      </c>
      <c r="B205" s="164">
        <v>0.05</v>
      </c>
      <c r="C205" s="165" t="s">
        <v>3818</v>
      </c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4.25" customHeight="1">
      <c r="A206" s="163">
        <v>1628.0</v>
      </c>
      <c r="B206" s="164">
        <v>0.05</v>
      </c>
      <c r="C206" s="165" t="s">
        <v>3819</v>
      </c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4.25" customHeight="1">
      <c r="A207" s="163">
        <v>1629.0</v>
      </c>
      <c r="B207" s="164">
        <v>0.05</v>
      </c>
      <c r="C207" s="165" t="s">
        <v>50</v>
      </c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4.25" customHeight="1">
      <c r="A208" s="163">
        <v>1636.0</v>
      </c>
      <c r="B208" s="164">
        <v>0.05</v>
      </c>
      <c r="C208" s="165" t="s">
        <v>3820</v>
      </c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4.25" customHeight="1">
      <c r="A209" s="163">
        <v>1638.0</v>
      </c>
      <c r="B209" s="164">
        <v>0.05</v>
      </c>
      <c r="C209" s="165">
        <v>1602.0</v>
      </c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4.25" customHeight="1">
      <c r="A210" s="163">
        <v>1647.0</v>
      </c>
      <c r="B210" s="164">
        <v>0.05</v>
      </c>
      <c r="C210" s="165" t="s">
        <v>3821</v>
      </c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4.25" customHeight="1">
      <c r="A211" s="163">
        <v>1653.0</v>
      </c>
      <c r="B211" s="164">
        <v>0.05</v>
      </c>
      <c r="C211" s="165" t="s">
        <v>3822</v>
      </c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4.25" customHeight="1">
      <c r="A212" s="163">
        <v>1654.0</v>
      </c>
      <c r="B212" s="164">
        <v>0.05</v>
      </c>
      <c r="C212" s="165" t="s">
        <v>3822</v>
      </c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4.25" customHeight="1">
      <c r="A213" s="163">
        <v>1658.0</v>
      </c>
      <c r="B213" s="164">
        <v>0.05</v>
      </c>
      <c r="C213" s="165" t="s">
        <v>50</v>
      </c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4.25" customHeight="1">
      <c r="A214" s="163">
        <v>1661.0</v>
      </c>
      <c r="B214" s="164">
        <v>0.05</v>
      </c>
      <c r="C214" s="165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4.25" customHeight="1">
      <c r="A215" s="163">
        <v>1662.0</v>
      </c>
      <c r="B215" s="164">
        <v>0.05</v>
      </c>
      <c r="C215" s="165" t="s">
        <v>3823</v>
      </c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4.25" customHeight="1">
      <c r="A216" s="163">
        <v>1664.0</v>
      </c>
      <c r="B216" s="164">
        <v>0.05</v>
      </c>
      <c r="C216" s="165" t="s">
        <v>3824</v>
      </c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4.25" customHeight="1">
      <c r="A217" s="163">
        <v>1666.0</v>
      </c>
      <c r="B217" s="164">
        <v>0.05</v>
      </c>
      <c r="C217" s="165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4.25" customHeight="1">
      <c r="A218" s="163">
        <v>1668.0</v>
      </c>
      <c r="B218" s="164">
        <v>0.05</v>
      </c>
      <c r="C218" s="165" t="s">
        <v>3825</v>
      </c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4.25" customHeight="1">
      <c r="A219" s="163">
        <v>1669.0</v>
      </c>
      <c r="B219" s="164">
        <v>0.05</v>
      </c>
      <c r="C219" s="165" t="s">
        <v>3826</v>
      </c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4.25" customHeight="1">
      <c r="A220" s="163">
        <v>1672.0</v>
      </c>
      <c r="B220" s="164">
        <v>0.05</v>
      </c>
      <c r="C220" s="165" t="s">
        <v>93</v>
      </c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4.25" customHeight="1">
      <c r="A221" s="163">
        <v>1674.0</v>
      </c>
      <c r="B221" s="164">
        <v>0.05</v>
      </c>
      <c r="C221" s="165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4.25" customHeight="1">
      <c r="A222" s="163">
        <v>1676.0</v>
      </c>
      <c r="B222" s="164">
        <v>0.05</v>
      </c>
      <c r="C222" s="165" t="s">
        <v>3827</v>
      </c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4.25" customHeight="1">
      <c r="A223" s="163">
        <v>1678.0</v>
      </c>
      <c r="B223" s="164"/>
      <c r="C223" s="165" t="s">
        <v>2977</v>
      </c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4.25" customHeight="1">
      <c r="A224" s="163">
        <v>1684.0</v>
      </c>
      <c r="B224" s="164">
        <v>0.05</v>
      </c>
      <c r="C224" s="165" t="s">
        <v>3828</v>
      </c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4.25" customHeight="1">
      <c r="A225" s="163">
        <v>1687.0</v>
      </c>
      <c r="B225" s="164">
        <v>0.05</v>
      </c>
      <c r="C225" s="165" t="s">
        <v>3829</v>
      </c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4.25" customHeight="1">
      <c r="A226" s="163">
        <v>1690.0</v>
      </c>
      <c r="B226" s="164">
        <v>0.05</v>
      </c>
      <c r="C226" s="165" t="s">
        <v>3830</v>
      </c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4.25" customHeight="1">
      <c r="A227" s="163">
        <v>1691.0</v>
      </c>
      <c r="B227" s="164">
        <v>0.05</v>
      </c>
      <c r="C227" s="165" t="s">
        <v>3815</v>
      </c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4.25" customHeight="1">
      <c r="A228" s="163">
        <v>1694.0</v>
      </c>
      <c r="B228" s="164">
        <v>0.05</v>
      </c>
      <c r="C228" s="165" t="s">
        <v>3823</v>
      </c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4.25" customHeight="1">
      <c r="A229" s="163">
        <v>1700.0</v>
      </c>
      <c r="B229" s="164">
        <v>0.05</v>
      </c>
      <c r="C229" s="165" t="s">
        <v>3831</v>
      </c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4.25" customHeight="1">
      <c r="A230" s="163">
        <v>1702.0</v>
      </c>
      <c r="B230" s="164">
        <v>0.05</v>
      </c>
      <c r="C230" s="165" t="s">
        <v>3832</v>
      </c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4.25" customHeight="1">
      <c r="A231" s="163">
        <v>1706.0</v>
      </c>
      <c r="B231" s="164">
        <v>0.05</v>
      </c>
      <c r="C231" s="165" t="s">
        <v>50</v>
      </c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4.25" customHeight="1">
      <c r="A232" s="163">
        <v>1712.0</v>
      </c>
      <c r="B232" s="164">
        <v>0.05</v>
      </c>
      <c r="C232" s="165" t="s">
        <v>3833</v>
      </c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4.25" customHeight="1">
      <c r="A233" s="163">
        <v>1713.0</v>
      </c>
      <c r="B233" s="164">
        <v>0.05</v>
      </c>
      <c r="C233" s="165" t="s">
        <v>3834</v>
      </c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4.25" customHeight="1">
      <c r="A234" s="163">
        <v>1727.0</v>
      </c>
      <c r="B234" s="164">
        <v>0.05</v>
      </c>
      <c r="C234" s="165" t="s">
        <v>3835</v>
      </c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4.25" customHeight="1">
      <c r="A235" s="163">
        <v>1730.0</v>
      </c>
      <c r="B235" s="164">
        <v>0.05</v>
      </c>
      <c r="C235" s="165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4.25" customHeight="1">
      <c r="A236" s="163">
        <v>1733.0</v>
      </c>
      <c r="B236" s="164">
        <v>0.05</v>
      </c>
      <c r="C236" s="165" t="s">
        <v>3836</v>
      </c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4.25" customHeight="1">
      <c r="A237" s="163">
        <v>1736.0</v>
      </c>
      <c r="B237" s="164">
        <v>0.05</v>
      </c>
      <c r="C237" s="165" t="s">
        <v>3837</v>
      </c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4.25" customHeight="1">
      <c r="A238" s="163">
        <v>1737.0</v>
      </c>
      <c r="B238" s="164">
        <v>0.05</v>
      </c>
      <c r="C238" s="165" t="s">
        <v>3838</v>
      </c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4.25" customHeight="1">
      <c r="A239" s="163">
        <v>1739.0</v>
      </c>
      <c r="B239" s="164">
        <v>0.05</v>
      </c>
      <c r="C239" s="165" t="s">
        <v>3798</v>
      </c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4.25" customHeight="1">
      <c r="A240" s="163">
        <v>1743.0</v>
      </c>
      <c r="B240" s="164">
        <v>0.05</v>
      </c>
      <c r="C240" s="165" t="s">
        <v>3839</v>
      </c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4.25" customHeight="1">
      <c r="A241" s="163">
        <v>1750.0</v>
      </c>
      <c r="B241" s="164">
        <v>0.05</v>
      </c>
      <c r="C241" s="165" t="s">
        <v>3840</v>
      </c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4.25" customHeight="1">
      <c r="A242" s="163">
        <v>1752.0</v>
      </c>
      <c r="B242" s="164">
        <v>0.05</v>
      </c>
      <c r="C242" s="165" t="s">
        <v>3841</v>
      </c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4.25" customHeight="1">
      <c r="A243" s="163">
        <v>1754.0</v>
      </c>
      <c r="B243" s="164">
        <v>0.05</v>
      </c>
      <c r="C243" s="165" t="s">
        <v>3842</v>
      </c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4.25" customHeight="1">
      <c r="A244" s="163">
        <v>1755.0</v>
      </c>
      <c r="B244" s="164">
        <v>0.05</v>
      </c>
      <c r="C244" s="165" t="s">
        <v>3843</v>
      </c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4.25" customHeight="1">
      <c r="A245" s="163">
        <v>1756.0</v>
      </c>
      <c r="B245" s="164">
        <v>0.05</v>
      </c>
      <c r="C245" s="165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4.25" customHeight="1">
      <c r="A246" s="163">
        <v>1760.0</v>
      </c>
      <c r="B246" s="164">
        <v>0.05</v>
      </c>
      <c r="C246" s="165" t="s">
        <v>3844</v>
      </c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4.25" customHeight="1">
      <c r="A247" s="163">
        <v>1761.0</v>
      </c>
      <c r="B247" s="164">
        <v>0.05</v>
      </c>
      <c r="C247" s="165" t="s">
        <v>449</v>
      </c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4.25" customHeight="1">
      <c r="A248" s="163">
        <v>1763.0</v>
      </c>
      <c r="B248" s="164">
        <v>0.05</v>
      </c>
      <c r="C248" s="165" t="s">
        <v>3845</v>
      </c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4.25" customHeight="1">
      <c r="A249" s="163">
        <v>1764.0</v>
      </c>
      <c r="B249" s="164">
        <v>0.05</v>
      </c>
      <c r="C249" s="165" t="s">
        <v>3846</v>
      </c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4.25" customHeight="1">
      <c r="A250" s="163">
        <v>1768.0</v>
      </c>
      <c r="B250" s="164">
        <v>0.05</v>
      </c>
      <c r="C250" s="165" t="s">
        <v>3847</v>
      </c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4.25" customHeight="1">
      <c r="A251" s="163">
        <v>1774.0</v>
      </c>
      <c r="B251" s="164">
        <v>0.05</v>
      </c>
      <c r="C251" s="165" t="s">
        <v>3796</v>
      </c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4.25" customHeight="1">
      <c r="A252" s="163">
        <v>1776.0</v>
      </c>
      <c r="B252" s="164">
        <v>0.05</v>
      </c>
      <c r="C252" s="165" t="s">
        <v>3848</v>
      </c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4.25" customHeight="1">
      <c r="A253" s="163">
        <v>1777.0</v>
      </c>
      <c r="B253" s="164">
        <v>0.05</v>
      </c>
      <c r="C253" s="165" t="s">
        <v>3844</v>
      </c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4.25" customHeight="1">
      <c r="A254" s="163">
        <v>1786.0</v>
      </c>
      <c r="B254" s="164">
        <v>0.05</v>
      </c>
      <c r="C254" s="165" t="s">
        <v>3802</v>
      </c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4.25" customHeight="1">
      <c r="A255" s="166">
        <v>1787.0</v>
      </c>
      <c r="B255" s="164">
        <v>0.05</v>
      </c>
      <c r="C255" s="165" t="s">
        <v>3849</v>
      </c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4.25" customHeight="1">
      <c r="A256" s="166">
        <v>1793.0</v>
      </c>
      <c r="B256" s="164">
        <v>0.05</v>
      </c>
      <c r="C256" s="167" t="s">
        <v>3850</v>
      </c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4.25" customHeight="1">
      <c r="A257" s="166">
        <v>1796.0</v>
      </c>
      <c r="B257" s="164">
        <v>0.05</v>
      </c>
      <c r="C257" s="165" t="s">
        <v>3802</v>
      </c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4.25" customHeight="1">
      <c r="A258" s="166">
        <v>1806.0</v>
      </c>
      <c r="B258" s="164">
        <v>0.05</v>
      </c>
      <c r="C258" s="167" t="s">
        <v>3851</v>
      </c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4.25" customHeight="1">
      <c r="A259" s="166">
        <v>1807.0</v>
      </c>
      <c r="B259" s="164">
        <v>0.05</v>
      </c>
      <c r="C259" s="167" t="s">
        <v>3842</v>
      </c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4.25" customHeight="1">
      <c r="A260" s="166">
        <v>1814.0</v>
      </c>
      <c r="B260" s="164">
        <v>0.05</v>
      </c>
      <c r="C260" s="167" t="s">
        <v>3852</v>
      </c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4.25" customHeight="1">
      <c r="A261" s="166">
        <v>1815.0</v>
      </c>
      <c r="B261" s="164">
        <v>0.05</v>
      </c>
      <c r="C261" s="167" t="s">
        <v>3853</v>
      </c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4.25" customHeight="1">
      <c r="A262" s="166">
        <v>1822.0</v>
      </c>
      <c r="B262" s="164">
        <v>0.05</v>
      </c>
      <c r="C262" s="167" t="s">
        <v>3854</v>
      </c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4.25" customHeight="1">
      <c r="A263" s="166">
        <v>1823.0</v>
      </c>
      <c r="B263" s="164">
        <v>0.05</v>
      </c>
      <c r="C263" s="167" t="s">
        <v>3855</v>
      </c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4.25" customHeight="1">
      <c r="A264" s="166">
        <v>1824.0</v>
      </c>
      <c r="B264" s="168">
        <v>0.05</v>
      </c>
      <c r="C264" s="167" t="s">
        <v>3856</v>
      </c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4.25" customHeight="1">
      <c r="A265" s="166">
        <v>1827.0</v>
      </c>
      <c r="B265" s="168">
        <v>0.05</v>
      </c>
      <c r="C265" s="167" t="s">
        <v>3857</v>
      </c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4.25" customHeight="1">
      <c r="A266" s="166">
        <v>1828.0</v>
      </c>
      <c r="B266" s="168">
        <v>0.05</v>
      </c>
      <c r="C266" s="167" t="s">
        <v>3842</v>
      </c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4.25" customHeight="1">
      <c r="A267" s="166">
        <v>1829.0</v>
      </c>
      <c r="B267" s="168">
        <v>0.05</v>
      </c>
      <c r="C267" s="167" t="s">
        <v>3858</v>
      </c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4.25" customHeight="1">
      <c r="A268" s="166">
        <v>1833.0</v>
      </c>
      <c r="B268" s="168">
        <v>0.05</v>
      </c>
      <c r="C268" s="167" t="s">
        <v>3859</v>
      </c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4.25" customHeight="1">
      <c r="A269" s="166">
        <v>1834.0</v>
      </c>
      <c r="B269" s="168">
        <v>0.05</v>
      </c>
      <c r="C269" s="167" t="s">
        <v>3860</v>
      </c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4.25" customHeight="1">
      <c r="A270" s="166">
        <v>1836.0</v>
      </c>
      <c r="B270" s="168">
        <v>0.05</v>
      </c>
      <c r="C270" s="167" t="s">
        <v>3861</v>
      </c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4.25" customHeight="1">
      <c r="A271" s="166">
        <v>1840.0</v>
      </c>
      <c r="B271" s="168">
        <v>0.05</v>
      </c>
      <c r="C271" s="167" t="s">
        <v>3842</v>
      </c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4.25" customHeight="1">
      <c r="A272" s="166">
        <v>1841.0</v>
      </c>
      <c r="B272" s="168">
        <v>0.05</v>
      </c>
      <c r="C272" s="167" t="s">
        <v>3862</v>
      </c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4.25" customHeight="1">
      <c r="A273" s="166">
        <v>1844.0</v>
      </c>
      <c r="B273" s="168">
        <v>0.05</v>
      </c>
      <c r="C273" s="167" t="s">
        <v>3863</v>
      </c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4.25" customHeight="1">
      <c r="A274" s="166">
        <v>1849.0</v>
      </c>
      <c r="B274" s="168">
        <v>0.05</v>
      </c>
      <c r="C274" s="167" t="s">
        <v>3864</v>
      </c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4.25" customHeight="1">
      <c r="A275" s="166">
        <v>1850.0</v>
      </c>
      <c r="B275" s="168">
        <v>0.05</v>
      </c>
      <c r="C275" s="167" t="s">
        <v>3864</v>
      </c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4.25" customHeight="1">
      <c r="A276" s="166">
        <v>1852.0</v>
      </c>
      <c r="B276" s="168">
        <v>0.05</v>
      </c>
      <c r="C276" s="167" t="s">
        <v>3864</v>
      </c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4.25" customHeight="1">
      <c r="A277" s="166">
        <v>1855.0</v>
      </c>
      <c r="B277" s="168">
        <v>0.05</v>
      </c>
      <c r="C277" s="167" t="s">
        <v>3864</v>
      </c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4.25" customHeight="1">
      <c r="A278" s="166">
        <v>1857.0</v>
      </c>
      <c r="B278" s="168">
        <v>0.05</v>
      </c>
      <c r="C278" s="167" t="s">
        <v>3839</v>
      </c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4.25" customHeight="1">
      <c r="A279" s="166">
        <v>1858.0</v>
      </c>
      <c r="B279" s="168">
        <v>0.05</v>
      </c>
      <c r="C279" s="167" t="s">
        <v>3863</v>
      </c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4.25" customHeight="1">
      <c r="A280" s="166">
        <v>1860.0</v>
      </c>
      <c r="B280" s="168">
        <v>0.05</v>
      </c>
      <c r="C280" s="167" t="s">
        <v>3863</v>
      </c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4.25" customHeight="1">
      <c r="A281" s="166">
        <v>1861.0</v>
      </c>
      <c r="B281" s="168">
        <v>0.05</v>
      </c>
      <c r="C281" s="167" t="s">
        <v>3865</v>
      </c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4.25" customHeight="1">
      <c r="A282" s="166">
        <v>1862.0</v>
      </c>
      <c r="B282" s="168">
        <v>0.05</v>
      </c>
      <c r="C282" s="167" t="s">
        <v>3863</v>
      </c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4.25" customHeight="1">
      <c r="A283" s="166">
        <v>1866.0</v>
      </c>
      <c r="B283" s="168">
        <v>0.05</v>
      </c>
      <c r="C283" s="167" t="s">
        <v>3827</v>
      </c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4.25" customHeight="1">
      <c r="A284" s="166">
        <v>1867.0</v>
      </c>
      <c r="B284" s="168">
        <v>0.05</v>
      </c>
      <c r="C284" s="167" t="s">
        <v>3866</v>
      </c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4.25" customHeight="1">
      <c r="A285" s="166">
        <v>1871.0</v>
      </c>
      <c r="B285" s="168">
        <v>0.05</v>
      </c>
      <c r="C285" s="167" t="s">
        <v>3867</v>
      </c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4.25" customHeight="1">
      <c r="A286" s="166">
        <v>1873.0</v>
      </c>
      <c r="B286" s="168">
        <v>0.0</v>
      </c>
      <c r="C286" s="167" t="s">
        <v>3868</v>
      </c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4.25" customHeight="1">
      <c r="A287" s="166">
        <v>1876.0</v>
      </c>
      <c r="B287" s="168">
        <v>0.05</v>
      </c>
      <c r="C287" s="167" t="s">
        <v>3308</v>
      </c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4.25" customHeight="1">
      <c r="A288" s="166">
        <v>1879.0</v>
      </c>
      <c r="B288" s="168">
        <v>0.05</v>
      </c>
      <c r="C288" s="167" t="s">
        <v>3869</v>
      </c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4.25" customHeight="1">
      <c r="A289" s="166">
        <v>1881.0</v>
      </c>
      <c r="B289" s="168">
        <v>0.05</v>
      </c>
      <c r="C289" s="167" t="s">
        <v>3866</v>
      </c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4.25" customHeight="1">
      <c r="A290" s="166">
        <v>1882.0</v>
      </c>
      <c r="B290" s="168">
        <v>0.05</v>
      </c>
      <c r="C290" s="167" t="s">
        <v>3870</v>
      </c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4.25" customHeight="1">
      <c r="A291" s="166">
        <v>1884.0</v>
      </c>
      <c r="B291" s="168">
        <v>0.05</v>
      </c>
      <c r="C291" s="167" t="s">
        <v>3870</v>
      </c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4.25" customHeight="1">
      <c r="A292" s="166">
        <v>1885.0</v>
      </c>
      <c r="B292" s="168">
        <v>0.05</v>
      </c>
      <c r="C292" s="167" t="s">
        <v>3870</v>
      </c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4.25" customHeight="1">
      <c r="A293" s="166">
        <v>1886.0</v>
      </c>
      <c r="B293" s="168">
        <v>0.05</v>
      </c>
      <c r="C293" s="167" t="s">
        <v>3871</v>
      </c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4.25" customHeight="1">
      <c r="A294" s="166">
        <v>1887.0</v>
      </c>
      <c r="B294" s="168">
        <v>0.05</v>
      </c>
      <c r="C294" s="167" t="s">
        <v>3866</v>
      </c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4.25" customHeight="1">
      <c r="A295" s="166">
        <v>1892.0</v>
      </c>
      <c r="B295" s="168">
        <v>0.05</v>
      </c>
      <c r="C295" s="169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4.25" customHeight="1">
      <c r="A296" s="166">
        <v>1896.0</v>
      </c>
      <c r="B296" s="168">
        <v>0.05</v>
      </c>
      <c r="C296" s="167" t="s">
        <v>3847</v>
      </c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4.25" customHeight="1">
      <c r="A297" s="166">
        <v>1898.0</v>
      </c>
      <c r="B297" s="168">
        <v>0.05</v>
      </c>
      <c r="C297" s="167" t="s">
        <v>3872</v>
      </c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4.25" customHeight="1">
      <c r="A298" s="166">
        <v>1900.0</v>
      </c>
      <c r="B298" s="168">
        <v>0.05</v>
      </c>
      <c r="C298" s="167" t="s">
        <v>3873</v>
      </c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4.25" customHeight="1">
      <c r="A299" s="166">
        <v>1901.0</v>
      </c>
      <c r="B299" s="168">
        <v>0.05</v>
      </c>
      <c r="C299" s="167" t="s">
        <v>3873</v>
      </c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4.25" customHeight="1">
      <c r="A300" s="166">
        <v>1902.0</v>
      </c>
      <c r="B300" s="168">
        <v>0.05</v>
      </c>
      <c r="C300" s="167" t="s">
        <v>3866</v>
      </c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4.25" customHeight="1">
      <c r="A301" s="163">
        <v>1903.0</v>
      </c>
      <c r="B301" s="164">
        <v>0.05</v>
      </c>
      <c r="C301" s="165" t="s">
        <v>3874</v>
      </c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4.25" customHeight="1">
      <c r="A302" s="166">
        <v>1905.0</v>
      </c>
      <c r="B302" s="168">
        <v>0.05</v>
      </c>
      <c r="C302" s="167" t="s">
        <v>3866</v>
      </c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4.25" customHeight="1">
      <c r="A303" s="166">
        <v>1907.0</v>
      </c>
      <c r="B303" s="168">
        <v>0.05</v>
      </c>
      <c r="C303" s="167" t="s">
        <v>3875</v>
      </c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4.25" customHeight="1">
      <c r="A304" s="166">
        <v>1913.0</v>
      </c>
      <c r="B304" s="168">
        <v>0.05</v>
      </c>
      <c r="C304" s="167" t="s">
        <v>3876</v>
      </c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4.25" customHeight="1">
      <c r="A305" s="166">
        <v>1914.0</v>
      </c>
      <c r="B305" s="168">
        <v>0.05</v>
      </c>
      <c r="C305" s="167" t="s">
        <v>3847</v>
      </c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4.25" customHeight="1">
      <c r="A306" s="166">
        <v>1916.0</v>
      </c>
      <c r="B306" s="168">
        <v>0.05</v>
      </c>
      <c r="C306" s="167" t="s">
        <v>3373</v>
      </c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4.25" customHeight="1">
      <c r="A307" s="166">
        <v>1918.0</v>
      </c>
      <c r="B307" s="168">
        <v>0.05</v>
      </c>
      <c r="C307" s="167" t="s">
        <v>3877</v>
      </c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4.25" customHeight="1">
      <c r="A308" s="166">
        <v>1919.0</v>
      </c>
      <c r="B308" s="168">
        <v>0.05</v>
      </c>
      <c r="C308" s="167" t="s">
        <v>165</v>
      </c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4.25" customHeight="1">
      <c r="A309" s="134"/>
      <c r="B309" s="134"/>
      <c r="C309" s="170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4.25" customHeight="1">
      <c r="A310" s="134"/>
      <c r="B310" s="134"/>
      <c r="C310" s="170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4.25" customHeight="1">
      <c r="A311" s="134"/>
      <c r="B311" s="134"/>
      <c r="C311" s="170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4.25" customHeight="1">
      <c r="A312" s="134"/>
      <c r="B312" s="134"/>
      <c r="C312" s="170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4.25" customHeight="1">
      <c r="A313" s="134"/>
      <c r="B313" s="134"/>
      <c r="C313" s="170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4.25" customHeight="1">
      <c r="A314" s="134"/>
      <c r="B314" s="134"/>
      <c r="C314" s="170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4.25" customHeight="1">
      <c r="A315" s="134"/>
      <c r="B315" s="134"/>
      <c r="C315" s="170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4.25" customHeight="1">
      <c r="A316" s="134"/>
      <c r="B316" s="134"/>
      <c r="C316" s="170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4.25" customHeight="1">
      <c r="A317" s="134"/>
      <c r="B317" s="134"/>
      <c r="C317" s="170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4.25" customHeight="1">
      <c r="A318" s="134"/>
      <c r="B318" s="134"/>
      <c r="C318" s="170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4.25" customHeight="1">
      <c r="A319" s="134"/>
      <c r="B319" s="134"/>
      <c r="C319" s="170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4.25" customHeight="1">
      <c r="A320" s="134"/>
      <c r="B320" s="134"/>
      <c r="C320" s="170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4.25" customHeight="1">
      <c r="A321" s="134"/>
      <c r="B321" s="134"/>
      <c r="C321" s="170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4.25" customHeight="1">
      <c r="A322" s="134"/>
      <c r="B322" s="134"/>
      <c r="C322" s="170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4.25" customHeight="1">
      <c r="A323" s="134"/>
      <c r="B323" s="134"/>
      <c r="C323" s="170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4.25" customHeight="1">
      <c r="A324" s="134"/>
      <c r="B324" s="134"/>
      <c r="C324" s="170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4.25" customHeight="1">
      <c r="A325" s="134"/>
      <c r="B325" s="134"/>
      <c r="C325" s="170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4.25" customHeight="1">
      <c r="A326" s="134"/>
      <c r="B326" s="134"/>
      <c r="C326" s="170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4.25" customHeight="1">
      <c r="A327" s="134"/>
      <c r="B327" s="134"/>
      <c r="C327" s="170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4.25" customHeight="1">
      <c r="A328" s="134"/>
      <c r="B328" s="134"/>
      <c r="C328" s="170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4.25" customHeight="1">
      <c r="A329" s="134"/>
      <c r="B329" s="134"/>
      <c r="C329" s="170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4.25" customHeight="1">
      <c r="A330" s="134"/>
      <c r="B330" s="134"/>
      <c r="C330" s="170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4.25" customHeight="1">
      <c r="A331" s="134"/>
      <c r="B331" s="134"/>
      <c r="C331" s="170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4.25" customHeight="1">
      <c r="A332" s="134"/>
      <c r="B332" s="134"/>
      <c r="C332" s="170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4.25" customHeight="1">
      <c r="A333" s="134"/>
      <c r="B333" s="134"/>
      <c r="C333" s="170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4.25" customHeight="1">
      <c r="A334" s="134"/>
      <c r="B334" s="134"/>
      <c r="C334" s="170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4.25" customHeight="1">
      <c r="A335" s="134"/>
      <c r="B335" s="134"/>
      <c r="C335" s="170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4.25" customHeight="1">
      <c r="A336" s="134"/>
      <c r="B336" s="134"/>
      <c r="C336" s="170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4.25" customHeight="1">
      <c r="A337" s="134"/>
      <c r="B337" s="134"/>
      <c r="C337" s="170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4.25" customHeight="1">
      <c r="A338" s="134"/>
      <c r="B338" s="134"/>
      <c r="C338" s="170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4.25" customHeight="1">
      <c r="A339" s="134"/>
      <c r="B339" s="134"/>
      <c r="C339" s="170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4.25" customHeight="1">
      <c r="A340" s="134"/>
      <c r="B340" s="134"/>
      <c r="C340" s="170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4.25" customHeight="1">
      <c r="A341" s="134"/>
      <c r="B341" s="134"/>
      <c r="C341" s="170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4.25" customHeight="1">
      <c r="A342" s="134"/>
      <c r="B342" s="134"/>
      <c r="C342" s="170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4.25" customHeight="1">
      <c r="A343" s="134"/>
      <c r="B343" s="134"/>
      <c r="C343" s="170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4.25" customHeight="1">
      <c r="A344" s="134"/>
      <c r="B344" s="134"/>
      <c r="C344" s="170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4.25" customHeight="1">
      <c r="A345" s="134"/>
      <c r="B345" s="134"/>
      <c r="C345" s="170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4.25" customHeight="1">
      <c r="A346" s="134"/>
      <c r="B346" s="134"/>
      <c r="C346" s="170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4.25" customHeight="1">
      <c r="A347" s="134"/>
      <c r="B347" s="134"/>
      <c r="C347" s="170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4.25" customHeight="1">
      <c r="A348" s="134"/>
      <c r="B348" s="134"/>
      <c r="C348" s="170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4.25" customHeight="1">
      <c r="A349" s="134"/>
      <c r="B349" s="134"/>
      <c r="C349" s="170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4.25" customHeight="1">
      <c r="A350" s="134"/>
      <c r="B350" s="134"/>
      <c r="C350" s="170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4.25" customHeight="1">
      <c r="A351" s="134"/>
      <c r="B351" s="134"/>
      <c r="C351" s="170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4.25" customHeight="1">
      <c r="A352" s="134"/>
      <c r="B352" s="134"/>
      <c r="C352" s="170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4.25" customHeight="1">
      <c r="A353" s="134"/>
      <c r="B353" s="134"/>
      <c r="C353" s="170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4.25" customHeight="1">
      <c r="A354" s="134"/>
      <c r="B354" s="134"/>
      <c r="C354" s="170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4.25" customHeight="1">
      <c r="A355" s="134"/>
      <c r="B355" s="134"/>
      <c r="C355" s="170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4.25" customHeight="1">
      <c r="A356" s="134"/>
      <c r="B356" s="134"/>
      <c r="C356" s="170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4.25" customHeight="1">
      <c r="A357" s="134"/>
      <c r="B357" s="134"/>
      <c r="C357" s="170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4.25" customHeight="1">
      <c r="A358" s="134"/>
      <c r="B358" s="134"/>
      <c r="C358" s="170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4.25" customHeight="1">
      <c r="A359" s="134"/>
      <c r="B359" s="134"/>
      <c r="C359" s="170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4.25" customHeight="1">
      <c r="A360" s="134"/>
      <c r="B360" s="134"/>
      <c r="C360" s="170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4.25" customHeight="1">
      <c r="A361" s="134"/>
      <c r="B361" s="134"/>
      <c r="C361" s="170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4.25" customHeight="1">
      <c r="A362" s="134"/>
      <c r="B362" s="134"/>
      <c r="C362" s="170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4.25" customHeight="1">
      <c r="A363" s="134"/>
      <c r="B363" s="134"/>
      <c r="C363" s="170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4.25" customHeight="1">
      <c r="A364" s="134"/>
      <c r="B364" s="134"/>
      <c r="C364" s="170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4.25" customHeight="1">
      <c r="A365" s="134"/>
      <c r="B365" s="134"/>
      <c r="C365" s="170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4.25" customHeight="1">
      <c r="A366" s="134"/>
      <c r="B366" s="134"/>
      <c r="C366" s="170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4.25" customHeight="1">
      <c r="A367" s="134"/>
      <c r="B367" s="134"/>
      <c r="C367" s="170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4.25" customHeight="1">
      <c r="A368" s="134"/>
      <c r="B368" s="134"/>
      <c r="C368" s="170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4.25" customHeight="1">
      <c r="A369" s="134"/>
      <c r="B369" s="134"/>
      <c r="C369" s="170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4.25" customHeight="1">
      <c r="A370" s="134"/>
      <c r="B370" s="134"/>
      <c r="C370" s="170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4.25" customHeight="1">
      <c r="A371" s="134"/>
      <c r="B371" s="134"/>
      <c r="C371" s="170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4.25" customHeight="1">
      <c r="A372" s="134"/>
      <c r="B372" s="134"/>
      <c r="C372" s="170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4.25" customHeight="1">
      <c r="A373" s="134"/>
      <c r="B373" s="134"/>
      <c r="C373" s="170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4.25" customHeight="1">
      <c r="A374" s="134"/>
      <c r="B374" s="134"/>
      <c r="C374" s="170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4.25" customHeight="1">
      <c r="A375" s="134"/>
      <c r="B375" s="134"/>
      <c r="C375" s="170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4.25" customHeight="1">
      <c r="A376" s="134"/>
      <c r="B376" s="134"/>
      <c r="C376" s="170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4.25" customHeight="1">
      <c r="A377" s="134"/>
      <c r="B377" s="134"/>
      <c r="C377" s="170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4.25" customHeight="1">
      <c r="A378" s="134"/>
      <c r="B378" s="134"/>
      <c r="C378" s="170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4.25" customHeight="1">
      <c r="A379" s="134"/>
      <c r="B379" s="134"/>
      <c r="C379" s="170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4.25" customHeight="1">
      <c r="A380" s="134"/>
      <c r="B380" s="134"/>
      <c r="C380" s="170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4.25" customHeight="1">
      <c r="A381" s="134"/>
      <c r="B381" s="134"/>
      <c r="C381" s="170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4.25" customHeight="1">
      <c r="A382" s="134"/>
      <c r="B382" s="134"/>
      <c r="C382" s="170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4.25" customHeight="1">
      <c r="A383" s="134"/>
      <c r="B383" s="134"/>
      <c r="C383" s="170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4.25" customHeight="1">
      <c r="A384" s="134"/>
      <c r="B384" s="134"/>
      <c r="C384" s="170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4.25" customHeight="1">
      <c r="A385" s="134"/>
      <c r="B385" s="134"/>
      <c r="C385" s="170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4.25" customHeight="1">
      <c r="A386" s="134"/>
      <c r="B386" s="134"/>
      <c r="C386" s="170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4.25" customHeight="1">
      <c r="A387" s="134"/>
      <c r="B387" s="134"/>
      <c r="C387" s="170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4.25" customHeight="1">
      <c r="A388" s="134"/>
      <c r="B388" s="134"/>
      <c r="C388" s="170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4.25" customHeight="1">
      <c r="A389" s="134"/>
      <c r="B389" s="134"/>
      <c r="C389" s="170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4.25" customHeight="1">
      <c r="A390" s="134"/>
      <c r="B390" s="134"/>
      <c r="C390" s="170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4.25" customHeight="1">
      <c r="A391" s="134"/>
      <c r="B391" s="134"/>
      <c r="C391" s="170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4.25" customHeight="1">
      <c r="A392" s="134"/>
      <c r="B392" s="134"/>
      <c r="C392" s="170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4.25" customHeight="1">
      <c r="A393" s="134"/>
      <c r="B393" s="134"/>
      <c r="C393" s="170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4.25" customHeight="1">
      <c r="A394" s="134"/>
      <c r="B394" s="134"/>
      <c r="C394" s="170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4.25" customHeight="1">
      <c r="A395" s="134"/>
      <c r="B395" s="134"/>
      <c r="C395" s="170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4.25" customHeight="1">
      <c r="A396" s="134"/>
      <c r="B396" s="134"/>
      <c r="C396" s="170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4.25" customHeight="1">
      <c r="A397" s="134"/>
      <c r="B397" s="134"/>
      <c r="C397" s="170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4.25" customHeight="1">
      <c r="A398" s="134"/>
      <c r="B398" s="134"/>
      <c r="C398" s="170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4.25" customHeight="1">
      <c r="A399" s="134"/>
      <c r="B399" s="134"/>
      <c r="C399" s="170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4.25" customHeight="1">
      <c r="A400" s="134"/>
      <c r="B400" s="134"/>
      <c r="C400" s="170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4.25" customHeight="1">
      <c r="A401" s="134"/>
      <c r="B401" s="134"/>
      <c r="C401" s="170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4.25" customHeight="1">
      <c r="A402" s="134"/>
      <c r="B402" s="134"/>
      <c r="C402" s="170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4.25" customHeight="1">
      <c r="A403" s="134"/>
      <c r="B403" s="134"/>
      <c r="C403" s="170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4.25" customHeight="1">
      <c r="A404" s="134"/>
      <c r="B404" s="134"/>
      <c r="C404" s="170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4.25" customHeight="1">
      <c r="A405" s="134"/>
      <c r="B405" s="134"/>
      <c r="C405" s="170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4.25" customHeight="1">
      <c r="A406" s="134"/>
      <c r="B406" s="134"/>
      <c r="C406" s="170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4.25" customHeight="1">
      <c r="A407" s="134"/>
      <c r="B407" s="134"/>
      <c r="C407" s="170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4.25" customHeight="1">
      <c r="A408" s="134"/>
      <c r="B408" s="134"/>
      <c r="C408" s="170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4.25" customHeight="1">
      <c r="A409" s="134"/>
      <c r="B409" s="134"/>
      <c r="C409" s="170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4.25" customHeight="1">
      <c r="A410" s="134"/>
      <c r="B410" s="134"/>
      <c r="C410" s="170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4.25" customHeight="1">
      <c r="A411" s="134"/>
      <c r="B411" s="134"/>
      <c r="C411" s="170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4.25" customHeight="1">
      <c r="A412" s="134"/>
      <c r="B412" s="134"/>
      <c r="C412" s="170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4.25" customHeight="1">
      <c r="A413" s="134"/>
      <c r="B413" s="134"/>
      <c r="C413" s="170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4.25" customHeight="1">
      <c r="A414" s="134"/>
      <c r="B414" s="134"/>
      <c r="C414" s="170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4.25" customHeight="1">
      <c r="A415" s="134"/>
      <c r="B415" s="134"/>
      <c r="C415" s="170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4.25" customHeight="1">
      <c r="A416" s="134"/>
      <c r="B416" s="134"/>
      <c r="C416" s="170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4.25" customHeight="1">
      <c r="A417" s="134"/>
      <c r="B417" s="134"/>
      <c r="C417" s="170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4.25" customHeight="1">
      <c r="A418" s="134"/>
      <c r="B418" s="134"/>
      <c r="C418" s="170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4.25" customHeight="1">
      <c r="A419" s="134"/>
      <c r="B419" s="134"/>
      <c r="C419" s="170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4.25" customHeight="1">
      <c r="A420" s="134"/>
      <c r="B420" s="134"/>
      <c r="C420" s="170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4.25" customHeight="1">
      <c r="A421" s="134"/>
      <c r="B421" s="134"/>
      <c r="C421" s="170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4.25" customHeight="1">
      <c r="A422" s="134"/>
      <c r="B422" s="134"/>
      <c r="C422" s="170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4.25" customHeight="1">
      <c r="A423" s="134"/>
      <c r="B423" s="134"/>
      <c r="C423" s="170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4.25" customHeight="1">
      <c r="A424" s="134"/>
      <c r="B424" s="134"/>
      <c r="C424" s="170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4.25" customHeight="1">
      <c r="A425" s="134"/>
      <c r="B425" s="134"/>
      <c r="C425" s="170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4.25" customHeight="1">
      <c r="A426" s="134"/>
      <c r="B426" s="134"/>
      <c r="C426" s="170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4.25" customHeight="1">
      <c r="A427" s="134"/>
      <c r="B427" s="134"/>
      <c r="C427" s="170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4.25" customHeight="1">
      <c r="A428" s="134"/>
      <c r="B428" s="134"/>
      <c r="C428" s="170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4.25" customHeight="1">
      <c r="A429" s="134"/>
      <c r="B429" s="134"/>
      <c r="C429" s="170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4.25" customHeight="1">
      <c r="A430" s="134"/>
      <c r="B430" s="134"/>
      <c r="C430" s="170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4.25" customHeight="1">
      <c r="A431" s="134"/>
      <c r="B431" s="134"/>
      <c r="C431" s="170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4.25" customHeight="1">
      <c r="A432" s="134"/>
      <c r="B432" s="134"/>
      <c r="C432" s="170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4.25" customHeight="1">
      <c r="A433" s="134"/>
      <c r="B433" s="134"/>
      <c r="C433" s="170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4.25" customHeight="1">
      <c r="A434" s="134"/>
      <c r="B434" s="134"/>
      <c r="C434" s="170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4.25" customHeight="1">
      <c r="A435" s="134"/>
      <c r="B435" s="134"/>
      <c r="C435" s="170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4.25" customHeight="1">
      <c r="A436" s="134"/>
      <c r="B436" s="134"/>
      <c r="C436" s="170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4.25" customHeight="1">
      <c r="A437" s="134"/>
      <c r="B437" s="134"/>
      <c r="C437" s="170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4.25" customHeight="1">
      <c r="A438" s="134"/>
      <c r="B438" s="134"/>
      <c r="C438" s="170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4.25" customHeight="1">
      <c r="A439" s="134"/>
      <c r="B439" s="134"/>
      <c r="C439" s="170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4.25" customHeight="1">
      <c r="A440" s="134"/>
      <c r="B440" s="134"/>
      <c r="C440" s="170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4.25" customHeight="1">
      <c r="A441" s="134"/>
      <c r="B441" s="134"/>
      <c r="C441" s="170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4.25" customHeight="1">
      <c r="A442" s="134"/>
      <c r="B442" s="134"/>
      <c r="C442" s="170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4.25" customHeight="1">
      <c r="A443" s="134"/>
      <c r="B443" s="134"/>
      <c r="C443" s="170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4.25" customHeight="1">
      <c r="A444" s="134"/>
      <c r="B444" s="134"/>
      <c r="C444" s="170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4.25" customHeight="1">
      <c r="A445" s="134"/>
      <c r="B445" s="134"/>
      <c r="C445" s="170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4.25" customHeight="1">
      <c r="A446" s="134"/>
      <c r="B446" s="134"/>
      <c r="C446" s="170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4.25" customHeight="1">
      <c r="A447" s="134"/>
      <c r="B447" s="134"/>
      <c r="C447" s="170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4.25" customHeight="1">
      <c r="A448" s="134"/>
      <c r="B448" s="134"/>
      <c r="C448" s="170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4.25" customHeight="1">
      <c r="A449" s="134"/>
      <c r="B449" s="134"/>
      <c r="C449" s="170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4.25" customHeight="1">
      <c r="A450" s="134"/>
      <c r="B450" s="134"/>
      <c r="C450" s="170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4.25" customHeight="1">
      <c r="A451" s="134"/>
      <c r="B451" s="134"/>
      <c r="C451" s="170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4.25" customHeight="1">
      <c r="A452" s="134"/>
      <c r="B452" s="134"/>
      <c r="C452" s="170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4.25" customHeight="1">
      <c r="A453" s="134"/>
      <c r="B453" s="134"/>
      <c r="C453" s="170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4.25" customHeight="1">
      <c r="A454" s="134"/>
      <c r="B454" s="134"/>
      <c r="C454" s="170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4.25" customHeight="1">
      <c r="A455" s="134"/>
      <c r="B455" s="134"/>
      <c r="C455" s="170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4.25" customHeight="1">
      <c r="A456" s="134"/>
      <c r="B456" s="134"/>
      <c r="C456" s="170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4.25" customHeight="1">
      <c r="A457" s="134"/>
      <c r="B457" s="134"/>
      <c r="C457" s="170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4.25" customHeight="1">
      <c r="A458" s="134"/>
      <c r="B458" s="134"/>
      <c r="C458" s="170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4.25" customHeight="1">
      <c r="A459" s="134"/>
      <c r="B459" s="134"/>
      <c r="C459" s="170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4.25" customHeight="1">
      <c r="A460" s="134"/>
      <c r="B460" s="134"/>
      <c r="C460" s="170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4.25" customHeight="1">
      <c r="A461" s="134"/>
      <c r="B461" s="134"/>
      <c r="C461" s="170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4.25" customHeight="1">
      <c r="A462" s="134"/>
      <c r="B462" s="134"/>
      <c r="C462" s="170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4.25" customHeight="1">
      <c r="A463" s="134"/>
      <c r="B463" s="134"/>
      <c r="C463" s="170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4.25" customHeight="1">
      <c r="A464" s="134"/>
      <c r="B464" s="134"/>
      <c r="C464" s="170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4.25" customHeight="1">
      <c r="A465" s="134"/>
      <c r="B465" s="134"/>
      <c r="C465" s="170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4.25" customHeight="1">
      <c r="A466" s="134"/>
      <c r="B466" s="134"/>
      <c r="C466" s="170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4.25" customHeight="1">
      <c r="A467" s="134"/>
      <c r="B467" s="134"/>
      <c r="C467" s="170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4.25" customHeight="1">
      <c r="A468" s="134"/>
      <c r="B468" s="134"/>
      <c r="C468" s="170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4.25" customHeight="1">
      <c r="A469" s="134"/>
      <c r="B469" s="134"/>
      <c r="C469" s="170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4.25" customHeight="1">
      <c r="A470" s="134"/>
      <c r="B470" s="134"/>
      <c r="C470" s="170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4.25" customHeight="1">
      <c r="A471" s="134"/>
      <c r="B471" s="134"/>
      <c r="C471" s="170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4.25" customHeight="1">
      <c r="A472" s="134"/>
      <c r="B472" s="134"/>
      <c r="C472" s="170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4.25" customHeight="1">
      <c r="A473" s="134"/>
      <c r="B473" s="134"/>
      <c r="C473" s="170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4.25" customHeight="1">
      <c r="A474" s="134"/>
      <c r="B474" s="134"/>
      <c r="C474" s="170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4.25" customHeight="1">
      <c r="A475" s="134"/>
      <c r="B475" s="134"/>
      <c r="C475" s="170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4.25" customHeight="1">
      <c r="A476" s="134"/>
      <c r="B476" s="134"/>
      <c r="C476" s="170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4.25" customHeight="1">
      <c r="A477" s="134"/>
      <c r="B477" s="134"/>
      <c r="C477" s="170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4.25" customHeight="1">
      <c r="A478" s="134"/>
      <c r="B478" s="134"/>
      <c r="C478" s="170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4.25" customHeight="1">
      <c r="A479" s="134"/>
      <c r="B479" s="134"/>
      <c r="C479" s="170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4.25" customHeight="1">
      <c r="A480" s="134"/>
      <c r="B480" s="134"/>
      <c r="C480" s="170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4.25" customHeight="1">
      <c r="A481" s="134"/>
      <c r="B481" s="134"/>
      <c r="C481" s="170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4.25" customHeight="1">
      <c r="A482" s="134"/>
      <c r="B482" s="134"/>
      <c r="C482" s="170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4.25" customHeight="1">
      <c r="A483" s="134"/>
      <c r="B483" s="134"/>
      <c r="C483" s="170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4.25" customHeight="1">
      <c r="A484" s="134"/>
      <c r="B484" s="134"/>
      <c r="C484" s="170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4.25" customHeight="1">
      <c r="A485" s="134"/>
      <c r="B485" s="134"/>
      <c r="C485" s="170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4.25" customHeight="1">
      <c r="A486" s="134"/>
      <c r="B486" s="134"/>
      <c r="C486" s="170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4.25" customHeight="1">
      <c r="A487" s="134"/>
      <c r="B487" s="134"/>
      <c r="C487" s="170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4.25" customHeight="1">
      <c r="A488" s="134"/>
      <c r="B488" s="134"/>
      <c r="C488" s="170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4.25" customHeight="1">
      <c r="A489" s="134"/>
      <c r="B489" s="134"/>
      <c r="C489" s="170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4.25" customHeight="1">
      <c r="A490" s="134"/>
      <c r="B490" s="134"/>
      <c r="C490" s="170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4.25" customHeight="1">
      <c r="A491" s="134"/>
      <c r="B491" s="134"/>
      <c r="C491" s="170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4.25" customHeight="1">
      <c r="A492" s="134"/>
      <c r="B492" s="134"/>
      <c r="C492" s="170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4.25" customHeight="1">
      <c r="A493" s="134"/>
      <c r="B493" s="134"/>
      <c r="C493" s="170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4.25" customHeight="1">
      <c r="A494" s="134"/>
      <c r="B494" s="134"/>
      <c r="C494" s="170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4.25" customHeight="1">
      <c r="A495" s="134"/>
      <c r="B495" s="134"/>
      <c r="C495" s="170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4.25" customHeight="1">
      <c r="A496" s="134"/>
      <c r="B496" s="134"/>
      <c r="C496" s="170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4.25" customHeight="1">
      <c r="A497" s="134"/>
      <c r="B497" s="134"/>
      <c r="C497" s="170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4.25" customHeight="1">
      <c r="A498" s="134"/>
      <c r="B498" s="134"/>
      <c r="C498" s="170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4.25" customHeight="1">
      <c r="A499" s="134"/>
      <c r="B499" s="134"/>
      <c r="C499" s="170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4.25" customHeight="1">
      <c r="A500" s="134"/>
      <c r="B500" s="134"/>
      <c r="C500" s="170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4.25" customHeight="1">
      <c r="A501" s="134"/>
      <c r="B501" s="134"/>
      <c r="C501" s="170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4.25" customHeight="1">
      <c r="A502" s="134"/>
      <c r="B502" s="134"/>
      <c r="C502" s="170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4.25" customHeight="1">
      <c r="A503" s="134"/>
      <c r="B503" s="134"/>
      <c r="C503" s="170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4.25" customHeight="1">
      <c r="A504" s="134"/>
      <c r="B504" s="134"/>
      <c r="C504" s="170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4.25" customHeight="1">
      <c r="A505" s="134"/>
      <c r="B505" s="134"/>
      <c r="C505" s="170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4.25" customHeight="1">
      <c r="A506" s="134"/>
      <c r="B506" s="134"/>
      <c r="C506" s="170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4.25" customHeight="1">
      <c r="A507" s="134"/>
      <c r="B507" s="134"/>
      <c r="C507" s="170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4.25" customHeight="1">
      <c r="A508" s="134"/>
      <c r="B508" s="134"/>
      <c r="C508" s="170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